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-#,##0;-"/>
    <numFmt numFmtId="174" formatCode="\$#,##0.##;&quot;($&quot;#,##0.##\);\-"/>
  </numFmts>
  <fonts count="8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1F1F1F"/>
      <sz val="11"/>
    </font>
    <font>
      <name val="Calibri"/>
      <color rgb="FF888888"/>
      <sz val="11"/>
    </font>
  </fonts>
  <fills count="53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FFBBDEFB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0" fontId="86" fillId="49" borderId="9" applyAlignment="1" pivotButton="0" quotePrefix="0" xfId="0">
      <alignment horizontal="center" vertical="center"/>
    </xf>
    <xf numFmtId="166" fontId="87" fillId="49" borderId="9" applyAlignment="1" pivotButton="0" quotePrefix="0" xfId="0">
      <alignment horizontal="center" vertical="center"/>
    </xf>
    <xf numFmtId="0" fontId="17" fillId="49" borderId="9" applyAlignment="1" pivotButton="0" quotePrefix="0" xfId="0">
      <alignment horizontal="center" vertical="center"/>
    </xf>
    <xf numFmtId="167" fontId="37" fillId="49" borderId="9" applyAlignment="1" pivotButton="0" quotePrefix="0" xfId="0">
      <alignment horizontal="center" vertical="center"/>
    </xf>
    <xf numFmtId="166" fontId="64" fillId="49" borderId="9" applyAlignment="1" pivotButton="0" quotePrefix="0" xfId="0">
      <alignment horizontal="center" vertical="center"/>
    </xf>
    <xf numFmtId="0" fontId="0" fillId="49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37" fillId="0" borderId="13" applyAlignment="1" pivotButton="0" quotePrefix="0" xfId="0">
      <alignment horizontal="left" vertical="center"/>
    </xf>
    <xf numFmtId="0" fontId="86" fillId="42" borderId="9" applyAlignment="1" pivotButton="0" quotePrefix="0" xfId="0">
      <alignment horizontal="center" vertical="center"/>
    </xf>
    <xf numFmtId="166" fontId="85" fillId="42" borderId="9" applyAlignment="1" pivotButton="0" quotePrefix="0" xfId="0">
      <alignment horizontal="center" vertical="center"/>
    </xf>
    <xf numFmtId="173" fontId="81" fillId="42" borderId="9" applyAlignment="1" pivotButton="0" quotePrefix="0" xfId="0">
      <alignment horizontal="center" vertical="center"/>
    </xf>
    <xf numFmtId="0" fontId="77" fillId="42" borderId="9" applyAlignment="1" pivotButton="0" quotePrefix="0" xfId="0">
      <alignment horizontal="center" vertical="center"/>
    </xf>
    <xf numFmtId="167" fontId="77" fillId="42" borderId="9" applyAlignment="1" pivotButton="0" quotePrefix="0" xfId="0">
      <alignment horizontal="center" vertical="center"/>
    </xf>
    <xf numFmtId="173" fontId="78" fillId="52" borderId="9" applyAlignment="1" pivotButton="0" quotePrefix="0" xfId="0">
      <alignment horizontal="center" vertical="center"/>
    </xf>
    <xf numFmtId="174" fontId="79" fillId="46" borderId="0" pivotButton="0" quotePrefix="0" xfId="0"/>
    <xf numFmtId="0" fontId="86" fillId="48" borderId="9" applyAlignment="1" pivotButton="0" quotePrefix="0" xfId="0">
      <alignment horizontal="center" vertical="center"/>
    </xf>
    <xf numFmtId="166" fontId="85" fillId="48" borderId="9" applyAlignment="1" pivotButton="0" quotePrefix="0" xfId="0">
      <alignment horizontal="center" vertical="center"/>
    </xf>
    <xf numFmtId="173" fontId="81" fillId="48" borderId="9" applyAlignment="1" pivotButton="0" quotePrefix="0" xfId="0">
      <alignment horizontal="center" vertical="center"/>
    </xf>
    <xf numFmtId="0" fontId="77" fillId="48" borderId="9" applyAlignment="1" pivotButton="0" quotePrefix="0" xfId="0">
      <alignment horizontal="center" vertical="center"/>
    </xf>
    <xf numFmtId="167" fontId="77" fillId="48" borderId="9" applyAlignment="1" pivotButton="0" quotePrefix="0" xfId="0">
      <alignment horizontal="center" vertical="center"/>
    </xf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abSelected="1" zoomScaleNormal="100" workbookViewId="0">
      <selection activeCell="K2" sqref="K2"/>
    </sheetView>
  </sheetViews>
  <sheetFormatPr baseColWidth="8" defaultRowHeight="14.4" customHeight="1"/>
  <cols>
    <col width="3" customWidth="1" style="266" min="1" max="1"/>
    <col width="36" customWidth="1" style="266" min="2" max="2"/>
    <col width="18" customWidth="1" style="273" min="3" max="3"/>
    <col width="20" customWidth="1" style="273" min="4" max="6"/>
    <col width="24" customWidth="1" style="266" min="7" max="7"/>
    <col width="26" customWidth="1" style="266" min="8" max="8"/>
  </cols>
  <sheetData>
    <row r="1" ht="36" customHeight="1" s="266">
      <c r="B1" s="272" t="inlineStr">
        <is>
          <t>LOKA  —  CAPITAL, OWNERSHIP &amp; PRE-OPENING EXPENSES</t>
        </is>
      </c>
    </row>
    <row r="2" ht="24" customHeight="1" s="266">
      <c r="B2" s="275" t="inlineStr">
        <is>
          <t>Last updated: 6 Jun 2026  |  Capital, Acquisition &amp; Pre-Opening Expenses</t>
        </is>
      </c>
    </row>
    <row r="4" ht="25.95" customHeight="1" s="266">
      <c r="B4" s="274" t="inlineStr">
        <is>
          <t xml:space="preserve">  A.  OWNERSHIP STRUCTURE</t>
        </is>
      </c>
    </row>
    <row r="5" ht="22.05" customHeight="1" s="266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66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66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66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66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66">
      <c r="B11" s="274" t="inlineStr">
        <is>
          <t xml:space="preserve">  B.  RESTAURANT ACQUISITION  —  $390,000 TOTAL</t>
        </is>
      </c>
    </row>
    <row r="12" ht="22.05" customHeight="1" s="266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66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66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66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66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66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66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66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66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66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66"/>
    <row r="25" ht="22.05" customHeight="1" s="266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66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66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66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66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66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66"/>
    <row r="32" ht="19.95" customHeight="1" s="266">
      <c r="B32" s="274" t="inlineStr">
        <is>
          <t xml:space="preserve">  C.  PRE-OPENING EXPENSES — KASHIGOUD PATIL</t>
        </is>
      </c>
      <c r="C32" s="274" t="n"/>
      <c r="D32" s="274" t="n"/>
      <c r="E32" s="274" t="n"/>
      <c r="F32" s="274" t="n"/>
      <c r="G32" s="166" t="n"/>
      <c r="H32" s="166" t="n"/>
    </row>
    <row r="33" ht="19.95" customHeight="1" s="266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66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66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66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7" t="n"/>
    </row>
    <row r="38" ht="19.95" customHeight="1" s="266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66">
      <c r="B39" s="159" t="n"/>
      <c r="C39" s="159" t="n"/>
      <c r="D39" s="185" t="n"/>
      <c r="E39" s="159" t="n"/>
      <c r="F39" s="159" t="n"/>
      <c r="G39" s="159" t="n"/>
    </row>
    <row r="40" ht="19.95" customHeight="1" s="266">
      <c r="B40" s="159" t="n"/>
      <c r="C40" s="159" t="n"/>
      <c r="D40" s="185" t="n"/>
      <c r="E40" s="159" t="n"/>
      <c r="F40" s="159" t="n"/>
      <c r="G40" s="159" t="n"/>
    </row>
    <row r="41" ht="19.95" customHeight="1" s="266">
      <c r="B41" s="159" t="n"/>
      <c r="C41" s="159" t="n"/>
      <c r="D41" s="185" t="n"/>
      <c r="E41" s="159" t="n"/>
      <c r="F41" s="159" t="n"/>
      <c r="G41" s="159" t="n"/>
    </row>
    <row r="42" ht="19.95" customHeight="1" s="266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66"/>
    <row r="44" ht="19.95" customHeight="1" s="266">
      <c r="B44" s="274" t="inlineStr">
        <is>
          <t xml:space="preserve">  D.  PRE-OPENING EXPENSES — LOHITH REDDY</t>
        </is>
      </c>
      <c r="C44" s="274" t="n"/>
      <c r="D44" s="274" t="n"/>
      <c r="E44" s="274" t="n"/>
      <c r="F44" s="274" t="n"/>
      <c r="G44" s="166" t="n"/>
      <c r="H44" s="166" t="n"/>
    </row>
    <row r="45" ht="19.95" customHeight="1" s="266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66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66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66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66">
      <c r="B50" s="159" t="n"/>
      <c r="C50" s="184" t="n"/>
      <c r="D50" s="184" t="n"/>
      <c r="E50" s="184" t="n"/>
      <c r="F50" s="184" t="n"/>
      <c r="G50" s="281" t="n"/>
      <c r="H50" s="277" t="n"/>
    </row>
    <row r="51" ht="19.95" customHeight="1" s="266">
      <c r="B51" s="159" t="n"/>
      <c r="C51" s="159" t="n"/>
      <c r="D51" s="185" t="n"/>
      <c r="E51" s="159" t="n"/>
      <c r="F51" s="159" t="n"/>
      <c r="G51" s="159" t="n"/>
    </row>
    <row r="52" ht="19.95" customHeight="1" s="266">
      <c r="B52" s="159" t="n"/>
      <c r="C52" s="159" t="n"/>
      <c r="D52" s="185" t="n"/>
      <c r="E52" s="159" t="n"/>
      <c r="F52" s="159" t="n"/>
      <c r="G52" s="159" t="n"/>
    </row>
    <row r="53" ht="19.95" customHeight="1" s="266">
      <c r="B53" s="159" t="n"/>
      <c r="C53" s="159" t="n"/>
      <c r="D53" s="185" t="n"/>
      <c r="E53" s="159" t="n"/>
      <c r="F53" s="159" t="n"/>
      <c r="G53" s="159" t="n"/>
    </row>
    <row r="54" ht="19.95" customHeight="1" s="266">
      <c r="B54" s="159" t="n"/>
      <c r="C54" s="159" t="n"/>
      <c r="D54" s="185" t="n"/>
      <c r="E54" s="159" t="n"/>
      <c r="F54" s="159" t="n"/>
      <c r="G54" s="159" t="n"/>
    </row>
    <row r="55" ht="19.95" customHeight="1" s="266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66"/>
    <row r="57" ht="19.95" customHeight="1" s="266">
      <c r="B57" s="274" t="inlineStr">
        <is>
          <t xml:space="preserve">  E.  PRE-OPENING EXPENSES — SHASHIREKHA BASAVARAJU</t>
        </is>
      </c>
      <c r="C57" s="274" t="n"/>
      <c r="D57" s="274" t="n"/>
      <c r="E57" s="274" t="n"/>
      <c r="F57" s="274" t="n"/>
      <c r="G57" s="166" t="n"/>
      <c r="H57" s="166" t="n"/>
    </row>
    <row r="58" ht="19.95" customHeight="1" s="266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66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66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66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7" t="n"/>
    </row>
    <row r="63" ht="19.95" customHeight="1" s="266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66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66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66">
      <c r="B66" s="159" t="n"/>
      <c r="C66" s="159" t="n"/>
      <c r="D66" s="185" t="n"/>
      <c r="E66" s="159" t="n"/>
      <c r="F66" s="159" t="n"/>
      <c r="G66" s="159" t="n"/>
    </row>
    <row r="67" ht="19.95" customHeight="1" s="266">
      <c r="B67" s="212" t="n"/>
      <c r="C67" s="213" t="n"/>
      <c r="D67" s="214" t="n"/>
      <c r="E67" s="213" t="n"/>
      <c r="F67" s="213" t="n"/>
      <c r="G67" s="212" t="n"/>
    </row>
    <row r="68" ht="19.95" customHeight="1" s="266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7" t="n"/>
    </row>
    <row r="69" ht="19.95" customHeight="1" s="266"/>
    <row r="70" ht="19.95" customHeight="1" s="266">
      <c r="B70" s="274" t="inlineStr">
        <is>
          <t xml:space="preserve">  F.  GRAND SUMMARY — CAPITAL DEPLOYMENT</t>
        </is>
      </c>
      <c r="C70" s="274" t="n"/>
      <c r="D70" s="274" t="n"/>
      <c r="E70" s="274" t="n"/>
      <c r="F70" s="274" t="n"/>
      <c r="G70" s="166" t="n"/>
      <c r="H70" s="166" t="n"/>
    </row>
    <row r="71" ht="19.95" customHeight="1" s="266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66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66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4" ht="15.6" customHeight="1" s="266">
      <c r="B84" s="166" t="inlineStr">
        <is>
          <t xml:space="preserve">  G.  REMAINING TRANSFERS DUE TO LOHITH REDDY</t>
        </is>
      </c>
      <c r="C84" s="274" t="n"/>
      <c r="D84" s="274" t="n"/>
      <c r="E84" s="274" t="n"/>
      <c r="F84" s="274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66">
      <c r="B90" s="166" t="inlineStr">
        <is>
          <t xml:space="preserve">  H.  ACQUISITION PAYMENT — SPLIT BY OWNERSHIP SHARE  ($385,000 BALANCE DUE)</t>
        </is>
      </c>
      <c r="C90" s="274" t="n"/>
      <c r="D90" s="274" t="n"/>
      <c r="E90" s="274" t="n"/>
      <c r="F90" s="274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66" min="1" max="1"/>
    <col width="18" customWidth="1" style="266" min="2" max="2"/>
    <col width="14" customWidth="1" style="266" min="3" max="7"/>
    <col width="16" customWidth="1" style="266" min="8" max="8"/>
    <col width="14" customWidth="1" style="266" min="9" max="14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66">
      <c r="A2" s="336" t="inlineStr">
        <is>
          <t>🍽️  LOKA Cafe Restaurante</t>
        </is>
      </c>
      <c r="H2" s="309" t="inlineStr">
        <is>
          <t>Restaurant Manager — powered by Soft + Excel</t>
        </is>
      </c>
    </row>
    <row r="3" ht="3.75" customHeight="1" s="266">
      <c r="A3" s="319" t="n"/>
    </row>
    <row r="4" ht="7.5" customHeight="1" s="266"/>
    <row r="5" ht="36" customHeight="1" s="266">
      <c r="B5" s="32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</row>
    <row r="6" ht="9.75" customHeight="1" s="266"/>
    <row r="7" ht="19.5" customHeight="1" s="266">
      <c r="B7" s="267" t="inlineStr">
        <is>
          <t xml:space="preserve">  💰  REVENUE  (auto-pulled from Daily Log)</t>
        </is>
      </c>
      <c r="C7" s="268" t="n"/>
      <c r="D7" s="268" t="n"/>
      <c r="E7" s="268" t="n"/>
      <c r="F7" s="268" t="n"/>
      <c r="G7" s="268" t="n"/>
      <c r="H7" s="268" t="n"/>
      <c r="I7" s="268" t="n"/>
      <c r="J7" s="268" t="n"/>
      <c r="K7" s="268" t="n"/>
      <c r="L7" s="268" t="n"/>
      <c r="M7" s="268" t="n"/>
    </row>
    <row r="8" ht="6" customHeight="1" s="266"/>
    <row r="9" ht="18" customHeight="1" s="266">
      <c r="B9" s="284" t="inlineStr">
        <is>
          <t>TODAY'S REVENUE</t>
        </is>
      </c>
      <c r="C9" s="270" t="n"/>
      <c r="D9" s="284" t="inlineStr">
        <is>
          <t>WEEK REVENUE</t>
        </is>
      </c>
      <c r="E9" s="270" t="n"/>
      <c r="F9" s="284" t="inlineStr">
        <is>
          <t>MONTH REVENUE</t>
        </is>
      </c>
      <c r="G9" s="270" t="n"/>
      <c r="H9" s="284" t="inlineStr">
        <is>
          <t>TODAY'S EXPENSES</t>
        </is>
      </c>
      <c r="I9" s="270" t="n"/>
      <c r="J9" s="284" t="inlineStr">
        <is>
          <t>TODAY'S NET PROFIT</t>
        </is>
      </c>
      <c r="K9" s="270" t="n"/>
      <c r="L9" s="284" t="inlineStr">
        <is>
          <t>AVG TICKET</t>
        </is>
      </c>
      <c r="M9" s="270" t="n"/>
    </row>
    <row r="10" ht="19.5" customHeight="1" s="266">
      <c r="B10" s="315">
        <f>'📅 Daily Log'!F6</f>
        <v/>
      </c>
      <c r="C10" s="287" t="n"/>
      <c r="D10" s="286">
        <f>'📅 Daily Log'!N6</f>
        <v/>
      </c>
      <c r="E10" s="287" t="n"/>
      <c r="F10" s="311">
        <f>'📅 Daily Log'!O6</f>
        <v/>
      </c>
      <c r="G10" s="287" t="n"/>
      <c r="H10" s="291">
        <f>'📅 Daily Log'!H6</f>
        <v/>
      </c>
      <c r="I10" s="287" t="n"/>
      <c r="J10" s="315">
        <f>'📅 Daily Log'!I6</f>
        <v/>
      </c>
      <c r="K10" s="287" t="n"/>
      <c r="L10" s="334">
        <f>IFERROR('📅 Daily Log'!F6/'📅 Daily Log'!G6,0)</f>
        <v/>
      </c>
      <c r="M10" s="287" t="n"/>
    </row>
    <row r="11" ht="19.5" customHeight="1" s="266">
      <c r="B11" s="288" t="n"/>
      <c r="D11" s="288" t="n"/>
      <c r="F11" s="288" t="n"/>
      <c r="H11" s="288" t="n"/>
      <c r="J11" s="288" t="n"/>
      <c r="L11" s="288" t="n"/>
    </row>
    <row r="12" ht="19.5" customHeight="1" s="266">
      <c r="B12" s="288" t="n"/>
      <c r="D12" s="288" t="n"/>
      <c r="F12" s="288" t="n"/>
      <c r="H12" s="288" t="n"/>
      <c r="J12" s="288" t="n"/>
      <c r="L12" s="288" t="n"/>
    </row>
    <row r="13" ht="9.75" customHeight="1" s="266"/>
    <row r="14" ht="19.5" customHeight="1" s="266">
      <c r="B14" s="267" t="inlineStr">
        <is>
          <t xml:space="preserve">  📊  OPERATIONS</t>
        </is>
      </c>
      <c r="C14" s="268" t="n"/>
      <c r="D14" s="268" t="n"/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</row>
    <row r="15" ht="6" customHeight="1" s="266"/>
    <row r="16" ht="18" customHeight="1" s="266">
      <c r="B16" s="284" t="inlineStr">
        <is>
          <t>TODAY'S ORDERS</t>
        </is>
      </c>
      <c r="C16" s="270" t="n"/>
      <c r="D16" s="284" t="inlineStr">
        <is>
          <t>WEEK ORDERS</t>
        </is>
      </c>
      <c r="E16" s="270" t="n"/>
      <c r="F16" s="284" t="inlineStr">
        <is>
          <t>PROFIT MARGIN %</t>
        </is>
      </c>
      <c r="G16" s="270" t="n"/>
      <c r="H16" s="284" t="inlineStr">
        <is>
          <t>LOW STOCK ITEMS</t>
        </is>
      </c>
      <c r="I16" s="270" t="n"/>
      <c r="J16" s="284" t="inlineStr">
        <is>
          <t>WEEK EXPENSES</t>
        </is>
      </c>
      <c r="K16" s="270" t="n"/>
      <c r="L16" s="284" t="inlineStr">
        <is>
          <t>PENDING ORDERS</t>
        </is>
      </c>
      <c r="M16" s="270" t="n"/>
    </row>
    <row r="17" ht="19.5" customHeight="1" s="266">
      <c r="B17" s="317">
        <f>'📅 Daily Log'!G6</f>
        <v/>
      </c>
      <c r="C17" s="287" t="n"/>
      <c r="D17" s="31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7" t="n"/>
      <c r="F17" s="323">
        <f>IFERROR('📅 Daily Log'!J6,0)</f>
        <v/>
      </c>
      <c r="G17" s="287" t="n"/>
      <c r="H17" s="324">
        <f>'📦 Inventory'!H5</f>
        <v/>
      </c>
      <c r="I17" s="287" t="n"/>
      <c r="J17" s="291">
        <f>'📅 Daily Log'!P6</f>
        <v/>
      </c>
      <c r="K17" s="287" t="n"/>
      <c r="L17" s="293">
        <f>'🚚 Suppliers'!H5</f>
        <v/>
      </c>
      <c r="M17" s="287" t="n"/>
    </row>
    <row r="18" ht="19.5" customHeight="1" s="266">
      <c r="B18" s="288" t="n"/>
      <c r="D18" s="288" t="n"/>
      <c r="F18" s="288" t="n"/>
      <c r="H18" s="288" t="n"/>
      <c r="J18" s="288" t="n"/>
      <c r="L18" s="288" t="n"/>
    </row>
    <row r="19" ht="19.5" customHeight="1" s="266">
      <c r="B19" s="288" t="n"/>
      <c r="D19" s="288" t="n"/>
      <c r="F19" s="288" t="n"/>
      <c r="H19" s="288" t="n"/>
      <c r="J19" s="288" t="n"/>
      <c r="L19" s="288" t="n"/>
    </row>
    <row r="20" ht="9.75" customHeight="1" s="266"/>
    <row r="21" ht="19.5" customHeight="1" s="266">
      <c r="B21" s="267" t="inlineStr">
        <is>
          <t xml:space="preserve">  📅  LAST 10 DAYS  (from Daily Log — updates automatically)</t>
        </is>
      </c>
      <c r="C21" s="268" t="n"/>
      <c r="D21" s="268" t="n"/>
      <c r="E21" s="268" t="n"/>
      <c r="F21" s="268" t="n"/>
      <c r="G21" s="268" t="n"/>
      <c r="H21" s="268" t="n"/>
      <c r="I21" s="268" t="n"/>
      <c r="J21" s="268" t="n"/>
      <c r="K21" s="268" t="n"/>
      <c r="L21" s="268" t="n"/>
      <c r="M21" s="268" t="n"/>
    </row>
    <row r="22" ht="27.75" customHeight="1" s="266">
      <c r="B22" s="278" t="inlineStr">
        <is>
          <t>Date</t>
        </is>
      </c>
      <c r="C22" s="278" t="inlineStr">
        <is>
          <t>Day</t>
        </is>
      </c>
      <c r="D22" s="278" t="inlineStr">
        <is>
          <t>Revenue ($)</t>
        </is>
      </c>
      <c r="E22" s="278" t="inlineStr">
        <is>
          <t>Orders</t>
        </is>
      </c>
      <c r="F22" s="278" t="inlineStr">
        <is>
          <t>Avg Ticket</t>
        </is>
      </c>
      <c r="G22" s="278" t="inlineStr">
        <is>
          <t>Expenses ($)</t>
        </is>
      </c>
      <c r="H22" s="278" t="inlineStr">
        <is>
          <t>Net Profit ($)</t>
        </is>
      </c>
      <c r="I22" s="278" t="inlineStr">
        <is>
          <t>Margin %</t>
        </is>
      </c>
      <c r="J22" s="278" t="inlineStr">
        <is>
          <t>Notes</t>
        </is>
      </c>
      <c r="K22" s="312" t="inlineStr">
        <is>
          <t>vs Prev Day</t>
        </is>
      </c>
      <c r="L22" s="270" t="n"/>
      <c r="M22" s="279" t="n"/>
    </row>
    <row r="23" ht="16.5" customHeight="1" s="266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97" t="inlineStr">
        <is>
          <t>—</t>
        </is>
      </c>
      <c r="L23" s="270" t="n"/>
      <c r="M23" s="279" t="n"/>
    </row>
    <row r="24" ht="16.5" customHeight="1" s="266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2">
        <f>IFERROR(IF(D24&gt;D23,"▲ +"&amp;TEXT(D24-D23,"$#,##0"),IF(D24&lt;D23,"▼ "&amp;TEXT(D24-D23,"$#,##0"),"— same")),"")</f>
        <v/>
      </c>
      <c r="L24" s="270" t="n"/>
      <c r="M24" s="279" t="n"/>
    </row>
    <row r="25" ht="16.5" customHeight="1" s="266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97">
        <f>IFERROR(IF(D25&gt;D24,"▲ +"&amp;TEXT(D25-D24,"$#,##0"),IF(D25&lt;D24,"▼ "&amp;TEXT(D25-D24,"$#,##0"),"— same")),"")</f>
        <v/>
      </c>
      <c r="L25" s="270" t="n"/>
      <c r="M25" s="279" t="n"/>
    </row>
    <row r="26" ht="16.5" customHeight="1" s="266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2">
        <f>IFERROR(IF(D26&gt;D25,"▲ +"&amp;TEXT(D26-D25,"$#,##0"),IF(D26&lt;D25,"▼ "&amp;TEXT(D26-D25,"$#,##0"),"— same")),"")</f>
        <v/>
      </c>
      <c r="L26" s="270" t="n"/>
      <c r="M26" s="279" t="n"/>
    </row>
    <row r="27" ht="16.5" customHeight="1" s="266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97">
        <f>IFERROR(IF(D27&gt;D26,"▲ +"&amp;TEXT(D27-D26,"$#,##0"),IF(D27&lt;D26,"▼ "&amp;TEXT(D27-D26,"$#,##0"),"— same")),"")</f>
        <v/>
      </c>
      <c r="L27" s="270" t="n"/>
      <c r="M27" s="279" t="n"/>
    </row>
    <row r="28" ht="16.5" customHeight="1" s="266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2">
        <f>IFERROR(IF(D28&gt;D27,"▲ +"&amp;TEXT(D28-D27,"$#,##0"),IF(D28&lt;D27,"▼ "&amp;TEXT(D28-D27,"$#,##0"),"— same")),"")</f>
        <v/>
      </c>
      <c r="L28" s="270" t="n"/>
      <c r="M28" s="279" t="n"/>
    </row>
    <row r="29" ht="16.5" customHeight="1" s="266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97">
        <f>IFERROR(IF(D29&gt;D28,"▲ +"&amp;TEXT(D29-D28,"$#,##0"),IF(D29&lt;D28,"▼ "&amp;TEXT(D29-D28,"$#,##0"),"— same")),"")</f>
        <v/>
      </c>
      <c r="L29" s="270" t="n"/>
      <c r="M29" s="279" t="n"/>
    </row>
    <row r="30" ht="16.5" customHeight="1" s="266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2">
        <f>IFERROR(IF(D30&gt;D29,"▲ +"&amp;TEXT(D30-D29,"$#,##0"),IF(D30&lt;D29,"▼ "&amp;TEXT(D30-D29,"$#,##0"),"— same")),"")</f>
        <v/>
      </c>
      <c r="L30" s="270" t="n"/>
      <c r="M30" s="279" t="n"/>
    </row>
    <row r="31" ht="16.5" customHeight="1" s="266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97">
        <f>IFERROR(IF(D31&gt;D30,"▲ +"&amp;TEXT(D31-D30,"$#,##0"),IF(D31&lt;D30,"▼ "&amp;TEXT(D31-D30,"$#,##0"),"— same")),"")</f>
        <v/>
      </c>
      <c r="L31" s="270" t="n"/>
      <c r="M31" s="279" t="n"/>
    </row>
    <row r="32" ht="16.5" customHeight="1" s="266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2">
        <f>IFERROR(IF(D32&gt;D31,"▲ +"&amp;TEXT(D32-D31,"$#,##0"),IF(D32&lt;D31,"▼ "&amp;TEXT(D32-D31,"$#,##0"),"— same")),"")</f>
        <v/>
      </c>
      <c r="L32" s="270" t="n"/>
      <c r="M32" s="279" t="n"/>
    </row>
    <row r="33" ht="9.75" customHeight="1" s="266"/>
    <row r="34" ht="19.5" customHeight="1" s="266">
      <c r="B34" s="267" t="inlineStr">
        <is>
          <t xml:space="preserve">  ⚠️  INVENTORY ALERTS  (from Inventory sheet)</t>
        </is>
      </c>
      <c r="C34" s="268" t="n"/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</row>
    <row r="35" ht="27.75" customHeight="1" s="266">
      <c r="B35" s="278" t="inlineStr">
        <is>
          <t>Ingredient</t>
        </is>
      </c>
      <c r="C35" s="270" t="n"/>
      <c r="D35" s="279" t="n"/>
      <c r="E35" s="278" t="n"/>
      <c r="F35" s="278" t="inlineStr">
        <is>
          <t>Min Level</t>
        </is>
      </c>
      <c r="G35" s="279" t="n"/>
      <c r="H35" s="278" t="inlineStr">
        <is>
          <t>Status</t>
        </is>
      </c>
      <c r="I35" s="279" t="n"/>
      <c r="J35" s="278" t="inlineStr">
        <is>
          <t>Action Needed</t>
        </is>
      </c>
      <c r="K35" s="270" t="n"/>
      <c r="L35" s="270" t="n"/>
      <c r="M35" s="279" t="n"/>
    </row>
    <row r="36" ht="16.5" customHeight="1" s="266">
      <c r="B36" s="320">
        <f>'📦 Inventory'!B9</f>
        <v/>
      </c>
      <c r="C36" s="270" t="n"/>
      <c r="D36" s="270" t="n"/>
      <c r="E36" s="305">
        <f>'📦 Inventory'!E9</f>
        <v/>
      </c>
      <c r="F36" s="270" t="n"/>
      <c r="G36" s="314">
        <f>'📦 Inventory'!F9</f>
        <v/>
      </c>
      <c r="H36" s="270" t="n"/>
      <c r="I36" s="289">
        <f>'📦 Inventory'!J9</f>
        <v/>
      </c>
      <c r="J36" s="270" t="n"/>
      <c r="K36" s="289">
        <f>IF('📦 Inventory'!E9=0,"🚫 Order immediately",IF('📦 Inventory'!E9&lt;='📦 Inventory'!F9,"⚠️ Reorder soon","✅ OK"))</f>
        <v/>
      </c>
      <c r="L36" s="270" t="n"/>
      <c r="M36" s="270" t="n"/>
    </row>
    <row r="37" ht="16.5" customHeight="1" s="266">
      <c r="B37" s="296">
        <f>'📦 Inventory'!B10</f>
        <v/>
      </c>
      <c r="C37" s="270" t="n"/>
      <c r="D37" s="270" t="n"/>
      <c r="E37" s="330">
        <f>'📦 Inventory'!E10</f>
        <v/>
      </c>
      <c r="F37" s="270" t="n"/>
      <c r="G37" s="331">
        <f>'📦 Inventory'!F10</f>
        <v/>
      </c>
      <c r="H37" s="270" t="n"/>
      <c r="I37" s="332">
        <f>'📦 Inventory'!J10</f>
        <v/>
      </c>
      <c r="J37" s="270" t="n"/>
      <c r="K37" s="332">
        <f>IF('📦 Inventory'!E10=0,"🚫 Order immediately",IF('📦 Inventory'!E10&lt;='📦 Inventory'!F10,"⚠️ Reorder soon","✅ OK"))</f>
        <v/>
      </c>
      <c r="L37" s="270" t="n"/>
      <c r="M37" s="270" t="n"/>
    </row>
    <row r="38" ht="16.5" customHeight="1" s="266">
      <c r="B38" s="320">
        <f>'📦 Inventory'!B11</f>
        <v/>
      </c>
      <c r="C38" s="270" t="n"/>
      <c r="D38" s="270" t="n"/>
      <c r="E38" s="305">
        <f>'📦 Inventory'!E11</f>
        <v/>
      </c>
      <c r="F38" s="270" t="n"/>
      <c r="G38" s="314">
        <f>'📦 Inventory'!F11</f>
        <v/>
      </c>
      <c r="H38" s="270" t="n"/>
      <c r="I38" s="289">
        <f>'📦 Inventory'!J11</f>
        <v/>
      </c>
      <c r="J38" s="270" t="n"/>
      <c r="K38" s="289">
        <f>IF('📦 Inventory'!E11=0,"🚫 Order immediately",IF('📦 Inventory'!E11&lt;='📦 Inventory'!F11,"⚠️ Reorder soon","✅ OK"))</f>
        <v/>
      </c>
      <c r="L38" s="270" t="n"/>
      <c r="M38" s="270" t="n"/>
    </row>
    <row r="39" ht="16.5" customHeight="1" s="266">
      <c r="B39" s="296">
        <f>'📦 Inventory'!B12</f>
        <v/>
      </c>
      <c r="C39" s="270" t="n"/>
      <c r="D39" s="270" t="n"/>
      <c r="E39" s="330">
        <f>'📦 Inventory'!E12</f>
        <v/>
      </c>
      <c r="F39" s="270" t="n"/>
      <c r="G39" s="331">
        <f>'📦 Inventory'!F12</f>
        <v/>
      </c>
      <c r="H39" s="270" t="n"/>
      <c r="I39" s="332">
        <f>'📦 Inventory'!J12</f>
        <v/>
      </c>
      <c r="J39" s="270" t="n"/>
      <c r="K39" s="332">
        <f>IF('📦 Inventory'!E12=0,"🚫 Order immediately",IF('📦 Inventory'!E12&lt;='📦 Inventory'!F12,"⚠️ Reorder soon","✅ OK"))</f>
        <v/>
      </c>
      <c r="L39" s="270" t="n"/>
      <c r="M39" s="270" t="n"/>
    </row>
    <row r="40" ht="16.5" customHeight="1" s="266">
      <c r="B40" s="320">
        <f>'📦 Inventory'!B13</f>
        <v/>
      </c>
      <c r="C40" s="270" t="n"/>
      <c r="D40" s="270" t="n"/>
      <c r="E40" s="305">
        <f>'📦 Inventory'!E13</f>
        <v/>
      </c>
      <c r="F40" s="270" t="n"/>
      <c r="G40" s="314">
        <f>'📦 Inventory'!F13</f>
        <v/>
      </c>
      <c r="H40" s="270" t="n"/>
      <c r="I40" s="289">
        <f>'📦 Inventory'!J13</f>
        <v/>
      </c>
      <c r="J40" s="270" t="n"/>
      <c r="K40" s="289">
        <f>IF('📦 Inventory'!E13=0,"🚫 Order immediately",IF('📦 Inventory'!E13&lt;='📦 Inventory'!F13,"⚠️ Reorder soon","✅ OK"))</f>
        <v/>
      </c>
      <c r="L40" s="270" t="n"/>
      <c r="M40" s="270" t="n"/>
    </row>
    <row r="41" ht="7.5" customHeight="1" s="266"/>
    <row r="42" ht="30" customHeight="1" s="266">
      <c r="B42" s="283" t="inlineStr">
        <is>
          <t>💼  CAPITAL &amp; ACQUISITION STATUS  —  live from Capital &amp; Ownership sheet</t>
        </is>
      </c>
    </row>
    <row r="43" ht="6" customHeight="1" s="266"/>
    <row r="44" ht="16.05" customHeight="1" s="266">
      <c r="B44" s="333" t="inlineStr">
        <is>
          <t>TOTAL BUDGET</t>
        </is>
      </c>
      <c r="C44" s="277" t="n"/>
      <c r="D44" s="343" t="inlineStr">
        <is>
          <t>TOTAL CASH OUT</t>
        </is>
      </c>
      <c r="E44" s="277" t="n"/>
      <c r="F44" s="344" t="inlineStr">
        <is>
          <t>REMAINING BUDGET</t>
        </is>
      </c>
      <c r="G44" s="277" t="n"/>
      <c r="H44" s="340" t="inlineStr">
        <is>
          <t>ACQUISITION PRICE</t>
        </is>
      </c>
      <c r="I44" s="277" t="n"/>
      <c r="J44" s="337" t="inlineStr">
        <is>
          <t>ADVANCE PAID</t>
        </is>
      </c>
      <c r="K44" s="277" t="n"/>
      <c r="L44" s="325" t="inlineStr">
        <is>
          <t>BALANCE PENDING</t>
        </is>
      </c>
      <c r="M44" s="277" t="n"/>
    </row>
    <row r="45" ht="22.05" customHeight="1" s="266">
      <c r="B45" s="335">
        <f>'Capital &amp; Ownership'!C63</f>
        <v/>
      </c>
      <c r="C45" s="277" t="n"/>
      <c r="D45" s="295">
        <f>'Capital &amp; Ownership'!C72</f>
        <v/>
      </c>
      <c r="E45" s="277" t="n"/>
      <c r="F45" s="316">
        <f>'Capital &amp; Ownership'!C73</f>
        <v/>
      </c>
      <c r="G45" s="277" t="n"/>
      <c r="H45" s="303">
        <f>'Capital &amp; Ownership'!C64</f>
        <v/>
      </c>
      <c r="I45" s="277" t="n"/>
      <c r="J45" s="299">
        <f>'Capital &amp; Ownership'!C65</f>
        <v/>
      </c>
      <c r="K45" s="277" t="n"/>
      <c r="L45" s="300">
        <f>'Capital &amp; Ownership'!C66</f>
        <v/>
      </c>
      <c r="M45" s="277" t="n"/>
    </row>
    <row r="46" ht="16.05" customHeight="1" s="266">
      <c r="B46" s="338" t="inlineStr">
        <is>
          <t>All 3 partners</t>
        </is>
      </c>
      <c r="C46" s="277" t="n"/>
      <c r="D46" s="339" t="inlineStr">
        <is>
          <t>Excl. internal transfers</t>
        </is>
      </c>
      <c r="E46" s="277" t="n"/>
      <c r="F46" s="322" t="inlineStr">
        <is>
          <t>Available for operations</t>
        </is>
      </c>
      <c r="G46" s="277" t="n"/>
      <c r="H46" s="341" t="inlineStr">
        <is>
          <t>To previous owners</t>
        </is>
      </c>
      <c r="I46" s="277" t="n"/>
      <c r="J46" s="326" t="inlineStr">
        <is>
          <t>✅ Paid by Lohith</t>
        </is>
      </c>
      <c r="K46" s="277" t="n"/>
      <c r="L46" s="327" t="inlineStr">
        <is>
          <t>⏳ Outstanding</t>
        </is>
      </c>
      <c r="M46" s="277" t="n"/>
    </row>
    <row r="47" ht="7.95" customHeight="1" s="266"/>
    <row r="48" ht="22.05" customHeight="1" s="266">
      <c r="B48" s="329" t="inlineStr">
        <is>
          <t xml:space="preserve">  👥  OWNER CAPITAL SUMMARY</t>
        </is>
      </c>
    </row>
    <row r="49" ht="19.95" customHeight="1" s="266">
      <c r="B49" s="307" t="inlineStr">
        <is>
          <t>OWNER</t>
        </is>
      </c>
      <c r="C49" s="277" t="n"/>
      <c r="D49" s="307" t="inlineStr">
        <is>
          <t>SHARE %</t>
        </is>
      </c>
      <c r="E49" s="277" t="n"/>
      <c r="F49" s="307" t="inlineStr">
        <is>
          <t>CAPITAL ($)</t>
        </is>
      </c>
      <c r="G49" s="307" t="inlineStr">
        <is>
          <t>ROLE</t>
        </is>
      </c>
      <c r="H49" s="307" t="inlineStr">
        <is>
          <t>EXPENSES ($)</t>
        </is>
      </c>
      <c r="I49" s="277" t="n"/>
      <c r="J49" s="307" t="inlineStr">
        <is>
          <t>REMAINING ($)</t>
        </is>
      </c>
      <c r="K49" s="277" t="n"/>
      <c r="L49" s="307" t="inlineStr">
        <is>
          <t>% SPENT</t>
        </is>
      </c>
      <c r="M49" s="277" t="n"/>
    </row>
    <row r="50" ht="19.95" customHeight="1" s="266">
      <c r="B50" s="306">
        <f>'Capital &amp; Ownership'!B6</f>
        <v/>
      </c>
      <c r="C50" s="277" t="n"/>
      <c r="D50" s="294">
        <f>'Capital &amp; Ownership'!C6</f>
        <v/>
      </c>
      <c r="E50" s="277" t="n"/>
      <c r="F50" s="301">
        <f>'Capital &amp; Ownership'!D6</f>
        <v/>
      </c>
      <c r="G50" s="285" t="inlineStr">
        <is>
          <t>50% — Managing Partner</t>
        </is>
      </c>
      <c r="H50" s="301">
        <f>'Capital &amp; Ownership'!E6</f>
        <v/>
      </c>
      <c r="I50" s="277" t="n"/>
      <c r="J50" s="301">
        <f>'Capital &amp; Ownership'!F6</f>
        <v/>
      </c>
      <c r="K50" s="277" t="n"/>
      <c r="L50" s="294">
        <f>IFERROR('Capital &amp; Ownership'!E6/'Capital &amp; Ownership'!D6,0)</f>
        <v/>
      </c>
      <c r="M50" s="277" t="n"/>
    </row>
    <row r="51" ht="19.95" customHeight="1" s="266">
      <c r="B51" s="308">
        <f>'Capital &amp; Ownership'!B7</f>
        <v/>
      </c>
      <c r="C51" s="277" t="n"/>
      <c r="D51" s="310">
        <f>'Capital &amp; Ownership'!C7</f>
        <v/>
      </c>
      <c r="E51" s="277" t="n"/>
      <c r="F51" s="328">
        <f>'Capital &amp; Ownership'!D7</f>
        <v/>
      </c>
      <c r="G51" s="26" t="inlineStr">
        <is>
          <t>30% — Partner</t>
        </is>
      </c>
      <c r="H51" s="328">
        <f>'Capital &amp; Ownership'!E7</f>
        <v/>
      </c>
      <c r="I51" s="277" t="n"/>
      <c r="J51" s="328">
        <f>'Capital &amp; Ownership'!F7</f>
        <v/>
      </c>
      <c r="K51" s="277" t="n"/>
      <c r="L51" s="310">
        <f>IFERROR('Capital &amp; Ownership'!E7/'Capital &amp; Ownership'!D7,0)</f>
        <v/>
      </c>
      <c r="M51" s="277" t="n"/>
    </row>
    <row r="52" ht="19.95" customHeight="1" s="266">
      <c r="B52" s="306">
        <f>'Capital &amp; Ownership'!B8</f>
        <v/>
      </c>
      <c r="C52" s="277" t="n"/>
      <c r="D52" s="294">
        <f>'Capital &amp; Ownership'!C8</f>
        <v/>
      </c>
      <c r="E52" s="277" t="n"/>
      <c r="F52" s="301">
        <f>'Capital &amp; Ownership'!D8</f>
        <v/>
      </c>
      <c r="G52" s="285" t="inlineStr">
        <is>
          <t>20% — Partner</t>
        </is>
      </c>
      <c r="H52" s="301">
        <f>'Capital &amp; Ownership'!E8</f>
        <v/>
      </c>
      <c r="I52" s="277" t="n"/>
      <c r="J52" s="301">
        <f>'Capital &amp; Ownership'!F8</f>
        <v/>
      </c>
      <c r="K52" s="277" t="n"/>
      <c r="L52" s="294">
        <f>IFERROR('Capital &amp; Ownership'!E8/'Capital &amp; Ownership'!D8,0)</f>
        <v/>
      </c>
      <c r="M52" s="277" t="n"/>
    </row>
    <row r="53" ht="22.05" customHeight="1" s="266">
      <c r="B53" s="318" t="inlineStr">
        <is>
          <t>TOTAL</t>
        </is>
      </c>
      <c r="C53" s="277" t="n"/>
      <c r="D53" s="292">
        <f>'Capital &amp; Ownership'!C9</f>
        <v/>
      </c>
      <c r="E53" s="277" t="n"/>
      <c r="F53" s="276">
        <f>'Capital &amp; Ownership'!D9</f>
        <v/>
      </c>
      <c r="G53" s="307" t="n"/>
      <c r="H53" s="276">
        <f>'Capital &amp; Ownership'!E9</f>
        <v/>
      </c>
      <c r="I53" s="277" t="n"/>
      <c r="J53" s="276">
        <f>'Capital &amp; Ownership'!F9</f>
        <v/>
      </c>
      <c r="K53" s="277" t="n"/>
      <c r="L53" s="292">
        <f>IFERROR('Capital &amp; Ownership'!E9/'Capital &amp; Ownership'!D9,0)</f>
        <v/>
      </c>
      <c r="M53" s="277" t="n"/>
    </row>
    <row r="54" ht="7.95" customHeight="1" s="266"/>
    <row r="55" ht="22.05" customHeight="1" s="266">
      <c r="B55" s="329" t="inlineStr">
        <is>
          <t xml:space="preserve">  🧾  PRE-OPENING EXPENSES BREAKDOWN</t>
        </is>
      </c>
    </row>
    <row r="56" ht="19.95" customHeight="1" s="266">
      <c r="B56" s="307" t="inlineStr">
        <is>
          <t>EXPENSE ITEM</t>
        </is>
      </c>
      <c r="C56" s="281" t="n"/>
      <c r="D56" s="277" t="n"/>
      <c r="E56" s="307" t="inlineStr">
        <is>
          <t>PAID BY</t>
        </is>
      </c>
      <c r="F56" s="277" t="n"/>
      <c r="G56" s="307" t="inlineStr">
        <is>
          <t>AMOUNT ($)</t>
        </is>
      </c>
      <c r="H56" s="277" t="n"/>
      <c r="I56" s="307" t="inlineStr">
        <is>
          <t>CATEGORY</t>
        </is>
      </c>
      <c r="J56" s="277" t="n"/>
      <c r="K56" s="307" t="inlineStr">
        <is>
          <t>STATUS</t>
        </is>
      </c>
      <c r="L56" s="277" t="n"/>
    </row>
    <row r="57" ht="19.95" customHeight="1" s="266">
      <c r="B57" s="290">
        <f>'Capital &amp; Ownership'!B13</f>
        <v/>
      </c>
      <c r="C57" s="281" t="n"/>
      <c r="D57" s="277" t="n"/>
      <c r="E57" s="313" t="inlineStr">
        <is>
          <t>All Partners</t>
        </is>
      </c>
      <c r="F57" s="277" t="n"/>
      <c r="G57" s="298">
        <f>'Capital &amp; Ownership'!D13</f>
        <v/>
      </c>
      <c r="H57" s="277" t="n"/>
      <c r="I57" s="313" t="inlineStr">
        <is>
          <t>Acquisition</t>
        </is>
      </c>
      <c r="J57" s="277" t="n"/>
      <c r="K57" s="313" t="inlineStr">
        <is>
          <t>⚠️ Not Fully Paid</t>
        </is>
      </c>
      <c r="L57" s="277" t="n"/>
    </row>
    <row r="58" ht="19.95" customHeight="1" s="266">
      <c r="B58" s="280">
        <f>'Capital &amp; Ownership'!B14</f>
        <v/>
      </c>
      <c r="C58" s="281" t="n"/>
      <c r="D58" s="277" t="n"/>
      <c r="E58" s="302" t="inlineStr">
        <is>
          <t>Lohith Reddy</t>
        </is>
      </c>
      <c r="F58" s="277" t="n"/>
      <c r="G58" s="304">
        <f>'Capital &amp; Ownership'!D14</f>
        <v/>
      </c>
      <c r="H58" s="277" t="n"/>
      <c r="I58" s="302" t="inlineStr">
        <is>
          <t>Acquisition Advance</t>
        </is>
      </c>
      <c r="J58" s="277" t="n"/>
      <c r="K58" s="302" t="inlineStr">
        <is>
          <t>✅ Paid</t>
        </is>
      </c>
      <c r="L58" s="277" t="n"/>
    </row>
    <row r="59" ht="19.95" customHeight="1" s="266">
      <c r="B59" s="280">
        <f>'Capital &amp; Ownership'!B27</f>
        <v/>
      </c>
      <c r="C59" s="281" t="n"/>
      <c r="D59" s="277" t="n"/>
      <c r="E59" s="302" t="inlineStr">
        <is>
          <t>Kashigoud Patil</t>
        </is>
      </c>
      <c r="F59" s="277" t="n"/>
      <c r="G59" s="304">
        <f>'Capital &amp; Ownership'!D27</f>
        <v/>
      </c>
      <c r="H59" s="277" t="n"/>
      <c r="I59" s="302" t="inlineStr">
        <is>
          <t>Software / License</t>
        </is>
      </c>
      <c r="J59" s="277" t="n"/>
      <c r="K59" s="302" t="inlineStr">
        <is>
          <t>✅ Paid</t>
        </is>
      </c>
      <c r="L59" s="277" t="n"/>
    </row>
    <row r="60" ht="19.95" customHeight="1" s="266">
      <c r="B60" s="280">
        <f>'Capital &amp; Ownership'!B28</f>
        <v/>
      </c>
      <c r="C60" s="281" t="n"/>
      <c r="D60" s="277" t="n"/>
      <c r="E60" s="302" t="inlineStr">
        <is>
          <t>Kashigoud Patil</t>
        </is>
      </c>
      <c r="F60" s="277" t="n"/>
      <c r="G60" s="304">
        <f>'Capital &amp; Ownership'!D28</f>
        <v/>
      </c>
      <c r="H60" s="277" t="n"/>
      <c r="I60" s="302" t="inlineStr">
        <is>
          <t>Equipment</t>
        </is>
      </c>
      <c r="J60" s="277" t="n"/>
      <c r="K60" s="302" t="inlineStr">
        <is>
          <t>✅ Paid</t>
        </is>
      </c>
      <c r="L60" s="277" t="n"/>
    </row>
    <row r="61" ht="19.95" customHeight="1" s="266">
      <c r="B61" s="306">
        <f>'Capital &amp; Ownership'!B39</f>
        <v/>
      </c>
      <c r="C61" s="281" t="n"/>
      <c r="D61" s="277" t="n"/>
      <c r="E61" s="285" t="inlineStr">
        <is>
          <t>Lohith Reddy</t>
        </is>
      </c>
      <c r="F61" s="277" t="n"/>
      <c r="G61" s="301">
        <f>'Capital &amp; Ownership'!D39</f>
        <v/>
      </c>
      <c r="H61" s="277" t="n"/>
      <c r="I61" s="285" t="inlineStr">
        <is>
          <t>Legal / Notary</t>
        </is>
      </c>
      <c r="J61" s="277" t="n"/>
      <c r="K61" s="285" t="inlineStr">
        <is>
          <t>✅ Paid</t>
        </is>
      </c>
      <c r="L61" s="277" t="n"/>
    </row>
    <row r="62" ht="19.95" customHeight="1" s="266">
      <c r="B62" s="306">
        <f>'Capital &amp; Ownership'!B40</f>
        <v/>
      </c>
      <c r="C62" s="281" t="n"/>
      <c r="D62" s="277" t="n"/>
      <c r="E62" s="285" t="inlineStr">
        <is>
          <t>Lohith Reddy</t>
        </is>
      </c>
      <c r="F62" s="277" t="n"/>
      <c r="G62" s="301">
        <f>'Capital &amp; Ownership'!D40</f>
        <v/>
      </c>
      <c r="H62" s="277" t="n"/>
      <c r="I62" s="285" t="inlineStr">
        <is>
          <t>Legal / Insurance</t>
        </is>
      </c>
      <c r="J62" s="277" t="n"/>
      <c r="K62" s="285" t="inlineStr">
        <is>
          <t>✅ Paid</t>
        </is>
      </c>
      <c r="L62" s="277" t="n"/>
    </row>
    <row r="63" ht="19.95" customHeight="1" s="266">
      <c r="B63" s="306">
        <f>'Capital &amp; Ownership'!B41</f>
        <v/>
      </c>
      <c r="C63" s="281" t="n"/>
      <c r="D63" s="277" t="n"/>
      <c r="E63" s="285" t="inlineStr">
        <is>
          <t>Lohith Reddy</t>
        </is>
      </c>
      <c r="F63" s="277" t="n"/>
      <c r="G63" s="301">
        <f>'Capital &amp; Ownership'!D41</f>
        <v/>
      </c>
      <c r="H63" s="277" t="n"/>
      <c r="I63" s="285" t="inlineStr">
        <is>
          <t>Professional Services</t>
        </is>
      </c>
      <c r="J63" s="277" t="n"/>
      <c r="K63" s="285" t="inlineStr">
        <is>
          <t>✅ Paid</t>
        </is>
      </c>
      <c r="L63" s="277" t="n"/>
    </row>
    <row r="64" ht="19.95" customHeight="1" s="266">
      <c r="B64" s="342" t="inlineStr">
        <is>
          <t xml:space="preserve">  ℹ️  Internal transfers:  Kashigoud → Lohith  $125,000  |  Shashirekha → Lohith  $100,000  (not counted as expenses — capital reallocation only)</t>
        </is>
      </c>
      <c r="C64" s="281" t="n"/>
      <c r="D64" s="281" t="n"/>
      <c r="E64" s="281" t="n"/>
      <c r="F64" s="281" t="n"/>
      <c r="G64" s="281" t="n"/>
      <c r="H64" s="281" t="n"/>
      <c r="I64" s="281" t="n"/>
      <c r="J64" s="281" t="n"/>
      <c r="K64" s="281" t="n"/>
      <c r="L64" s="281" t="n"/>
      <c r="M64" s="27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66" min="1" max="1"/>
    <col width="18" customWidth="1" style="266" min="2" max="2"/>
    <col width="16" customWidth="1" style="266" min="3" max="5"/>
    <col width="12" customWidth="1" style="266" min="6" max="6"/>
    <col width="14" customWidth="1" style="266" min="7" max="7"/>
    <col width="16" customWidth="1" style="266" min="8" max="9"/>
    <col width="12" customWidth="1" style="266" min="10" max="10"/>
    <col width="30" customWidth="1" style="266" min="11" max="11"/>
    <col width="16" customWidth="1" style="266" min="12" max="17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66">
      <c r="A2" s="336" t="inlineStr">
        <is>
          <t>📅  LOKA — DAILY LOG</t>
        </is>
      </c>
      <c r="I2" s="309" t="inlineStr">
        <is>
          <t>Enter 2 values from Soft App each day → everything else calculates</t>
        </is>
      </c>
    </row>
    <row r="3" ht="3.75" customHeight="1" s="266">
      <c r="A3" s="319" t="n"/>
    </row>
    <row r="4" ht="7.5" customHeight="1" s="266"/>
    <row r="5" ht="49.5" customHeight="1" s="266">
      <c r="B5" s="32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  <c r="N5" s="268" t="n"/>
      <c r="O5" s="268" t="n"/>
      <c r="P5" s="268" t="n"/>
    </row>
    <row r="6" ht="7.5" customHeight="1" s="266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66">
      <c r="B7" s="278" t="inlineStr">
        <is>
          <t>Date</t>
        </is>
      </c>
      <c r="C7" s="278" t="inlineStr">
        <is>
          <t>Day</t>
        </is>
      </c>
      <c r="D7" s="278" t="inlineStr">
        <is>
          <t>Card / Mercado Pago ($)</t>
        </is>
      </c>
      <c r="E7" s="278" t="inlineStr">
        <is>
          <t>Cash ($)</t>
        </is>
      </c>
      <c r="F7" s="278" t="inlineStr">
        <is>
          <t>Total Revenue ($)</t>
        </is>
      </c>
      <c r="G7" s="278" t="inlineStr">
        <is>
          <t>Transfer ($)</t>
        </is>
      </c>
      <c r="H7" s="278" t="inlineStr">
        <is>
          <t>Expenses $</t>
        </is>
      </c>
      <c r="I7" s="278" t="inlineStr">
        <is>
          <t>Net Profit $</t>
        </is>
      </c>
      <c r="J7" s="278" t="inlineStr">
        <is>
          <t>Margin %</t>
        </is>
      </c>
      <c r="K7" s="278" t="inlineStr">
        <is>
          <t>Notes</t>
        </is>
      </c>
      <c r="L7" s="278" t="inlineStr">
        <is>
          <t>Source</t>
        </is>
      </c>
      <c r="M7" s="278" t="inlineStr">
        <is>
          <t>WEEK PROFIT</t>
        </is>
      </c>
      <c r="N7" s="278" t="inlineStr">
        <is>
          <t>CUMUL. REVENUE</t>
        </is>
      </c>
      <c r="O7" s="278" t="inlineStr">
        <is>
          <t>MONTH REVENUE</t>
        </is>
      </c>
      <c r="P7" s="278" t="inlineStr">
        <is>
          <t>Week Expenses</t>
        </is>
      </c>
      <c r="Q7" s="278" t="inlineStr">
        <is>
          <t>Week Profit</t>
        </is>
      </c>
    </row>
    <row r="8" ht="16.5" customHeight="1" s="266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66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66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66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66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66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66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66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66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66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66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66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66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66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66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66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66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66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66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66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66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66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66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6578.98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66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/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66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66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66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66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66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66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66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66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66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66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66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66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66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66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66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66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66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66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66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66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66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66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66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66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66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66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66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66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66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66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66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66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66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66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66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66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66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66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66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66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66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66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66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66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66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66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66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66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66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66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66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66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66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66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66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66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66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66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66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66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66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66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66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66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66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66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66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66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66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66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66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66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66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66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66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66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66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66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66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66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66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66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66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66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66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66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66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66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66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66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66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66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66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66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66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66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66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66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66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66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66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66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66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66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66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66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66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66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66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66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66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66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66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66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66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66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66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66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66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66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66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66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66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66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66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66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66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66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66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66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66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66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66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66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66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66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66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66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66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66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66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66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66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66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66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66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66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66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66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66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66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66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66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66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66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66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66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66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66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66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66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66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66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66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66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66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66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66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66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66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66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66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66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66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66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66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66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66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66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66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66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66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66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66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66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66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66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66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66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66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66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66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66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66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66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66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66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66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66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66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66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66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66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66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66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66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66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66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66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66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66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66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66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66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66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66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66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66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66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66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66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66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66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66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66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66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66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66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66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66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66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66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66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66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66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66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66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66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66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66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66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66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66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66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66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66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66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66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66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66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66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66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66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66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66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66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66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66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66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66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66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66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66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66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66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66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66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66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66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66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66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66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66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66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66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66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66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66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66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66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66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66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66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66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66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66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66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66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66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66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66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66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66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66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66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66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66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66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66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66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66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66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66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66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66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66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66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66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66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66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66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66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66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66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66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66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66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66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66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66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66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66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66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66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66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66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66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66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66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66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66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66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66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66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66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66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66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66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66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66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66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4" customWidth="1" style="266" min="3" max="3"/>
    <col width="22" customWidth="1" style="266" min="4" max="4"/>
    <col width="19.77734375" customWidth="1" style="266" min="5" max="5"/>
    <col width="16" customWidth="1" style="266" min="6" max="6"/>
    <col width="14" customWidth="1" style="266" min="7" max="7"/>
    <col width="16" customWidth="1" style="266" min="8" max="8"/>
    <col width="18" customWidth="1" style="266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66">
      <c r="A2" s="336" t="inlineStr">
        <is>
          <t>💸  LOKA — EXPENSES TRACKER</t>
        </is>
      </c>
      <c r="E2" s="309" t="inlineStr">
        <is>
          <t>Log every cost: ingredients, staff, utilities, supplies…</t>
        </is>
      </c>
    </row>
    <row r="3">
      <c r="A3" s="3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66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66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66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66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66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66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66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66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66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66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Carne Molida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>
        <v>46182</v>
      </c>
      <c r="C219" s="69" t="inlineStr">
        <is>
          <t>Queso Gouda Menona (2.04 kg)</t>
        </is>
      </c>
      <c r="D219" s="68" t="inlineStr">
        <is>
          <t>La Bodega del Buen Queso</t>
        </is>
      </c>
      <c r="E219" s="69" t="inlineStr">
        <is>
          <t>Ingredients - Dairy</t>
        </is>
      </c>
      <c r="F219" s="70" t="n">
        <v>275.4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2.04 kg x $135 — Nota 0031847, 09/jun/2026 10:10</t>
        </is>
      </c>
    </row>
    <row r="220">
      <c r="B220" s="64" t="n">
        <v>46182</v>
      </c>
      <c r="C220" s="65" t="inlineStr">
        <is>
          <t>Muslo de Pollo (4.40 kg)</t>
        </is>
      </c>
      <c r="D220" s="66" t="inlineStr">
        <is>
          <t>Remision</t>
        </is>
      </c>
      <c r="E220" s="65" t="inlineStr">
        <is>
          <t>Ingredients - Meat</t>
        </is>
      </c>
      <c r="F220" s="67" t="n">
        <v>220</v>
      </c>
      <c r="G220" s="14" t="inlineStr">
        <is>
          <t>Restaurant</t>
        </is>
      </c>
      <c r="H220" s="14" t="inlineStr">
        <is>
          <t>Cash</t>
        </is>
      </c>
      <c r="I220" s="43" t="inlineStr">
        <is>
          <t>✅ Paid</t>
        </is>
      </c>
      <c r="J220" t="inlineStr">
        <is>
          <t>4.40 kg x $50 — Remision 09/06/26</t>
        </is>
      </c>
    </row>
    <row r="221">
      <c r="B221" s="64" t="n">
        <v>46182</v>
      </c>
      <c r="C221" s="69" t="inlineStr">
        <is>
          <t>Pechuga de Pollo (3.95 kg)</t>
        </is>
      </c>
      <c r="D221" s="68" t="inlineStr">
        <is>
          <t>Remision</t>
        </is>
      </c>
      <c r="E221" s="69" t="inlineStr">
        <is>
          <t>Ingredients - Meat</t>
        </is>
      </c>
      <c r="F221" s="70" t="n">
        <v>455</v>
      </c>
      <c r="G221" s="23" t="inlineStr">
        <is>
          <t>Restaurant</t>
        </is>
      </c>
      <c r="H221" s="23" t="inlineStr">
        <is>
          <t>Cash</t>
        </is>
      </c>
      <c r="I221" s="55" t="inlineStr">
        <is>
          <t>✅ Paid</t>
        </is>
      </c>
      <c r="J221" t="inlineStr">
        <is>
          <t>3.95 kg x $115 — Remision 09/06/26 total $675</t>
        </is>
      </c>
    </row>
    <row r="222">
      <c r="B222" s="64" t="n">
        <v>46182</v>
      </c>
      <c r="C222" s="65" t="inlineStr">
        <is>
          <t>Jamon Deli Pierna Manolina</t>
        </is>
      </c>
      <c r="D222" s="66" t="inlineStr">
        <is>
          <t>San Juan Salchichonerias</t>
        </is>
      </c>
      <c r="E222" s="65" t="inlineStr">
        <is>
          <t>Ingredients - Meat</t>
        </is>
      </c>
      <c r="F222" s="67" t="n">
        <v>172.35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After $24.56 discount — Rappi/Banregio ••••3982, 09/06/2026 10:20</t>
        </is>
      </c>
    </row>
    <row r="223">
      <c r="B223" s="64" t="n">
        <v>46182</v>
      </c>
      <c r="C223" s="69" t="inlineStr">
        <is>
          <t>Ribeye</t>
        </is>
      </c>
      <c r="D223" s="68" t="inlineStr">
        <is>
          <t>Miscelanea LC La Cruz</t>
        </is>
      </c>
      <c r="E223" s="69" t="inlineStr">
        <is>
          <t>Ingredients - Meat</t>
        </is>
      </c>
      <c r="F223" s="70" t="n">
        <v>426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Getnet $529 total — 09/06/2026 10:16</t>
        </is>
      </c>
    </row>
    <row r="224">
      <c r="B224" s="64" t="n">
        <v>46182</v>
      </c>
      <c r="C224" s="65" t="inlineStr">
        <is>
          <t>Bistec Cerdo</t>
        </is>
      </c>
      <c r="D224" s="66" t="inlineStr">
        <is>
          <t>Miscelanea LC La Cruz</t>
        </is>
      </c>
      <c r="E224" s="65" t="inlineStr">
        <is>
          <t>Ingredients - Meat</t>
        </is>
      </c>
      <c r="F224" s="67" t="n">
        <v>103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Part of same Getnet $529 remision</t>
        </is>
      </c>
    </row>
    <row r="225">
      <c r="B225" s="64" t="n">
        <v>46182</v>
      </c>
      <c r="C225" s="69" t="inlineStr">
        <is>
          <t>Aceite La Posada 800 (x4, 2x1 promo)</t>
        </is>
      </c>
      <c r="D225" s="68" t="inlineStr">
        <is>
          <t>OXXO Pathe QRF</t>
        </is>
      </c>
      <c r="E225" s="69" t="inlineStr">
        <is>
          <t>Ingredients - Pantry</t>
        </is>
      </c>
      <c r="F225" s="70" t="n">
        <v>104</v>
      </c>
      <c r="G225" s="23" t="inlineStr">
        <is>
          <t>Restaurant</t>
        </is>
      </c>
      <c r="H225" s="23" t="inlineStr">
        <is>
          <t>Card</t>
        </is>
      </c>
      <c r="I225" s="55" t="inlineStr">
        <is>
          <t>✅ Paid</t>
        </is>
      </c>
      <c r="J225" t="inlineStr">
        <is>
          <t>4 units after $23.60 promo discount — 09/06/2026 09:28</t>
        </is>
      </c>
    </row>
    <row r="226">
      <c r="B226" s="64" t="n">
        <v>46182</v>
      </c>
      <c r="C226" s="65" t="inlineStr">
        <is>
          <t>UHT Lala Entera 1.5L (x2)</t>
        </is>
      </c>
      <c r="D226" s="66" t="inlineStr">
        <is>
          <t>OXXO Pathe QRF</t>
        </is>
      </c>
      <c r="E226" s="65" t="inlineStr">
        <is>
          <t>Ingredients - Dairy</t>
        </is>
      </c>
      <c r="F226" s="67" t="n">
        <v>93</v>
      </c>
      <c r="G226" s="14" t="inlineStr">
        <is>
          <t>Restaurant</t>
        </is>
      </c>
      <c r="H226" s="14" t="inlineStr">
        <is>
          <t>Card</t>
        </is>
      </c>
      <c r="I226" s="43" t="inlineStr">
        <is>
          <t>✅ Paid</t>
        </is>
      </c>
      <c r="J226" t="inlineStr">
        <is>
          <t>2 x $56 with $9.50 discount each = $93 — 09/06/2026 09:39</t>
        </is>
      </c>
    </row>
    <row r="227">
      <c r="B227" s="64" t="n">
        <v>46182</v>
      </c>
      <c r="C227" s="69" t="inlineStr">
        <is>
          <t>Lenteja Grande Granel (2 kg)</t>
        </is>
      </c>
      <c r="D227" s="68" t="inlineStr">
        <is>
          <t>Molino y Condimentos La Cruz</t>
        </is>
      </c>
      <c r="E227" s="69" t="inlineStr">
        <is>
          <t>Ingredients - Pantry</t>
        </is>
      </c>
      <c r="F227" s="70" t="n">
        <v>48</v>
      </c>
      <c r="G227" s="23" t="inlineStr">
        <is>
          <t>Restaurant</t>
        </is>
      </c>
      <c r="H227" s="23" t="inlineStr">
        <is>
          <t>Cash</t>
        </is>
      </c>
      <c r="I227" s="55" t="inlineStr">
        <is>
          <t>✅ Paid</t>
        </is>
      </c>
      <c r="J227" t="inlineStr">
        <is>
          <t>Nota 200483 — 09/06/2026</t>
        </is>
      </c>
    </row>
    <row r="228">
      <c r="B228" s="64" t="n">
        <v>46182</v>
      </c>
      <c r="C228" s="65" t="inlineStr">
        <is>
          <t>Hielo</t>
        </is>
      </c>
      <c r="D228" s="66" t="inlineStr">
        <is>
          <t>—</t>
        </is>
      </c>
      <c r="E228" s="65" t="inlineStr">
        <is>
          <t>Supplies / Other</t>
        </is>
      </c>
      <c r="F228" s="67" t="n">
        <v>50</v>
      </c>
      <c r="G228" s="14" t="inlineStr">
        <is>
          <t>Restaurant</t>
        </is>
      </c>
      <c r="H228" s="14" t="inlineStr">
        <is>
          <t>Cash</t>
        </is>
      </c>
      <c r="I228" s="43" t="inlineStr">
        <is>
          <t>✅ Paid</t>
        </is>
      </c>
      <c r="J228" t="inlineStr">
        <is>
          <t>No bill</t>
        </is>
      </c>
    </row>
    <row r="229">
      <c r="B229" s="64" t="n">
        <v>46182</v>
      </c>
      <c r="C229" s="69" t="inlineStr">
        <is>
          <t>Tea Zone Concentrado Lichi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Folio 005C01FR44612 incl IVA</t>
        </is>
      </c>
    </row>
    <row r="230">
      <c r="B230" s="64" t="n">
        <v>46182</v>
      </c>
      <c r="C230" s="65" t="inlineStr">
        <is>
          <t>Tea Zone Concentrado Fresa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Tea Zone Concentrado Maracuya 1.9L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679.01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incl IVA 93.66</t>
        </is>
      </c>
    </row>
    <row r="232">
      <c r="B232" s="64" t="n">
        <v>46182</v>
      </c>
      <c r="C232" s="65" t="inlineStr">
        <is>
          <t>Tea Zone Concentrado Mango 1.9L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679.01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incl IVA 93.66</t>
        </is>
      </c>
    </row>
    <row r="233">
      <c r="B233" s="64" t="n">
        <v>46182</v>
      </c>
      <c r="C233" s="69" t="inlineStr">
        <is>
          <t>Chillout Mix Base Taro 2kg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592.37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Frappe base powder</t>
        </is>
      </c>
    </row>
    <row r="234">
      <c r="B234" s="64" t="n">
        <v>46182</v>
      </c>
      <c r="C234" s="65" t="inlineStr">
        <is>
          <t>Chillout Mix Base Te Matcha 2kg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792.8200000000001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Frappe base powder</t>
        </is>
      </c>
    </row>
    <row r="235">
      <c r="B235" s="64" t="n">
        <v>46182</v>
      </c>
      <c r="C235" s="69" t="inlineStr">
        <is>
          <t>Jarabe Agave Caramelo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Agave syrup</t>
        </is>
      </c>
    </row>
    <row r="236">
      <c r="B236" s="64" t="n">
        <v>46182</v>
      </c>
      <c r="C236" s="65" t="inlineStr">
        <is>
          <t>Jarabe Agave Crema Irlandesa 1L</t>
        </is>
      </c>
      <c r="D236" s="66" t="inlineStr">
        <is>
          <t>Etrusca</t>
        </is>
      </c>
      <c r="E236" s="65" t="inlineStr">
        <is>
          <t>Ingredients - Beverages</t>
        </is>
      </c>
      <c r="F236" s="67" t="n">
        <v>177</v>
      </c>
      <c r="G236" s="14" t="inlineStr">
        <is>
          <t>Restaurant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Agave syrup</t>
        </is>
      </c>
    </row>
    <row r="237">
      <c r="B237" s="64" t="n">
        <v>46182</v>
      </c>
      <c r="C237" s="69" t="inlineStr">
        <is>
          <t>Jarabe Agave Vainilla Francesa 1L</t>
        </is>
      </c>
      <c r="D237" s="68" t="inlineStr">
        <is>
          <t>Etrusca</t>
        </is>
      </c>
      <c r="E237" s="69" t="inlineStr">
        <is>
          <t>Ingredients - Beverages</t>
        </is>
      </c>
      <c r="F237" s="70" t="n">
        <v>177</v>
      </c>
      <c r="G237" s="23" t="inlineStr">
        <is>
          <t>Restaurant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Etrusca total 4632.23 MC 2684 17:00</t>
        </is>
      </c>
    </row>
    <row r="238">
      <c r="B238" s="64" t="n"/>
      <c r="C238" s="65" t="n"/>
      <c r="D238" s="66" t="n"/>
      <c r="E238" s="65" t="n"/>
      <c r="F238" s="67" t="n"/>
      <c r="G238" s="14" t="n"/>
      <c r="H238" s="14" t="n"/>
      <c r="I238" s="43" t="n"/>
    </row>
    <row r="239">
      <c r="B239" s="64" t="n"/>
      <c r="C239" s="69" t="n"/>
      <c r="D239" s="68" t="n"/>
      <c r="E239" s="69" t="n"/>
      <c r="F239" s="70" t="n"/>
      <c r="G239" s="23" t="n"/>
      <c r="H239" s="23" t="n"/>
      <c r="I239" s="55" t="n"/>
    </row>
    <row r="240">
      <c r="B240" s="64" t="n"/>
      <c r="C240" s="65" t="n"/>
      <c r="D240" s="66" t="n"/>
      <c r="E240" s="65" t="n"/>
      <c r="F240" s="67" t="n"/>
      <c r="G240" s="14" t="n"/>
      <c r="H240" s="14" t="n"/>
      <c r="I240" s="43" t="n"/>
    </row>
    <row r="241">
      <c r="B241" s="64" t="n"/>
      <c r="C241" s="69" t="n"/>
      <c r="D241" s="68" t="n"/>
      <c r="E241" s="69" t="n"/>
      <c r="F241" s="70" t="n"/>
      <c r="G241" s="23" t="n"/>
      <c r="H241" s="23" t="n"/>
      <c r="I241" s="55" t="n"/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66" min="1" max="1"/>
    <col width="26" customWidth="1" style="266" min="2" max="2"/>
    <col width="16" customWidth="1" style="266" min="3" max="3"/>
    <col width="10" customWidth="1" style="266" min="4" max="4"/>
    <col width="14" customWidth="1" style="266" min="5" max="5"/>
    <col width="12" customWidth="1" style="266" min="6" max="7"/>
    <col width="14" customWidth="1" style="266" min="8" max="8"/>
    <col width="16" customWidth="1" style="266" min="9" max="9"/>
    <col width="20" customWidth="1" style="266" min="10" max="10"/>
    <col width="18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📦  LOKA — INVENTORY</t>
        </is>
      </c>
      <c r="F2" s="309" t="inlineStr">
        <is>
          <t>Update stock levels when you receive deliveries or do stock checks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66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66"/>
    <row r="8" ht="19.5" customHeight="1" s="266">
      <c r="B8" s="345" t="inlineStr">
        <is>
          <t>Item Name  |  Category  |  Unit  |  Min Stock  |  Current Stock  |  Last Ordered  |  Supplier  |  Status  |  Notes</t>
        </is>
      </c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inlineStr">
        <is>
          <t>Carne de Res</t>
        </is>
      </c>
      <c r="C9" s="278" t="inlineStr">
        <is>
          <t>Ingredients - Meat</t>
        </is>
      </c>
      <c r="D9" s="278" t="inlineStr">
        <is>
          <t>kg</t>
        </is>
      </c>
      <c r="E9" s="278" t="n">
        <v>0</v>
      </c>
      <c r="F9" s="278" t="n"/>
      <c r="G9" s="278" t="n"/>
      <c r="H9" s="278" t="n"/>
      <c r="I9" s="278" t="n"/>
      <c r="J9" s="278">
        <f>IF(ISBLANK(F9),"—",IF(F9=0,"🚫 OUT OF STOCK",IF(F9&lt;=E9,"⚠️ LOW STOCK","✅ OK")))</f>
        <v/>
      </c>
      <c r="K9" s="278" t="n"/>
    </row>
    <row r="10" ht="15.75" customHeight="1" s="266">
      <c r="B10" s="83" t="inlineStr">
        <is>
          <t>Jamon Mexicano</t>
        </is>
      </c>
      <c r="C10" s="297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66">
      <c r="B11" s="90" t="inlineStr">
        <is>
          <t>Pollo</t>
        </is>
      </c>
      <c r="C11" s="282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66">
      <c r="B12" s="83" t="inlineStr">
        <is>
          <t>Chuletas de Carne</t>
        </is>
      </c>
      <c r="C12" s="297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66">
      <c r="B13" s="90" t="inlineStr">
        <is>
          <t>Costillas de Cerdo</t>
        </is>
      </c>
      <c r="C13" s="282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66">
      <c r="B14" s="83" t="inlineStr">
        <is>
          <t>Salmon</t>
        </is>
      </c>
      <c r="C14" s="297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66">
      <c r="B15" s="90" t="inlineStr">
        <is>
          <t>Filete de Mojarra</t>
        </is>
      </c>
      <c r="C15" s="282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66">
      <c r="B16" s="83" t="inlineStr">
        <is>
          <t>Papas</t>
        </is>
      </c>
      <c r="C16" s="297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66">
      <c r="B17" s="90" t="inlineStr">
        <is>
          <t>Lechuga</t>
        </is>
      </c>
      <c r="C17" s="282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66">
      <c r="B18" s="83" t="inlineStr">
        <is>
          <t>Jitomate</t>
        </is>
      </c>
      <c r="C18" s="297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66">
      <c r="B19" s="90" t="inlineStr">
        <is>
          <t>Cilantro</t>
        </is>
      </c>
      <c r="C19" s="282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66">
      <c r="B20" s="83" t="inlineStr">
        <is>
          <t>Italiana</t>
        </is>
      </c>
      <c r="C20" s="297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66">
      <c r="B21" s="90" t="inlineStr">
        <is>
          <t>Habanero</t>
        </is>
      </c>
      <c r="C21" s="282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66">
      <c r="B22" s="83" t="inlineStr">
        <is>
          <t>Pepino</t>
        </is>
      </c>
      <c r="C22" s="297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66">
      <c r="B23" s="90" t="inlineStr">
        <is>
          <t>Betabel</t>
        </is>
      </c>
      <c r="C23" s="282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66">
      <c r="B24" s="83" t="inlineStr">
        <is>
          <t>Pimiento Morron</t>
        </is>
      </c>
      <c r="C24" s="297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66">
      <c r="B25" s="90" t="inlineStr">
        <is>
          <t>Verduras variadas</t>
        </is>
      </c>
      <c r="C25" s="282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66">
      <c r="B26" s="83" t="inlineStr">
        <is>
          <t>Naranja de Jugo</t>
        </is>
      </c>
      <c r="C26" s="297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66">
      <c r="B27" s="90" t="inlineStr">
        <is>
          <t>Mango</t>
        </is>
      </c>
      <c r="C27" s="282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66">
      <c r="B28" s="83" t="inlineStr">
        <is>
          <t>Sandia</t>
        </is>
      </c>
      <c r="C28" s="297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66">
      <c r="B29" s="90" t="inlineStr">
        <is>
          <t>Guayabas</t>
        </is>
      </c>
      <c r="C29" s="282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66">
      <c r="B30" s="83" t="inlineStr">
        <is>
          <t>Jicamas</t>
        </is>
      </c>
      <c r="C30" s="297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66">
      <c r="B31" s="90" t="inlineStr">
        <is>
          <t>Pinas</t>
        </is>
      </c>
      <c r="C31" s="282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66">
      <c r="B32" s="83" t="inlineStr">
        <is>
          <t>Melon</t>
        </is>
      </c>
      <c r="C32" s="297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66">
      <c r="B33" s="90" t="inlineStr">
        <is>
          <t>Frutas variadas</t>
        </is>
      </c>
      <c r="C33" s="282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66">
      <c r="B34" s="83" t="inlineStr">
        <is>
          <t>Queso Gouda</t>
        </is>
      </c>
      <c r="C34" s="297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66">
      <c r="B35" s="90" t="inlineStr">
        <is>
          <t>Queso Crema (Lala)</t>
        </is>
      </c>
      <c r="C35" s="282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66">
      <c r="B36" s="83" t="inlineStr">
        <is>
          <t>Crema</t>
        </is>
      </c>
      <c r="C36" s="297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66">
      <c r="B37" s="90" t="inlineStr">
        <is>
          <t>Leche (Nutralat)</t>
        </is>
      </c>
      <c r="C37" s="282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66">
      <c r="B38" s="83" t="inlineStr">
        <is>
          <t>Leche Deslactosada</t>
        </is>
      </c>
      <c r="C38" s="297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66">
      <c r="B39" s="90" t="inlineStr">
        <is>
          <t>Arroz</t>
        </is>
      </c>
      <c r="C39" s="282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66">
      <c r="B40" s="83" t="inlineStr">
        <is>
          <t>Tortillas</t>
        </is>
      </c>
      <c r="C40" s="297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66">
      <c r="B41" s="90" t="inlineStr">
        <is>
          <t>Pasta</t>
        </is>
      </c>
      <c r="C41" s="282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66">
      <c r="B42" s="83" t="inlineStr">
        <is>
          <t>Aceite Vegetal</t>
        </is>
      </c>
      <c r="C42" s="297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66">
      <c r="B43" s="90" t="inlineStr">
        <is>
          <t>Azucar</t>
        </is>
      </c>
      <c r="C43" s="282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66">
      <c r="B44" s="83" t="inlineStr">
        <is>
          <t>Basicos (Varios)</t>
        </is>
      </c>
      <c r="C44" s="297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66">
      <c r="B45" s="90" t="inlineStr">
        <is>
          <t>Pan Hamburguesa</t>
        </is>
      </c>
      <c r="C45" s="282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66">
      <c r="B46" s="83" t="inlineStr">
        <is>
          <t>Pan de Caja Arandano</t>
        </is>
      </c>
      <c r="C46" s="297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66">
      <c r="B47" s="90" t="inlineStr">
        <is>
          <t>Panko</t>
        </is>
      </c>
      <c r="C47" s="282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66">
      <c r="B48" s="83" t="inlineStr">
        <is>
          <t>Bolillo</t>
        </is>
      </c>
      <c r="C48" s="297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66">
      <c r="B49" s="90" t="inlineStr">
        <is>
          <t>Rosca de Nuez</t>
        </is>
      </c>
      <c r="C49" s="282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66">
      <c r="B50" s="83" t="inlineStr">
        <is>
          <t>Limonada Concentrado</t>
        </is>
      </c>
      <c r="C50" s="297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66">
      <c r="B51" s="90" t="inlineStr">
        <is>
          <t>Naranjada Concentrado</t>
        </is>
      </c>
      <c r="C51" s="282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66">
      <c r="B52" s="83" t="inlineStr">
        <is>
          <t>Tamarindo Concentrado</t>
        </is>
      </c>
      <c r="C52" s="297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66">
      <c r="B53" s="90" t="inlineStr">
        <is>
          <t>Tilapia</t>
        </is>
      </c>
      <c r="C53" s="282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66">
      <c r="B54" s="83" t="inlineStr">
        <is>
          <t>Chapata</t>
        </is>
      </c>
      <c r="C54" s="297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66">
      <c r="B55" s="90" t="inlineStr">
        <is>
          <t>Bistek de Puerco</t>
        </is>
      </c>
      <c r="C55" s="282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66">
      <c r="B56" s="83" t="inlineStr">
        <is>
          <t>Sal Fina</t>
        </is>
      </c>
      <c r="C56" s="297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66">
      <c r="B57" s="90" t="inlineStr">
        <is>
          <t>Coca Cola</t>
        </is>
      </c>
      <c r="C57" s="282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66">
      <c r="B58" s="83" t="inlineStr">
        <is>
          <t>Leche Alpura</t>
        </is>
      </c>
      <c r="C58" s="297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66">
      <c r="B59" s="90" t="inlineStr">
        <is>
          <t>Crema Ácida</t>
        </is>
      </c>
      <c r="C59" s="282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66">
      <c r="B60" s="83" t="inlineStr">
        <is>
          <t>Salsa / Tomate Lata</t>
        </is>
      </c>
      <c r="C60" s="297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66">
      <c r="B61" s="90" t="inlineStr">
        <is>
          <t>Champiñones</t>
        </is>
      </c>
      <c r="C61" s="282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66">
      <c r="B62" s="83" t="inlineStr">
        <is>
          <t>Tocino</t>
        </is>
      </c>
      <c r="C62" s="297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66">
      <c r="B63" s="90" t="inlineStr">
        <is>
          <t>Bistec Cerdo</t>
        </is>
      </c>
      <c r="C63" s="282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66">
      <c r="B64" s="83" t="inlineStr">
        <is>
          <t>Pierna Cerdo</t>
        </is>
      </c>
      <c r="C64" s="297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66">
      <c r="B65" s="90" t="inlineStr">
        <is>
          <t>Muslo con Hueso</t>
        </is>
      </c>
      <c r="C65" s="282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66">
      <c r="B66" s="83" t="inlineStr">
        <is>
          <t>Elote en Lata</t>
        </is>
      </c>
      <c r="C66" s="297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66" thickBot="1">
      <c r="B67" s="90" t="inlineStr">
        <is>
          <t>Cebolla</t>
        </is>
      </c>
      <c r="C67" s="282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66" thickBot="1">
      <c r="B68" s="83" t="inlineStr">
        <is>
          <t>Queso Panela</t>
        </is>
      </c>
      <c r="C68" s="297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66" thickBot="1">
      <c r="B69" s="90" t="inlineStr">
        <is>
          <t>Microfibra / Limpieza</t>
        </is>
      </c>
      <c r="C69" s="282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66" thickBot="1">
      <c r="B70" s="83" t="inlineStr">
        <is>
          <t>Concha Chocolate</t>
        </is>
      </c>
      <c r="C70" s="297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66" thickBot="1">
      <c r="B71" s="90" t="inlineStr">
        <is>
          <t>Rosca Marmoleada</t>
        </is>
      </c>
      <c r="C71" s="282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66" thickBot="1">
      <c r="B72" s="83" t="inlineStr">
        <is>
          <t>Frijol Bayos</t>
        </is>
      </c>
      <c r="C72" s="297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66" thickBot="1">
      <c r="B73" s="90" t="inlineStr">
        <is>
          <t>Huevo Bachoco</t>
        </is>
      </c>
      <c r="C73" s="282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66" thickBot="1">
      <c r="B74" s="83" t="n"/>
      <c r="C74" s="297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66" thickBot="1">
      <c r="B75" s="90" t="n"/>
      <c r="C75" s="282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66" thickBot="1">
      <c r="B76" s="83" t="n"/>
      <c r="C76" s="297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66" thickBot="1">
      <c r="B77" s="90" t="n"/>
      <c r="C77" s="282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66" thickBot="1">
      <c r="B78" s="83" t="n"/>
      <c r="C78" s="297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66" thickBot="1">
      <c r="B79" s="90" t="n"/>
      <c r="C79" s="282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66" thickBot="1">
      <c r="B80" s="83" t="n"/>
      <c r="C80" s="297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66" thickBot="1">
      <c r="B81" s="90" t="n"/>
      <c r="C81" s="282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66" thickBot="1">
      <c r="B82" s="83" t="n"/>
      <c r="C82" s="297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66" thickBot="1">
      <c r="B83" s="90" t="n"/>
      <c r="C83" s="282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66" thickBot="1">
      <c r="B84" s="83" t="n"/>
      <c r="C84" s="297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66" thickBot="1">
      <c r="B85" s="90" t="n"/>
      <c r="C85" s="282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66" thickBot="1">
      <c r="B86" s="83" t="n"/>
      <c r="C86" s="297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66" thickBot="1">
      <c r="B87" s="90" t="n"/>
      <c r="C87" s="282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66" thickBot="1">
      <c r="B88" s="83" t="n"/>
      <c r="C88" s="297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66" thickBot="1">
      <c r="B89" s="90" t="n"/>
      <c r="C89" s="282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66" thickBot="1">
      <c r="B90" s="83" t="n"/>
      <c r="C90" s="297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66" thickBot="1">
      <c r="B91" s="90" t="n"/>
      <c r="C91" s="282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66" thickBot="1">
      <c r="B92" s="83" t="n"/>
      <c r="C92" s="297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66" thickBot="1">
      <c r="B93" s="90" t="n"/>
      <c r="C93" s="282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66" thickBot="1">
      <c r="B94" s="83" t="n"/>
      <c r="C94" s="297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66" thickBot="1">
      <c r="B95" s="90" t="n"/>
      <c r="C95" s="282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66" thickBot="1">
      <c r="B96" s="83" t="n"/>
      <c r="C96" s="297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66" thickBot="1">
      <c r="B97" s="90" t="n"/>
      <c r="C97" s="282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66" thickBot="1">
      <c r="B98" s="83" t="n"/>
      <c r="C98" s="297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66" thickBot="1">
      <c r="B99" s="90" t="n"/>
      <c r="C99" s="282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66" thickBot="1">
      <c r="B100" s="83" t="n"/>
      <c r="C100" s="297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66" thickBot="1">
      <c r="B101" s="90" t="n"/>
      <c r="C101" s="282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66" thickBot="1">
      <c r="B102" s="83" t="n"/>
      <c r="C102" s="297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66" thickBot="1">
      <c r="B103" s="90" t="n"/>
      <c r="C103" s="282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66" thickBot="1">
      <c r="B104" s="83" t="n"/>
      <c r="C104" s="297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66" thickBot="1">
      <c r="B105" s="90" t="n"/>
      <c r="C105" s="282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66" thickBot="1">
      <c r="B106" s="83" t="n"/>
      <c r="C106" s="297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66" thickBot="1">
      <c r="B107" s="90" t="n"/>
      <c r="C107" s="282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66" thickBot="1">
      <c r="B108" s="83" t="n"/>
      <c r="C108" s="297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66" thickBot="1">
      <c r="B109" s="90" t="n"/>
      <c r="C109" s="282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66" thickBot="1">
      <c r="B110" s="83" t="n"/>
      <c r="C110" s="297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66" thickBot="1">
      <c r="B111" s="90" t="n"/>
      <c r="C111" s="282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66" thickBot="1">
      <c r="B112" s="83" t="n"/>
      <c r="C112" s="297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66" thickBot="1">
      <c r="B113" s="90" t="n"/>
      <c r="C113" s="282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66" thickBot="1">
      <c r="B114" s="83" t="n"/>
      <c r="C114" s="297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66" thickBot="1">
      <c r="B115" s="90" t="n"/>
      <c r="C115" s="282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66" thickBot="1">
      <c r="B116" s="83" t="n"/>
      <c r="C116" s="297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66" thickBot="1">
      <c r="B117" s="90" t="n"/>
      <c r="C117" s="282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66" thickBot="1">
      <c r="B118" s="83" t="n"/>
      <c r="C118" s="297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66" thickBot="1">
      <c r="B119" s="90" t="n"/>
      <c r="C119" s="282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66" thickBot="1">
      <c r="B120" s="83" t="n"/>
      <c r="C120" s="297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66" thickBot="1">
      <c r="B121" s="90" t="n"/>
      <c r="C121" s="282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66" thickBot="1">
      <c r="B122" s="83" t="n"/>
      <c r="C122" s="297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66" thickBot="1">
      <c r="B123" s="90" t="n"/>
      <c r="C123" s="282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66" thickBot="1">
      <c r="B124" s="83" t="n"/>
      <c r="C124" s="297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66" thickBot="1">
      <c r="B125" s="90" t="n"/>
      <c r="C125" s="282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66" thickBot="1">
      <c r="B126" s="83" t="n"/>
      <c r="C126" s="297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66" thickBot="1">
      <c r="B127" s="90" t="n"/>
      <c r="C127" s="282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66" thickBot="1">
      <c r="B128" s="83" t="n"/>
      <c r="C128" s="297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66" thickBot="1">
      <c r="B129" s="90" t="n"/>
      <c r="C129" s="282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66" thickBot="1">
      <c r="B130" s="83" t="n"/>
      <c r="C130" s="297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66" thickBot="1">
      <c r="B131" s="90" t="n"/>
      <c r="C131" s="282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66" thickBot="1">
      <c r="B132" s="83" t="n"/>
      <c r="C132" s="297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66" thickBot="1">
      <c r="B133" s="90" t="n"/>
      <c r="C133" s="282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66" thickBot="1">
      <c r="B134" s="83" t="n"/>
      <c r="C134" s="297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66" thickBot="1">
      <c r="B135" s="90" t="n"/>
      <c r="C135" s="282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66" thickBot="1">
      <c r="B136" s="83" t="n"/>
      <c r="C136" s="297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66" thickBot="1">
      <c r="B137" s="90" t="n"/>
      <c r="C137" s="282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66" thickBot="1">
      <c r="B138" s="83" t="n"/>
      <c r="C138" s="297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66" thickBot="1">
      <c r="B139" s="90" t="n"/>
      <c r="C139" s="282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66" thickBot="1">
      <c r="B140" s="83" t="n"/>
      <c r="C140" s="297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66" thickBot="1">
      <c r="B141" s="90" t="n"/>
      <c r="C141" s="282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66" thickBot="1">
      <c r="B142" s="83" t="n"/>
      <c r="C142" s="297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66" thickBot="1">
      <c r="B143" s="90" t="n"/>
      <c r="C143" s="282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66" thickBot="1">
      <c r="B144" s="83" t="n"/>
      <c r="C144" s="297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66" thickBot="1">
      <c r="B145" s="90" t="n"/>
      <c r="C145" s="282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66" thickBot="1">
      <c r="B146" s="83" t="n"/>
      <c r="C146" s="297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66" thickBot="1">
      <c r="B147" s="90" t="n"/>
      <c r="C147" s="282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66" thickBot="1">
      <c r="B148" s="83" t="n"/>
      <c r="C148" s="297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66" thickBot="1">
      <c r="B149" s="90" t="n"/>
      <c r="C149" s="282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66" thickBot="1">
      <c r="B150" s="83" t="n"/>
      <c r="C150" s="297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66" thickBot="1">
      <c r="B151" s="90" t="n"/>
      <c r="C151" s="282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66" thickBot="1">
      <c r="B152" s="83" t="n"/>
      <c r="C152" s="297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66" thickBot="1">
      <c r="B153" s="90" t="n"/>
      <c r="C153" s="282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66" thickBot="1">
      <c r="B154" s="83" t="n"/>
      <c r="C154" s="297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66" thickBot="1">
      <c r="B155" s="90" t="n"/>
      <c r="C155" s="282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66" thickBot="1">
      <c r="B156" s="83" t="n"/>
      <c r="C156" s="297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66" thickBot="1">
      <c r="B157" s="90" t="n"/>
      <c r="C157" s="282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66" thickBot="1">
      <c r="B158" s="83" t="n"/>
      <c r="C158" s="297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66" thickBot="1">
      <c r="B159" s="90" t="n"/>
      <c r="C159" s="282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66" thickBot="1">
      <c r="B160" s="83" t="n"/>
      <c r="C160" s="297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66" thickBot="1">
      <c r="B161" s="90" t="n"/>
      <c r="C161" s="282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66" thickBot="1">
      <c r="B162" s="83" t="n"/>
      <c r="C162" s="297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66" thickBot="1">
      <c r="B163" s="90" t="n"/>
      <c r="C163" s="282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66" thickBot="1">
      <c r="B164" s="83" t="n"/>
      <c r="C164" s="297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66" thickBot="1">
      <c r="B165" s="90" t="n"/>
      <c r="C165" s="282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66" thickBot="1">
      <c r="B166" s="83" t="n"/>
      <c r="C166" s="297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66" thickBot="1">
      <c r="B167" s="90" t="n"/>
      <c r="C167" s="282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66" thickBot="1">
      <c r="B168" s="83" t="n"/>
      <c r="C168" s="297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66" thickBot="1">
      <c r="B169" s="90" t="n"/>
      <c r="C169" s="282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66" thickBot="1">
      <c r="B170" s="83" t="n"/>
      <c r="C170" s="297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66" thickBot="1">
      <c r="B171" s="90" t="n"/>
      <c r="C171" s="282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66" thickBot="1">
      <c r="B172" s="83" t="n"/>
      <c r="C172" s="297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66" thickBot="1">
      <c r="B173" s="90" t="n"/>
      <c r="C173" s="282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66" thickBot="1">
      <c r="B174" s="83" t="n"/>
      <c r="C174" s="297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66" thickBot="1">
      <c r="B175" s="90" t="n"/>
      <c r="C175" s="282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66" thickBot="1">
      <c r="B176" s="83" t="n"/>
      <c r="C176" s="297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66" thickBot="1">
      <c r="B177" s="90" t="n"/>
      <c r="C177" s="282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66" thickBot="1">
      <c r="B178" s="83" t="n"/>
      <c r="C178" s="297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66" thickBot="1">
      <c r="B179" s="90" t="n"/>
      <c r="C179" s="282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66" thickBot="1">
      <c r="B180" s="83" t="n"/>
      <c r="C180" s="297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66" thickBot="1">
      <c r="B181" s="90" t="n"/>
      <c r="C181" s="282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66" thickBot="1">
      <c r="B182" s="83" t="n"/>
      <c r="C182" s="297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66" thickBot="1">
      <c r="B183" s="90" t="n"/>
      <c r="C183" s="282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66" thickBot="1">
      <c r="B184" s="83" t="n"/>
      <c r="C184" s="297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66" thickBot="1">
      <c r="B185" s="90" t="n"/>
      <c r="C185" s="282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66" thickBot="1">
      <c r="B186" s="83" t="n"/>
      <c r="C186" s="297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66" thickBot="1">
      <c r="B187" s="90" t="n"/>
      <c r="C187" s="282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66" thickBot="1">
      <c r="B188" s="83" t="n"/>
      <c r="C188" s="297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66" thickBot="1">
      <c r="B189" s="90" t="n"/>
      <c r="C189" s="282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66" thickBot="1">
      <c r="B190" s="83" t="n"/>
      <c r="C190" s="297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66" thickBot="1">
      <c r="B191" s="90" t="n"/>
      <c r="C191" s="282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66" thickBot="1">
      <c r="B192" s="83" t="n"/>
      <c r="C192" s="297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66" thickBot="1">
      <c r="B193" s="90" t="n"/>
      <c r="C193" s="282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66" thickBot="1">
      <c r="B194" s="83" t="n"/>
      <c r="C194" s="297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66" thickBot="1">
      <c r="B195" s="90" t="n"/>
      <c r="C195" s="282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66" thickBot="1">
      <c r="B196" s="83" t="n"/>
      <c r="C196" s="297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66" thickBot="1">
      <c r="B197" s="90" t="n"/>
      <c r="C197" s="282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66" thickBot="1">
      <c r="B198" s="83" t="n"/>
      <c r="C198" s="297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66" thickBot="1">
      <c r="B199" s="90" t="n"/>
      <c r="C199" s="282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66" thickBot="1">
      <c r="B200" s="83" t="n"/>
      <c r="C200" s="297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66" thickBot="1">
      <c r="B201" s="90" t="n"/>
      <c r="C201" s="282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66" thickBot="1">
      <c r="B202" s="83" t="n"/>
      <c r="C202" s="297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66" thickBot="1">
      <c r="B203" s="90" t="n"/>
      <c r="C203" s="282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66" thickBot="1">
      <c r="B204" s="83" t="n"/>
      <c r="C204" s="297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66" thickBot="1">
      <c r="B205" s="90" t="n"/>
      <c r="C205" s="282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66" thickBot="1">
      <c r="B206" s="83" t="n"/>
      <c r="C206" s="297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66" thickBot="1">
      <c r="B207" s="90" t="n"/>
      <c r="C207" s="282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66" thickBot="1">
      <c r="B208" s="83" t="n"/>
      <c r="C208" s="297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66" thickBot="1">
      <c r="B209" s="90" t="n"/>
      <c r="C209" s="282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66" thickBot="1">
      <c r="B210" s="83" t="n"/>
      <c r="C210" s="297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66" thickBot="1">
      <c r="B211" s="90" t="n"/>
      <c r="C211" s="282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66" thickBot="1">
      <c r="B212" s="83" t="n"/>
      <c r="C212" s="297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66" thickBot="1">
      <c r="B213" s="90" t="n"/>
      <c r="C213" s="282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66" thickBot="1">
      <c r="B214" s="83" t="n"/>
      <c r="C214" s="297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66" thickBot="1">
      <c r="B215" s="90" t="n"/>
      <c r="C215" s="282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66" thickBot="1">
      <c r="B216" s="83" t="n"/>
      <c r="C216" s="297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66" thickBot="1">
      <c r="B217" s="90" t="n"/>
      <c r="C217" s="282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66" thickBot="1">
      <c r="B218" s="83" t="n"/>
      <c r="C218" s="297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66" thickBot="1">
      <c r="B219" s="90" t="n"/>
      <c r="C219" s="282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66" thickBot="1">
      <c r="B220" s="83" t="n"/>
      <c r="C220" s="297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66" thickBot="1">
      <c r="B221" s="90" t="n"/>
      <c r="C221" s="282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66" thickBot="1">
      <c r="B222" s="83" t="n"/>
      <c r="C222" s="297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66" thickBot="1">
      <c r="B223" s="90" t="n"/>
      <c r="C223" s="282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66" thickBot="1">
      <c r="B224" s="83" t="n"/>
      <c r="C224" s="297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66" thickBot="1">
      <c r="B225" s="90" t="n"/>
      <c r="C225" s="282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66" thickBot="1">
      <c r="B226" s="83" t="n"/>
      <c r="C226" s="297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7"/>
  <sheetViews>
    <sheetView showGridLines="0" zoomScaleNormal="100" workbookViewId="0">
      <selection activeCell="N16" sqref="N16"/>
    </sheetView>
  </sheetViews>
  <sheetFormatPr baseColWidth="8" defaultColWidth="8.6640625" defaultRowHeight="14.4" customHeight="1"/>
  <cols>
    <col width="18.33203125" customWidth="1" style="266" min="1" max="1"/>
    <col width="32.5546875" customWidth="1" style="266" min="2" max="2"/>
    <col width="19.44140625" bestFit="1" customWidth="1" style="266" min="3" max="3"/>
    <col width="15.21875" customWidth="1" style="266" min="4" max="4"/>
    <col width="13.88671875" customWidth="1" style="266" min="5" max="6"/>
    <col width="12.33203125" customWidth="1" style="266" min="7" max="7"/>
    <col width="12.88671875" customWidth="1" style="266" min="8" max="8"/>
    <col width="7.33203125" bestFit="1" customWidth="1" style="266" min="9" max="9"/>
    <col width="7.21875" bestFit="1" customWidth="1" style="266" min="10" max="10"/>
    <col width="11" bestFit="1" customWidth="1" style="266" min="11" max="11"/>
    <col width="10.77734375" bestFit="1" customWidth="1" style="266" min="12" max="12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66">
      <c r="A2" s="271" t="inlineStr">
        <is>
          <t>👥  LOKA — STAFF &amp; PAYROLL</t>
        </is>
      </c>
      <c r="D2" s="265" t="inlineStr">
        <is>
          <t>Weekly schedule + auto payroll calculation</t>
        </is>
      </c>
    </row>
    <row r="3" ht="3.75" customHeight="1" s="266"/>
    <row r="4" ht="7.5" customHeight="1" s="266"/>
    <row r="5" ht="7.5" customHeight="1" s="266" thickBot="1"/>
    <row r="6" ht="21.75" customHeight="1" s="266" thickBot="1">
      <c r="A6" s="267" t="inlineStr">
        <is>
          <t xml:space="preserve">  STAFF SCHEDULE  —  Week of:</t>
        </is>
      </c>
      <c r="B6" s="268" t="n"/>
      <c r="C6" s="268" t="n"/>
      <c r="D6" s="215">
        <f>TODAY()-WEEKDAY(TODAY(),2)+1</f>
        <v/>
      </c>
      <c r="E6" s="270" t="n"/>
      <c r="F6" s="270" t="n"/>
      <c r="G6" s="270" t="n"/>
      <c r="H6" s="270" t="n"/>
      <c r="I6" s="270" t="n"/>
      <c r="J6" s="270" t="n"/>
      <c r="K6" s="270" t="n"/>
      <c r="L6" s="270" t="n"/>
    </row>
    <row r="7" ht="27.75" customHeight="1" s="266" thickBot="1">
      <c r="A7" s="278" t="inlineStr">
        <is>
          <t>Staff Name</t>
        </is>
      </c>
      <c r="B7" s="278" t="inlineStr">
        <is>
          <t>Role</t>
        </is>
      </c>
      <c r="C7" s="278" t="inlineStr">
        <is>
          <t>Daily Rate ($)</t>
        </is>
      </c>
      <c r="D7" s="278" t="inlineStr">
        <is>
          <t>Mon</t>
        </is>
      </c>
      <c r="E7" s="278" t="inlineStr">
        <is>
          <t>Tue</t>
        </is>
      </c>
      <c r="F7" s="278" t="inlineStr">
        <is>
          <t>Wed</t>
        </is>
      </c>
      <c r="G7" s="278" t="inlineStr">
        <is>
          <t>Thu</t>
        </is>
      </c>
      <c r="H7" s="278" t="inlineStr">
        <is>
          <t>Fri</t>
        </is>
      </c>
      <c r="I7" s="278" t="inlineStr">
        <is>
          <t>Sat</t>
        </is>
      </c>
      <c r="J7" s="278" t="inlineStr">
        <is>
          <t>Sun</t>
        </is>
      </c>
      <c r="K7" s="278" t="inlineStr">
        <is>
          <t>Days Worked</t>
        </is>
      </c>
      <c r="L7" s="278" t="inlineStr">
        <is>
          <t>Week Pay ($)</t>
        </is>
      </c>
    </row>
    <row r="8" ht="19.5" customHeight="1" s="266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66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66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66" thickBot="1">
      <c r="A11" s="97" t="inlineStr">
        <is>
          <t>Judith</t>
        </is>
      </c>
      <c r="B11" s="103" t="inlineStr">
        <is>
          <t>Judith (RESIGNED)</t>
        </is>
      </c>
      <c r="C11" s="104" t="inlineStr">
        <is>
          <t>Mesera — Resigned Sun 7 Jun 2026</t>
        </is>
      </c>
      <c r="D11" s="105" t="n">
        <v>0</v>
      </c>
      <c r="E11" s="105" t="inlineStr">
        <is>
          <t>—</t>
        </is>
      </c>
      <c r="F11" s="105" t="inlineStr">
        <is>
          <t>❌ Resigned — Last day: Sun 7 Jun 2026</t>
        </is>
      </c>
      <c r="G11" s="105" t="inlineStr">
        <is>
          <t>Fully paid — W3 salary settled Mon 8 Jun 2026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inlineStr">
        <is>
          <t>—</t>
        </is>
      </c>
      <c r="L11" s="107" t="n">
        <v>0</v>
      </c>
      <c r="M11" t="n">
        <v>0</v>
      </c>
    </row>
    <row r="12" ht="19.5" customHeight="1" s="266" thickBot="1">
      <c r="A12" s="346" t="n"/>
      <c r="B12" s="347" t="inlineStr">
        <is>
          <t>Cesar</t>
        </is>
      </c>
      <c r="C12" s="348" t="inlineStr">
        <is>
          <t>Mesero / Waiter</t>
        </is>
      </c>
      <c r="D12" s="349" t="n">
        <v>333.33</v>
      </c>
      <c r="E12" s="350" t="inlineStr">
        <is>
          <t>Full Day</t>
        </is>
      </c>
      <c r="F12" s="350" t="inlineStr">
        <is>
          <t>Full Day</t>
        </is>
      </c>
      <c r="G12" s="350" t="inlineStr">
        <is>
          <t>Full Day</t>
        </is>
      </c>
      <c r="H12" s="350" t="inlineStr">
        <is>
          <t>Full Day</t>
        </is>
      </c>
      <c r="I12" s="350" t="inlineStr">
        <is>
          <t>Full Day</t>
        </is>
      </c>
      <c r="J12" s="350" t="inlineStr">
        <is>
          <t>Full Day</t>
        </is>
      </c>
      <c r="K12" s="351" t="inlineStr">
        <is>
          <t>Day Off</t>
        </is>
      </c>
      <c r="L12" s="352">
        <f>COUNTIF(E12:K12,"Full Day")</f>
        <v/>
      </c>
      <c r="M12" s="353">
        <f>L12*D12</f>
        <v/>
      </c>
    </row>
    <row r="13" ht="19.5" customHeight="1" s="266" thickBot="1">
      <c r="A13" s="346" t="n"/>
      <c r="B13" s="354" t="inlineStr">
        <is>
          <t>Samu</t>
        </is>
      </c>
      <c r="C13" s="355" t="inlineStr">
        <is>
          <t>Ayudante / Support</t>
        </is>
      </c>
      <c r="D13" s="356" t="n">
        <v>133.33</v>
      </c>
      <c r="E13" s="357" t="inlineStr">
        <is>
          <t>Full Day</t>
        </is>
      </c>
      <c r="F13" s="357" t="inlineStr">
        <is>
          <t>Full Day</t>
        </is>
      </c>
      <c r="G13" s="357" t="inlineStr">
        <is>
          <t>Full Day</t>
        </is>
      </c>
      <c r="H13" s="357" t="inlineStr">
        <is>
          <t>Full Day</t>
        </is>
      </c>
      <c r="I13" s="357" t="inlineStr">
        <is>
          <t>Full Day</t>
        </is>
      </c>
      <c r="J13" s="357" t="inlineStr">
        <is>
          <t>Full Day</t>
        </is>
      </c>
      <c r="K13" s="358" t="inlineStr">
        <is>
          <t>Day Off</t>
        </is>
      </c>
      <c r="L13" s="352">
        <f>COUNTIF(E13:K13,"Full Day")</f>
        <v/>
      </c>
      <c r="M13" s="353">
        <f>L13*D13</f>
        <v/>
      </c>
    </row>
    <row r="14" ht="19.5" customHeight="1" s="266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66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66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66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66"/>
    <row r="19" ht="19.5" customHeight="1" s="266" thickBot="1"/>
    <row r="20" ht="27.75" customHeight="1" s="266" thickBot="1">
      <c r="A20" s="267" t="inlineStr">
        <is>
          <t xml:space="preserve">  MONTHLY PAYROLL PROJECTION</t>
        </is>
      </c>
      <c r="B20" s="268" t="n"/>
      <c r="C20" s="268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</row>
    <row r="21" ht="18" customHeight="1" s="266">
      <c r="A21" s="278" t="inlineStr">
        <is>
          <t>Staff Name</t>
        </is>
      </c>
      <c r="B21" s="278" t="inlineStr">
        <is>
          <t>Role</t>
        </is>
      </c>
      <c r="C21" s="278" t="inlineStr">
        <is>
          <t>Week Pay ($)</t>
        </is>
      </c>
      <c r="D21" s="278" t="inlineStr">
        <is>
          <t>x Weeks/Month</t>
        </is>
      </c>
      <c r="E21" s="278" t="inlineStr">
        <is>
          <t>Monthly ($)</t>
        </is>
      </c>
      <c r="F21" s="278" t="inlineStr">
        <is>
          <t>IMSS / Benefits %</t>
        </is>
      </c>
      <c r="G21" s="278" t="inlineStr">
        <is>
          <t>Total Monthly Cost ($)</t>
        </is>
      </c>
      <c r="H21" s="278" t="inlineStr">
        <is>
          <t>Notes</t>
        </is>
      </c>
    </row>
    <row r="22" ht="18" customHeight="1" s="266">
      <c r="A22" s="109">
        <f>A8</f>
        <v/>
      </c>
      <c r="B22" s="297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66">
      <c r="A23" s="115">
        <f>A9</f>
        <v/>
      </c>
      <c r="B23" s="282" t="inlineStr">
        <is>
          <t>Sous Chef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66">
      <c r="A24" s="109">
        <f>A10</f>
        <v/>
      </c>
      <c r="B24" s="297" t="inlineStr">
        <is>
          <t>Waiter 1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66">
      <c r="A25" s="115">
        <f>A11</f>
        <v/>
      </c>
      <c r="B25" s="282" t="inlineStr">
        <is>
          <t>Waiter 2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66">
      <c r="A26" s="109">
        <f>A12</f>
        <v/>
      </c>
      <c r="B26" s="297" t="inlineStr">
        <is>
          <t>Barista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66">
      <c r="A27" s="115">
        <f>A13</f>
        <v/>
      </c>
      <c r="B27" s="282" t="inlineStr">
        <is>
          <t>Cashier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66">
      <c r="A28" s="109">
        <f>A14</f>
        <v/>
      </c>
      <c r="B28" s="297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66">
      <c r="A29" s="115">
        <f>A15</f>
        <v/>
      </c>
      <c r="B29" s="270" t="n"/>
      <c r="C29" s="270" t="n"/>
      <c r="D29" s="270" t="n"/>
      <c r="E29" s="217">
        <f>C29*D29</f>
        <v/>
      </c>
      <c r="F29" s="279" t="n"/>
      <c r="G29" s="120">
        <f>E29*(1+F29)</f>
        <v/>
      </c>
      <c r="H29" s="96" t="n"/>
    </row>
    <row r="30" ht="17.4" customHeight="1" s="266">
      <c r="A30" s="269" t="inlineStr">
        <is>
          <t>TOTAL MONTHLY PAYROLL COST</t>
        </is>
      </c>
      <c r="B30" s="270" t="n"/>
      <c r="C30" s="270" t="n"/>
      <c r="D30" s="270" t="n"/>
      <c r="E30" s="270" t="n"/>
      <c r="F30" s="279" t="n"/>
      <c r="G30" s="108">
        <f>SUM(G21:G28)</f>
        <v/>
      </c>
    </row>
    <row r="33" ht="15.6" customHeight="1" s="266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B37" s="222" t="inlineStr">
        <is>
          <t>Cesar — Mesero</t>
        </is>
      </c>
      <c r="C37" s="359" t="n">
        <v>2000</v>
      </c>
      <c r="D37" s="360" t="n">
        <v>8000</v>
      </c>
      <c r="E37" s="361" t="inlineStr">
        <is>
          <t>Confirmed — $2,000/week | $333.33/day | Start 9 Jun 2026</t>
        </is>
      </c>
    </row>
    <row r="38">
      <c r="B38" s="216" t="inlineStr">
        <is>
          <t>Samu — Ayudante</t>
        </is>
      </c>
      <c r="C38" s="362" t="n">
        <v>800</v>
      </c>
      <c r="D38" s="363" t="n">
        <v>3200</v>
      </c>
      <c r="E38" s="364" t="inlineStr">
        <is>
          <t>Confirmed — $800/week | $133.33/day | Start 9 Jun 2026</t>
        </is>
      </c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SUM(B35:B38)</f>
        <v/>
      </c>
      <c r="C41" s="225">
        <f>SUM(C35:C40)</f>
        <v/>
      </c>
      <c r="D41" s="219">
        <f>SUM(D35:D40)</f>
        <v/>
      </c>
    </row>
    <row r="43">
      <c r="A43" s="226" t="inlineStr">
        <is>
          <t>── WITH MESERO / WAITER — ✅ JUDITH HIRED (1 Jun 2026) ──</t>
        </is>
      </c>
      <c r="B43" s="226" t="inlineStr">
        <is>
          <t>── MESERO STATUS — ⏳ 2 NEW STAFF JOINING TUE 9 JUN 2026 ──</t>
        </is>
      </c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66">
      <c r="A45" s="226" t="inlineStr">
        <is>
          <t>With Judith — Mesera (✅ ACTIVE from 1 Jun)</t>
        </is>
      </c>
      <c r="B45" s="227" t="inlineStr">
        <is>
          <t>With Cesar + Samu (✅ ACTIVE from 9 Jun)</t>
        </is>
      </c>
      <c r="C45" s="227" t="n">
        <v>14050</v>
      </c>
      <c r="D45" s="227" t="n">
        <v>23750</v>
      </c>
      <c r="E45" s="227" t="n">
        <v>24550</v>
      </c>
      <c r="F45" s="227" t="n">
        <v>4092</v>
      </c>
      <c r="G45" s="227" t="inlineStr">
        <is>
          <t>✅ NOW ACTIVE — current avg $4,011/day vs break-even $3959/day</t>
        </is>
      </c>
      <c r="H45" s="227" t="inlineStr">
        <is>
          <t>✅ Cesar $2,000 + Samu $800 — break-even $4,092/day</t>
        </is>
      </c>
    </row>
    <row r="47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66"/>
    <row r="61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26" t="inlineStr">
        <is>
          <t>TOTALS &amp; CURRENT BALANCE</t>
        </is>
      </c>
      <c r="B72" s="219" t="n"/>
      <c r="C72" s="219" t="n"/>
      <c r="D72" s="256">
        <f>SUM(D63:D71)</f>
        <v/>
      </c>
      <c r="E72" s="257">
        <f>SUM(E63:E71)</f>
        <v/>
      </c>
      <c r="F72" s="258">
        <f>F71</f>
        <v/>
      </c>
      <c r="G72" s="226">
        <f>IF(F71&gt;0,"⏳ Restaurant owes Lohith $"&amp;TEXT(F71,"#,##0"),IF(F71&lt;0,"💵 Lohith holds $"&amp;TEXT(ABS(F71),"#,##0"),"✅ Zero balance"))</f>
        <v/>
      </c>
    </row>
    <row r="74">
      <c r="A74" s="242" t="inlineStr">
        <is>
          <t>HOW TO USE:</t>
        </is>
      </c>
      <c r="B74" s="242" t="n"/>
      <c r="C74" s="242" t="n"/>
      <c r="D74" s="242" t="n"/>
      <c r="E74" s="242" t="n"/>
      <c r="F74" s="242" t="n"/>
      <c r="G74" s="242" t="n"/>
      <c r="H74" s="242" t="n"/>
    </row>
    <row r="75">
      <c r="A75" s="242" t="inlineStr">
        <is>
          <t>Add new rows above TOTALS. Spent by Lohith = restaurant expenses he paid personally.</t>
        </is>
      </c>
      <c r="B75" s="242" t="n"/>
      <c r="C75" s="242" t="n"/>
      <c r="D75" s="242" t="n"/>
      <c r="E75" s="242" t="n"/>
      <c r="F75" s="242" t="n"/>
      <c r="G75" s="242" t="n"/>
      <c r="H75" s="242" t="n"/>
    </row>
    <row r="76">
      <c r="A76" s="242" t="inlineStr">
        <is>
          <t>Transferred to Lohith = customer bank transfers received in his personal account.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Positive balance = restaurant owes Lohith. Negative = Lohith holds restaurant funds.</t>
        </is>
      </c>
      <c r="B77" s="242" t="n"/>
      <c r="C77" s="242" t="n"/>
      <c r="D77" s="242" t="n"/>
      <c r="E77" s="242" t="n"/>
      <c r="F77" s="242" t="n"/>
      <c r="G77" s="242" t="n"/>
      <c r="H77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2" customWidth="1" style="266" min="3" max="3"/>
    <col width="20" customWidth="1" style="266" min="4" max="4"/>
    <col width="12" customWidth="1" style="266" min="5" max="5"/>
    <col width="10" customWidth="1" style="266" min="6" max="6"/>
    <col width="12" customWidth="1" style="266" min="7" max="7"/>
    <col width="14" customWidth="1" style="266" min="8" max="9"/>
    <col width="18" customWidth="1" style="266" min="10" max="10"/>
    <col width="16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🚚  LOKA — SUPPLIER ORDERS</t>
        </is>
      </c>
      <c r="F2" s="309" t="inlineStr">
        <is>
          <t>Track purchase orders from suppliers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66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66"/>
    <row r="8" ht="19.5" customHeight="1" s="266">
      <c r="B8" s="345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n"/>
      <c r="C9" s="278" t="n"/>
      <c r="D9" s="278" t="n"/>
      <c r="E9" s="278" t="n"/>
      <c r="F9" s="278" t="n"/>
      <c r="G9" s="278" t="n"/>
      <c r="H9" s="278" t="n"/>
      <c r="I9" s="278" t="n"/>
      <c r="J9" s="278" t="n"/>
      <c r="K9" s="278" t="n"/>
    </row>
    <row r="10" ht="15.75" customHeight="1" s="266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66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66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66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66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66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66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66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66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66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66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66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66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66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66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66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66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66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66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66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66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66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66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66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66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66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66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66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66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66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66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66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66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66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66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66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66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66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66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66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66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66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66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66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66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66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66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66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66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66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66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66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66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66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66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66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66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66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66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66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66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66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66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66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66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66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66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66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66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66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66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66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66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66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66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66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66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66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66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66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66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66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66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66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66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66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66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66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66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66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66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66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66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66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66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66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66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66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66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66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66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66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66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66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66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66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66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66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66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66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66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66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66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66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66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66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66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66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66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66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66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66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66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66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66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66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66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66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66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66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66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66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66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66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66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66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66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66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66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66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66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66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66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66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66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66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66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66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66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66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66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66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66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66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66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66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66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66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66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66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66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66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66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66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66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66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66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66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66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66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66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66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66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66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66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66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66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66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66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66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66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66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66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66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66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66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66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66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66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66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66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66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66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66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66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66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66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66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66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66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66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66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66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66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66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66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66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66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66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66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66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66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66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66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66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66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66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66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66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66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66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66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66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66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66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66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66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66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66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66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66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66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66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66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66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66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66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66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66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66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66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66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66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66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66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66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66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66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66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66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66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66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66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66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66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66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66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66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66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66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66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66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66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66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66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66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66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66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66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66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66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66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66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66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66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66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66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66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66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66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66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66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66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66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66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66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66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66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66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66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66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66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66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66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66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66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66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66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66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66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66" min="2" max="2"/>
    <col width="14.33203125" bestFit="1" customWidth="1" style="266" min="3" max="3"/>
    <col width="44" bestFit="1" customWidth="1" style="266" min="4" max="4"/>
    <col width="87.77734375" bestFit="1" customWidth="1" style="26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66" min="1" max="1"/>
    <col width="30" customWidth="1" style="266" min="2" max="2"/>
    <col width="16" customWidth="1" style="266" min="3" max="8"/>
    <col width="18" customWidth="1" style="266" min="9" max="9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66">
      <c r="A2" s="336" t="inlineStr">
        <is>
          <t>📈  LOKA — MONTHLY P&amp;L</t>
        </is>
      </c>
      <c r="E2" s="309" t="inlineStr">
        <is>
          <t>Revenue &amp; Expense summary — fill monthly totals from Daily Log &amp; Expenses</t>
        </is>
      </c>
    </row>
    <row r="3" ht="3.75" customHeight="1" s="266">
      <c r="A3" s="319" t="n"/>
    </row>
    <row r="4" ht="7.5" customHeight="1" s="266"/>
    <row r="5" ht="9.75" customHeight="1" s="266"/>
    <row r="6" ht="21.75" customHeight="1" s="266">
      <c r="B6" s="133" t="inlineStr">
        <is>
          <t>YEAR:</t>
        </is>
      </c>
      <c r="C6" s="134" t="n">
        <v>2025</v>
      </c>
    </row>
    <row r="7" ht="7.5" customHeight="1" s="266">
      <c r="C7" t="n">
        <v>2026</v>
      </c>
    </row>
    <row r="8" ht="27.75" customHeight="1" s="266">
      <c r="B8" s="278" t="n"/>
      <c r="C8" s="278" t="n"/>
      <c r="D8" s="278" t="n"/>
      <c r="E8" s="278" t="n"/>
      <c r="F8" s="278" t="n"/>
      <c r="G8" s="278" t="n"/>
      <c r="H8" s="278" t="n"/>
      <c r="I8" s="278" t="n"/>
    </row>
    <row r="9" ht="19.5" customHeight="1" s="266">
      <c r="B9" s="267" t="n"/>
      <c r="C9" s="268" t="n"/>
      <c r="D9" s="268" t="n"/>
      <c r="E9" s="268" t="n"/>
      <c r="F9" s="268" t="n"/>
      <c r="G9" s="268" t="n"/>
      <c r="H9" s="268" t="n"/>
      <c r="I9" s="268" t="n"/>
    </row>
    <row r="10" ht="18" customHeight="1" s="266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66">
      <c r="B11" s="267" t="n"/>
      <c r="C11" s="268" t="n"/>
      <c r="D11" s="268" t="n"/>
      <c r="E11" s="268" t="n"/>
      <c r="F11" s="268" t="n"/>
      <c r="G11" s="268" t="n"/>
      <c r="H11" s="268" t="n"/>
      <c r="I11" s="268" t="n"/>
    </row>
    <row r="12" ht="18" customHeight="1" s="266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66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66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66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66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66">
      <c r="B17" s="267" t="n"/>
      <c r="C17" s="268" t="n"/>
      <c r="D17" s="268" t="n"/>
      <c r="E17" s="268" t="n"/>
      <c r="F17" s="268" t="n"/>
      <c r="G17" s="268" t="n"/>
      <c r="H17" s="268" t="n"/>
      <c r="I17" s="268" t="n"/>
    </row>
    <row r="18" ht="18" customHeight="1" s="266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66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66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66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66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66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66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66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66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66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66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66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66">
      <c r="B30" s="267" t="n"/>
      <c r="C30" s="268" t="n"/>
      <c r="D30" s="268" t="n"/>
      <c r="E30" s="268" t="n"/>
      <c r="F30" s="268" t="n"/>
      <c r="G30" s="268" t="n"/>
      <c r="H30" s="268" t="n"/>
      <c r="I30" s="268" t="n"/>
    </row>
    <row r="31" ht="18" customHeight="1" s="266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66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66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66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66"/>
    <row r="36" ht="19.5" customHeight="1" s="266">
      <c r="B36" s="267" t="n"/>
      <c r="C36" s="268" t="n"/>
      <c r="D36" s="268" t="n"/>
      <c r="E36" s="268" t="n"/>
      <c r="F36" s="268" t="n"/>
      <c r="G36" s="268" t="n"/>
      <c r="H36" s="268" t="n"/>
      <c r="I36" s="268" t="n"/>
    </row>
    <row r="37" ht="27.75" customHeight="1" s="266">
      <c r="B37" s="278" t="n"/>
      <c r="C37" s="278" t="n"/>
      <c r="D37" s="278" t="n"/>
      <c r="E37" s="278" t="n"/>
      <c r="F37" s="278" t="n"/>
      <c r="G37" s="278" t="n"/>
      <c r="H37" s="278" t="n"/>
      <c r="I37" s="278" t="n"/>
    </row>
    <row r="38" ht="18" customHeight="1" s="266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66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66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66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66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66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66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66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66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66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66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66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66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66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66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66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66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66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66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66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66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66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2026-06-11T02:40:20Z</dcterms:modified>
  <cp:lastModifiedBy>LOHITH REDDY</cp:lastModifiedBy>
</cp:coreProperties>
</file>