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50">
      <c r="B150" s="427" t="inlineStr">
        <is>
          <t xml:space="preserve">  L.  POOLED CAPITAL POSITION  (single shared pot — all partners)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$300k + Kashi $180k + Shashi $120k</t>
        </is>
      </c>
    </row>
    <row r="153">
      <c r="B153" s="428" t="inlineStr">
        <is>
          <t>CASH DEPLOYED SO FAR:</t>
        </is>
      </c>
    </row>
    <row r="154">
      <c r="B154" s="430" t="inlineStr">
        <is>
          <t xml:space="preserve">  Acquisition — paid to previous owners</t>
        </is>
      </c>
      <c r="C154" s="431">
        <f>SUM(D14:D30)</f>
        <v/>
      </c>
      <c r="E154" t="inlineStr">
        <is>
          <t>of $390k (incl $15,530 CFE offset)</t>
        </is>
      </c>
    </row>
    <row r="155">
      <c r="B155" s="430" t="inlineStr">
        <is>
          <t xml:space="preserve">  Kashigoud — direct ops (excl transfer)</t>
        </is>
      </c>
      <c r="C155" s="431">
        <f>SUM(D43:D51)</f>
        <v/>
      </c>
      <c r="E155" t="inlineStr">
        <is>
          <t>Soft license + MP terminal + cameras</t>
        </is>
      </c>
    </row>
    <row r="156">
      <c r="B156" s="430" t="inlineStr">
        <is>
          <t xml:space="preserve">  Lohith — pre-opening/capital</t>
        </is>
      </c>
      <c r="C156" s="431">
        <f>D67</f>
        <v/>
      </c>
      <c r="E156" t="inlineStr">
        <is>
          <t>Notary, poliza, licenses, branding, etc.</t>
        </is>
      </c>
    </row>
    <row r="157">
      <c r="B157" s="430" t="inlineStr">
        <is>
          <t xml:space="preserve">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28">
        <f> TOTAL CASH OUT (actual)</f>
        <v/>
      </c>
      <c r="C159" s="429">
        <f>C153+C154+C155+C156+C157</f>
        <v/>
      </c>
      <c r="E159" t="inlineStr">
        <is>
          <t>Real cash that has left the partnership</t>
        </is>
      </c>
    </row>
    <row r="160">
      <c r="B160" s="428" t="inlineStr">
        <is>
          <t>POOLED REMAINING (budget − cash out)</t>
        </is>
      </c>
      <c r="C160" s="429">
        <f>C152-C158</f>
        <v/>
      </c>
      <c r="E160" t="inlineStr">
        <is>
          <t>Unspent capital still in hand</t>
        </is>
      </c>
    </row>
    <row r="161">
      <c r="B161" s="428" t="inlineStr">
        <is>
          <t>STILL OUTSTANDING:</t>
        </is>
      </c>
    </row>
    <row r="162">
      <c r="B162" s="430" t="inlineStr">
        <is>
          <t xml:space="preserve">  Acquisition still to PAY (to prev owners)</t>
        </is>
      </c>
      <c r="C162" s="431">
        <f>D31</f>
        <v/>
      </c>
      <c r="E162" t="inlineStr">
        <is>
          <t>Balance on the $390k</t>
        </is>
      </c>
    </row>
    <row r="163">
      <c r="B163" s="430" t="inlineStr">
        <is>
          <t xml:space="preserve">  Kashigoud still to TRANSFER IN</t>
        </is>
      </c>
      <c r="C163" s="431">
        <f>F100</f>
        <v/>
      </c>
      <c r="E163" t="inlineStr">
        <is>
          <t>Committed $180k − ($145k in + direct ops)</t>
        </is>
      </c>
    </row>
    <row r="164">
      <c r="B164" s="430" t="inlineStr">
        <is>
          <t xml:space="preserve">  Shashirekha still to TRANSFER IN</t>
        </is>
      </c>
      <c r="C164" s="431">
        <f>F101</f>
        <v/>
      </c>
      <c r="E164" t="inlineStr">
        <is>
          <t>Should be ~0 (fully deployed)</t>
        </is>
      </c>
    </row>
    <row r="165">
      <c r="B165" s="428" t="inlineStr">
        <is>
          <t>POOLED REMAINING after paying acq. balance</t>
        </is>
      </c>
      <c r="C165" s="429">
        <f>C160-C162</f>
        <v/>
      </c>
      <c r="E165" t="inlineStr">
        <is>
          <t>Remaining once final $2,235 acq is paid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Expenses'!$F$8:$F$500,'💸 Expenses'!$B$8:$B$500,"&gt;="&amp;B66,'💸 Expenses'!$B$8:$B$500,"&lt;"&amp;(B66+1))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Expenses'!$F$8:$F$500,'💸 Expenses'!$B$8:$B$500,"&gt;="&amp;B67,'💸 Expenses'!$B$8:$B$500,"&lt;"&amp;(B67+1))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0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inlineStr">
        <is>
          <t>TOTALS &amp; CURRENT BALANCE</t>
        </is>
      </c>
      <c r="B44" s="232" t="n"/>
      <c r="C44" s="232" t="n"/>
      <c r="D44" s="232">
        <f>SUM(D4:D43)</f>
        <v/>
      </c>
      <c r="E44" s="233">
        <f>SUM(E4:E43)</f>
        <v/>
      </c>
      <c r="F44" s="233">
        <f>F43</f>
        <v/>
      </c>
      <c r="G44" s="232">
        <f>IF(F43&gt;0,"Restaurant owes Lohith $"&amp;TEXT(F43,"#,##0"),IF(F43&lt;0,"Lohith holds $"&amp;TEXT(ABS(F43),"#,##0"),"Zero balance"))</f>
        <v/>
      </c>
      <c r="H4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2026-07-20T19:38:26Z</dcterms:modified>
  <cp:lastModifiedBy>LOHITH REDDY</cp:lastModifiedBy>
</cp:coreProperties>
</file>