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  <font>
      <b val="1"/>
      <color rgb="00FFFFFF"/>
      <sz val="12"/>
    </font>
    <font>
      <i val="1"/>
      <color rgb="00808080"/>
      <sz val="9"/>
    </font>
    <font>
      <b val="1"/>
      <sz val="9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411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  <xf numFmtId="0" fontId="98" fillId="57" borderId="19" applyAlignment="1" pivotButton="0" quotePrefix="0" xfId="0">
      <alignment horizontal="left"/>
    </xf>
    <xf numFmtId="0" fontId="0" fillId="57" borderId="0" pivotButton="0" quotePrefix="0" xfId="0"/>
    <xf numFmtId="0" fontId="94" fillId="0" borderId="26" pivotButton="0" quotePrefix="0" xfId="0"/>
    <xf numFmtId="175" fontId="72" fillId="0" borderId="26" applyAlignment="1" pivotButton="0" quotePrefix="0" xfId="0">
      <alignment horizontal="right"/>
    </xf>
    <xf numFmtId="0" fontId="97" fillId="0" borderId="26" pivotButton="0" quotePrefix="0" xfId="0"/>
    <xf numFmtId="0" fontId="99" fillId="0" borderId="0" applyAlignment="1" pivotButton="0" quotePrefix="0" xfId="0">
      <alignment horizontal="left"/>
    </xf>
    <xf numFmtId="0" fontId="99" fillId="0" borderId="19" applyAlignment="1" pivotButton="0" quotePrefix="0" xfId="0">
      <alignment horizontal="left"/>
    </xf>
    <xf numFmtId="0" fontId="99" fillId="0" borderId="0" pivotButton="0" quotePrefix="0" xfId="0"/>
    <xf numFmtId="0" fontId="99" fillId="0" borderId="19" pivotButton="0" quotePrefix="0" xfId="0"/>
    <xf numFmtId="0" fontId="97" fillId="0" borderId="0" pivotButton="0" quotePrefix="0" xfId="0"/>
    <xf numFmtId="0" fontId="100" fillId="0" borderId="0" pivotButton="0" quotePrefix="0" xfId="0"/>
    <xf numFmtId="10" fontId="97" fillId="0" borderId="0" pivotButton="0" quotePrefix="0" xfId="0"/>
    <xf numFmtId="175" fontId="0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 Jul 2026  |  Capital, Acquisition, Pre-Opening, Renovation CapEx &amp; Operations↔Capital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Owner ledger balance settled from budget (rent + fronted items)</t>
        </is>
      </c>
      <c r="D139" s="242" t="n">
        <v>19314.81</v>
      </c>
    </row>
    <row r="140">
      <c r="B140">
        <f>REMAINING WITH ME (budget left with Lohith)</f>
        <v/>
      </c>
      <c r="D140">
        <f>D136-D137-D138-D139</f>
        <v/>
      </c>
    </row>
    <row r="142" ht="22" customHeight="1" s="278">
      <c r="B142" s="398" t="inlineStr">
        <is>
          <t xml:space="preserve">  K.  OPERATIONS ↔ CAPITAL  —  RUNNING POSITION</t>
        </is>
      </c>
    </row>
    <row r="143">
      <c r="B143" s="400" t="inlineStr">
        <is>
          <t>Operating Income (all-time, from Daily Log)</t>
        </is>
      </c>
      <c r="C143" s="401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400" t="inlineStr">
        <is>
          <t>Operating Expenses (all-time, from Expenses)</t>
        </is>
      </c>
      <c r="C144" s="401">
        <f>SUM('💸 Expenses'!F8:F500)</f>
        <v/>
      </c>
      <c r="D144" s="191" t="n"/>
      <c r="E144" s="190" t="n"/>
      <c r="F144" s="190" t="n"/>
      <c r="G144" s="189" t="n"/>
    </row>
    <row r="145">
      <c r="B145" s="400" t="inlineStr">
        <is>
          <t>MP Commission (auto: card × 4.06%)</t>
        </is>
      </c>
      <c r="C145" s="379">
        <f>SUM('📅 Daily Log'!R8:R500)</f>
        <v/>
      </c>
    </row>
    <row r="146">
      <c r="B146" s="402" t="inlineStr">
        <is>
          <t>OPERATING RESULT  (income − expenses − commission)</t>
        </is>
      </c>
      <c r="C146" s="379">
        <f>C143-C144-C145</f>
        <v/>
      </c>
      <c r="E146" s="403" t="n"/>
    </row>
    <row r="147">
      <c r="B147" s="377" t="inlineStr">
        <is>
          <t>ADVANCE OWED by Operations to Capital</t>
        </is>
      </c>
      <c r="C147" s="379" t="n">
        <v>19314.81</v>
      </c>
      <c r="E147" s="405" t="inlineStr">
        <is>
          <t>Rent + fronted operating items funded from capital budget (settled 30 Jun). Add future capital-funded operating costs here.</t>
        </is>
      </c>
    </row>
    <row r="148">
      <c r="B148" s="406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T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407" t="inlineStr">
        <is>
          <t>MP Comm $</t>
        </is>
      </c>
      <c r="S7" s="408" t="inlineStr">
        <is>
          <t>MP Rate</t>
        </is>
      </c>
      <c r="T7" s="409" t="n">
        <v>0.0406</v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10">
        <f>IFERROR(D8*$T$7,0)</f>
        <v/>
      </c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410">
        <f>IFERROR(D9*$T$7,0)</f>
        <v/>
      </c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10">
        <f>IFERROR(D10*$T$7,0)</f>
        <v/>
      </c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410">
        <f>IFERROR(D11*$T$7,0)</f>
        <v/>
      </c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10">
        <f>IFERROR(D12*$T$7,0)</f>
        <v/>
      </c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410">
        <f>IFERROR(D13*$T$7,0)</f>
        <v/>
      </c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10">
        <f>IFERROR(D14*$T$7,0)</f>
        <v/>
      </c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410">
        <f>IFERROR(D15*$T$7,0)</f>
        <v/>
      </c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10">
        <f>IFERROR(D16*$T$7,0)</f>
        <v/>
      </c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410">
        <f>IFERROR(D17*$T$7,0)</f>
        <v/>
      </c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10">
        <f>IFERROR(D18*$T$7,0)</f>
        <v/>
      </c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410">
        <f>IFERROR(D19*$T$7,0)</f>
        <v/>
      </c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10">
        <f>IFERROR(D20*$T$7,0)</f>
        <v/>
      </c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410">
        <f>IFERROR(D21*$T$7,0)</f>
        <v/>
      </c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10">
        <f>IFERROR(D22*$T$7,0)</f>
        <v/>
      </c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410">
        <f>IFERROR(D23*$T$7,0)</f>
        <v/>
      </c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10">
        <f>IFERROR(D24*$T$7,0)</f>
        <v/>
      </c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410">
        <f>IFERROR(D25*$T$7,0)</f>
        <v/>
      </c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10">
        <f>IFERROR(D26*$T$7,0)</f>
        <v/>
      </c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410">
        <f>IFERROR(D27*$T$7,0)</f>
        <v/>
      </c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10">
        <f>IFERROR(D28*$T$7,0)</f>
        <v/>
      </c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410">
        <f>IFERROR(D29*$T$7,0)</f>
        <v/>
      </c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10">
        <f>IFERROR(D30*$T$7,0)</f>
        <v/>
      </c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410">
        <f>IFERROR(D31*$T$7,0)</f>
        <v/>
      </c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10">
        <f>IFERROR(D32*$T$7,0)</f>
        <v/>
      </c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410">
        <f>IFERROR(D33*$T$7,0)</f>
        <v/>
      </c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10">
        <f>IFERROR(D34*$T$7,0)</f>
        <v/>
      </c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410">
        <f>IFERROR(D35*$T$7,0)</f>
        <v/>
      </c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10">
        <f>IFERROR(D36*$T$7,0)</f>
        <v/>
      </c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410">
        <f>IFERROR(D37*$T$7,0)</f>
        <v/>
      </c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10">
        <f>IFERROR(D38*$T$7,0)</f>
        <v/>
      </c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410">
        <f>IFERROR(D39*$T$7,0)</f>
        <v/>
      </c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10">
        <f>IFERROR(D40*$T$7,0)</f>
        <v/>
      </c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  <c r="R41" s="410">
        <f>IFERROR(D41*$T$7,0)</f>
        <v/>
      </c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  <c r="R42" s="410">
        <f>IFERROR(D42*$T$7,0)</f>
        <v/>
      </c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  <c r="R43" s="410">
        <f>IFERROR(D43*$T$7,0)</f>
        <v/>
      </c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  <c r="R44" s="410">
        <f>IFERROR(D44*$T$7,0)</f>
        <v/>
      </c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  <c r="R45" s="410">
        <f>IFERROR(D45*$T$7,0)</f>
        <v/>
      </c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  <c r="R46" s="410">
        <f>IFERROR(D46*$T$7,0)</f>
        <v/>
      </c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  <c r="R47" s="410">
        <f>IFERROR(D47*$T$7,0)</f>
        <v/>
      </c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  <c r="R48" s="410">
        <f>IFERROR(D48*$T$7,0)</f>
        <v/>
      </c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  <c r="R49" s="410">
        <f>IFERROR(D49*$T$7,0)</f>
        <v/>
      </c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  <c r="R50" s="410">
        <f>IFERROR(D50*$T$7,0)</f>
        <v/>
      </c>
    </row>
    <row r="51" ht="16.5" customHeight="1" s="278">
      <c r="B51" s="385" t="n">
        <v>46203</v>
      </c>
      <c r="C51" s="256" t="inlineStr">
        <is>
          <t>Tue</t>
        </is>
      </c>
      <c r="D51" s="257" t="n">
        <v>2408</v>
      </c>
      <c r="E51" s="49" t="n">
        <v>1670</v>
      </c>
      <c r="F51" s="50">
        <f>IFERROR(D51+E51+G51,0)</f>
        <v/>
      </c>
      <c r="G51" s="258" t="n">
        <v>55</v>
      </c>
      <c r="H51" s="259">
        <f>SUMIFS('💸 Expenses'!$F$8:$F$500,'💸 Expenses'!$B$8:$B$500,"&gt;="&amp;B51,'💸 Expenses'!$B$8:$B$500,"&lt;"&amp;(B51+1))</f>
        <v/>
      </c>
      <c r="I51" s="260">
        <f>IFERROR(F51-H51,0)</f>
        <v/>
      </c>
      <c r="J51" s="261">
        <f>IFERROR(I51/F51,0)</f>
        <v/>
      </c>
      <c r="K51" s="255" t="n"/>
      <c r="L51" s="262" t="inlineStr">
        <is>
          <t>Cierre via loka.py</t>
        </is>
      </c>
      <c r="M51" s="21" t="n"/>
      <c r="N51" s="56" t="n"/>
      <c r="O51" s="57" t="n"/>
      <c r="P51" s="58" t="n"/>
      <c r="Q51" s="56" t="n"/>
      <c r="R51" s="410">
        <f>IFERROR(D51*$T$7,0)</f>
        <v/>
      </c>
    </row>
    <row r="52" ht="16.5" customHeight="1" s="278">
      <c r="B52" s="385" t="n">
        <v>46204</v>
      </c>
      <c r="C52" s="386" t="inlineStr">
        <is>
          <t>Wed</t>
        </is>
      </c>
      <c r="D52" s="387" t="n">
        <v>2498</v>
      </c>
      <c r="E52" s="37" t="n">
        <v>2024</v>
      </c>
      <c r="F52" s="38">
        <f>IFERROR(D52+E52+G52,0)</f>
        <v/>
      </c>
      <c r="G52" s="388" t="n">
        <v>0</v>
      </c>
      <c r="H52" s="389">
        <f>SUMIFS('💸 Expenses'!$F$8:$F$500,'💸 Expenses'!$B$8:$B$500,"&gt;="&amp;B52,'💸 Expenses'!$B$8:$B$500,"&lt;"&amp;(B52+1))</f>
        <v/>
      </c>
      <c r="I52" s="390">
        <f>IFERROR(F52-H52,0)</f>
        <v/>
      </c>
      <c r="J52" s="391">
        <f>IFERROR(I52/F52,0)</f>
        <v/>
      </c>
      <c r="K52" s="251" t="n"/>
      <c r="L52" s="392" t="inlineStr">
        <is>
          <t>Cierre via loka.py</t>
        </is>
      </c>
      <c r="M52" s="12" t="n"/>
      <c r="N52" s="44" t="n"/>
      <c r="O52" s="45" t="n"/>
      <c r="P52" s="46" t="n"/>
      <c r="Q52" s="44" t="n"/>
      <c r="R52" s="410">
        <f>IFERROR(D52*$T$7,0)</f>
        <v/>
      </c>
    </row>
    <row r="53" ht="16.5" customHeight="1" s="278">
      <c r="B53" s="385" t="n">
        <v>46205</v>
      </c>
      <c r="C53" s="256" t="inlineStr">
        <is>
          <t>Thu</t>
        </is>
      </c>
      <c r="D53" s="257" t="n">
        <v>1859</v>
      </c>
      <c r="E53" s="49" t="n">
        <v>1249</v>
      </c>
      <c r="F53" s="50">
        <f>IFERROR(D53+E53+G53,0)</f>
        <v/>
      </c>
      <c r="G53" s="258" t="n">
        <v>0</v>
      </c>
      <c r="H53" s="259">
        <f>SUMIFS('💸 Expenses'!$F$8:$F$500,'💸 Expenses'!$B$8:$B$500,"&gt;="&amp;B53,'💸 Expenses'!$B$8:$B$500,"&lt;"&amp;(B53+1))</f>
        <v/>
      </c>
      <c r="I53" s="260">
        <f>IFERROR(F53-H53,0)</f>
        <v/>
      </c>
      <c r="J53" s="261">
        <f>IFERROR(I53/F53,0)</f>
        <v/>
      </c>
      <c r="K53" s="255" t="inlineStr">
        <is>
          <t>incl +$120 additional card income (added 02-Jul)</t>
        </is>
      </c>
      <c r="L53" s="262" t="inlineStr">
        <is>
          <t>Cierre via loka.py</t>
        </is>
      </c>
      <c r="M53" s="21" t="n"/>
      <c r="N53" s="56" t="n"/>
      <c r="O53" s="57" t="n"/>
      <c r="P53" s="58" t="n"/>
      <c r="Q53" s="56" t="n"/>
      <c r="R53" s="410">
        <f>IFERROR(D53*$T$7,0)</f>
        <v/>
      </c>
    </row>
    <row r="54" ht="16.5" customHeight="1" s="278">
      <c r="B54" s="385" t="n">
        <v>46206</v>
      </c>
      <c r="C54" s="386" t="inlineStr">
        <is>
          <t>Fri</t>
        </is>
      </c>
      <c r="D54" s="387" t="n">
        <v>3702</v>
      </c>
      <c r="E54" s="37" t="n">
        <v>2375</v>
      </c>
      <c r="F54" s="38">
        <f>IFERROR(D54+E54+G54,0)</f>
        <v/>
      </c>
      <c r="G54" s="388" t="n">
        <v>0</v>
      </c>
      <c r="H54" s="389">
        <f>SUMIFS('💸 Expenses'!$F$8:$F$500,'💸 Expenses'!$B$8:$B$500,"&gt;="&amp;B54,'💸 Expenses'!$B$8:$B$500,"&lt;"&amp;(B54+1))</f>
        <v/>
      </c>
      <c r="I54" s="390">
        <f>IFERROR(F54-H54,0)</f>
        <v/>
      </c>
      <c r="J54" s="391">
        <f>IFERROR(I54/F54,0)</f>
        <v/>
      </c>
      <c r="K54" s="251" t="inlineStr">
        <is>
          <t>incl +$110 additional cash income (added 04-Jul)</t>
        </is>
      </c>
      <c r="L54" s="392" t="inlineStr">
        <is>
          <t>Cierre via loka.py</t>
        </is>
      </c>
      <c r="M54" s="12" t="n"/>
      <c r="N54" s="44" t="n"/>
      <c r="O54" s="45" t="n"/>
      <c r="P54" s="46" t="n"/>
      <c r="Q54" s="44" t="n"/>
      <c r="R54" s="410">
        <f>IFERROR(D54*$T$7,0)</f>
        <v/>
      </c>
    </row>
    <row r="55" ht="16.5" customHeight="1" s="278">
      <c r="B55" s="385" t="n">
        <v>46207</v>
      </c>
      <c r="C55" s="256" t="inlineStr">
        <is>
          <t>Sat</t>
        </is>
      </c>
      <c r="D55" s="257" t="n">
        <v>1739</v>
      </c>
      <c r="E55" s="49" t="n">
        <v>895</v>
      </c>
      <c r="F55" s="50">
        <f>IFERROR(D55+E55+G55,0)</f>
        <v/>
      </c>
      <c r="G55" s="258" t="n">
        <v>0</v>
      </c>
      <c r="H55" s="259">
        <f>SUMIFS('💸 Expenses'!$F$8:$F$500,'💸 Expenses'!$B$8:$B$500,"&gt;="&amp;B55,'💸 Expenses'!$B$8:$B$500,"&lt;"&amp;(B55+1))</f>
        <v/>
      </c>
      <c r="I55" s="260">
        <f>IFERROR(F55-H55,0)</f>
        <v/>
      </c>
      <c r="J55" s="261">
        <f>IFERROR(I55/F55,0)</f>
        <v/>
      </c>
      <c r="K55" s="255" t="n"/>
      <c r="L55" s="262" t="inlineStr">
        <is>
          <t>Cierre via loka.py</t>
        </is>
      </c>
      <c r="M55" s="21" t="n"/>
      <c r="N55" s="56" t="n"/>
      <c r="O55" s="57" t="n"/>
      <c r="P55" s="58" t="n"/>
      <c r="Q55" s="56" t="n"/>
      <c r="R55" s="410">
        <f>IFERROR(D55*$T$7,0)</f>
        <v/>
      </c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382" t="n">
        <v>46203</v>
      </c>
      <c r="C392" s="252" t="inlineStr">
        <is>
          <t>Pan Dulces (no bill receipt)</t>
        </is>
      </c>
      <c r="D392" s="253" t="inlineStr">
        <is>
          <t>No bill</t>
        </is>
      </c>
      <c r="E392" s="252" t="inlineStr">
        <is>
          <t>Ingredients - Bread</t>
        </is>
      </c>
      <c r="F392" s="70" t="n">
        <v>96</v>
      </c>
      <c r="G392" s="254" t="inlineStr">
        <is>
          <t>Restaurant</t>
        </is>
      </c>
      <c r="H392" s="254" t="inlineStr">
        <is>
          <t>Cash</t>
        </is>
      </c>
      <c r="I392" s="255" t="inlineStr">
        <is>
          <t>✅ Paid</t>
        </is>
      </c>
      <c r="J392" s="383" t="inlineStr">
        <is>
          <t>No receipt available; cash purchase</t>
        </is>
      </c>
    </row>
    <row r="393">
      <c r="B393" s="382" t="n">
        <v>46203</v>
      </c>
      <c r="C393" s="248" t="inlineStr">
        <is>
          <t>Tortillas blancas 2.055kg + Bolillo x6</t>
        </is>
      </c>
      <c r="D393" s="249" t="inlineStr">
        <is>
          <t>Chedraui Paseo</t>
        </is>
      </c>
      <c r="E393" s="248" t="inlineStr">
        <is>
          <t>Ingredients - Bread</t>
        </is>
      </c>
      <c r="F393" s="67" t="n">
        <v>43.17</v>
      </c>
      <c r="G393" s="250" t="inlineStr">
        <is>
          <t>Restaurant</t>
        </is>
      </c>
      <c r="H393" s="250" t="inlineStr">
        <is>
          <t>Card</t>
        </is>
      </c>
      <c r="I393" s="251" t="inlineStr">
        <is>
          <t>✅ Paid</t>
        </is>
      </c>
      <c r="J393" s="383" t="inlineStr">
        <is>
          <t>Debito BBVA; ticket 30-Jun 08:38</t>
        </is>
      </c>
    </row>
    <row r="394">
      <c r="B394" s="382" t="n">
        <v>46203</v>
      </c>
      <c r="C394" s="252" t="inlineStr">
        <is>
          <t>Pan hamburguesa ajonjoli x24, pan caja arandano 900g x4, chapata x24</t>
        </is>
      </c>
      <c r="D394" s="253" t="inlineStr">
        <is>
          <t>Productos Real La Cruz</t>
        </is>
      </c>
      <c r="E394" s="252" t="inlineStr">
        <is>
          <t>Ingredients - Bread</t>
        </is>
      </c>
      <c r="F394" s="70" t="n">
        <v>728</v>
      </c>
      <c r="G394" s="254" t="inlineStr">
        <is>
          <t>Restaurant</t>
        </is>
      </c>
      <c r="H394" s="254" t="inlineStr">
        <is>
          <t>Card</t>
        </is>
      </c>
      <c r="I394" s="255" t="inlineStr">
        <is>
          <t>✅ Paid</t>
        </is>
      </c>
      <c r="J394" s="383" t="inlineStr">
        <is>
          <t>Tarjeta debito; base $740 - $12 desc = $728; folio 4423</t>
        </is>
      </c>
    </row>
    <row r="395">
      <c r="B395" s="382" t="n">
        <v>46203</v>
      </c>
      <c r="C395" s="248" t="inlineStr">
        <is>
          <t>Queso Gouda Menona 2.06kg @ $135/kg</t>
        </is>
      </c>
      <c r="D395" s="249" t="inlineStr">
        <is>
          <t>La Bodega del Buen Queso</t>
        </is>
      </c>
      <c r="E395" s="248" t="inlineStr">
        <is>
          <t>Ingredients - Dairy</t>
        </is>
      </c>
      <c r="F395" s="67" t="n">
        <v>278.1</v>
      </c>
      <c r="G395" s="250" t="inlineStr">
        <is>
          <t>Restaurant</t>
        </is>
      </c>
      <c r="H395" s="250" t="inlineStr">
        <is>
          <t>Cash</t>
        </is>
      </c>
      <c r="I395" s="251" t="inlineStr">
        <is>
          <t>✅ Paid</t>
        </is>
      </c>
      <c r="J395" s="383" t="inlineStr">
        <is>
          <t>Efectivo; nota 0032709</t>
        </is>
      </c>
    </row>
    <row r="396">
      <c r="B396" s="382" t="n">
        <v>46203</v>
      </c>
      <c r="C396" s="252" t="inlineStr">
        <is>
          <t>Miscelanea LC remision (2 lineas manuscritas ilegibles)</t>
        </is>
      </c>
      <c r="D396" s="253" t="inlineStr">
        <is>
          <t>Miscelanea LC La Cruz</t>
        </is>
      </c>
      <c r="E396" s="252" t="inlineStr">
        <is>
          <t>Ingredients - Other</t>
        </is>
      </c>
      <c r="F396" s="70" t="n">
        <v>436</v>
      </c>
      <c r="G396" s="254" t="inlineStr">
        <is>
          <t>Restaurant</t>
        </is>
      </c>
      <c r="H396" s="254" t="inlineStr">
        <is>
          <t>Card</t>
        </is>
      </c>
      <c r="I396" s="255" t="inlineStr">
        <is>
          <t>✅ Paid</t>
        </is>
      </c>
      <c r="J396" s="383" t="inlineStr">
        <is>
          <t>Getnet $436 autoritativo (Aut 785588, 11:38); lineas ~$197 + 'CH Alto' ~$239 ilegibles - confirmar articulos</t>
        </is>
      </c>
    </row>
    <row r="397">
      <c r="B397" s="382" t="n">
        <v>46204</v>
      </c>
      <c r="C397" s="248" t="inlineStr">
        <is>
          <t>Aceite La Posada 800 x2</t>
        </is>
      </c>
      <c r="D397" s="249" t="inlineStr">
        <is>
          <t>OXXO</t>
        </is>
      </c>
      <c r="E397" s="248" t="inlineStr">
        <is>
          <t>Ingredients - Pantry</t>
        </is>
      </c>
      <c r="F397" s="67" t="n">
        <v>56</v>
      </c>
      <c r="G397" s="250" t="inlineStr">
        <is>
          <t>Restaurant</t>
        </is>
      </c>
      <c r="H397" s="250" t="inlineStr">
        <is>
          <t>Cash</t>
        </is>
      </c>
      <c r="I397" s="251" t="inlineStr">
        <is>
          <t>✅ Paid</t>
        </is>
      </c>
      <c r="J397" s="383" t="inlineStr">
        <is>
          <t>OXXO 09:14; cooking oil</t>
        </is>
      </c>
    </row>
    <row r="398">
      <c r="B398" s="382" t="n">
        <v>46204</v>
      </c>
      <c r="C398" s="252" t="inlineStr">
        <is>
          <t>Horchata/Jamaica/Limonada 1L x6 c/u (18 pzas)</t>
        </is>
      </c>
      <c r="D398" s="253" t="inlineStr">
        <is>
          <t>Casa Reca</t>
        </is>
      </c>
      <c r="E398" s="252" t="inlineStr">
        <is>
          <t>Ingredients - Beverages</t>
        </is>
      </c>
      <c r="F398" s="70" t="n">
        <v>450</v>
      </c>
      <c r="G398" s="254" t="inlineStr">
        <is>
          <t>Restaurant</t>
        </is>
      </c>
      <c r="H398" s="254" t="inlineStr">
        <is>
          <t>Cash</t>
        </is>
      </c>
      <c r="I398" s="255" t="inlineStr">
        <is>
          <t>✅ Paid</t>
        </is>
      </c>
      <c r="J398" s="383" t="inlineStr">
        <is>
          <t>Nota venta ruta preventa Casa Reca; facturado a 'CAFE OH LELE' = nombre anterior de LOKA (OK); efectivo confirmado</t>
        </is>
      </c>
    </row>
    <row r="399">
      <c r="B399" s="382" t="n">
        <v>46204</v>
      </c>
      <c r="C399" s="248" t="inlineStr">
        <is>
          <t>Salchicha nortena p/asar 1kg</t>
        </is>
      </c>
      <c r="D399" s="249" t="inlineStr">
        <is>
          <t>San Juan Salchichonerias</t>
        </is>
      </c>
      <c r="E399" s="248" t="inlineStr">
        <is>
          <t>Ingredients - Meat</t>
        </is>
      </c>
      <c r="F399" s="67" t="n">
        <v>73</v>
      </c>
      <c r="G399" s="250" t="inlineStr">
        <is>
          <t>Restaurant</t>
        </is>
      </c>
      <c r="H399" s="250" t="inlineStr">
        <is>
          <t>Card</t>
        </is>
      </c>
      <c r="I399" s="251" t="inlineStr">
        <is>
          <t>✅ Paid</t>
        </is>
      </c>
      <c r="J399" s="383" t="inlineStr">
        <is>
          <t>Ticket 0255365 La Cruz 14:49; tarjeta Banregio</t>
        </is>
      </c>
    </row>
    <row r="400">
      <c r="B400" s="382" t="n">
        <v>46204</v>
      </c>
      <c r="C400" s="252" t="inlineStr">
        <is>
          <t>Tortillas blancas x2</t>
        </is>
      </c>
      <c r="D400" s="253" t="inlineStr">
        <is>
          <t>Chedraui Paseo</t>
        </is>
      </c>
      <c r="E400" s="252" t="inlineStr">
        <is>
          <t>Ingredients - Bread</t>
        </is>
      </c>
      <c r="F400" s="70" t="n">
        <v>55.93</v>
      </c>
      <c r="G400" s="254" t="inlineStr">
        <is>
          <t>Restaurant</t>
        </is>
      </c>
      <c r="H400" s="254" t="inlineStr">
        <is>
          <t>Card</t>
        </is>
      </c>
      <c r="I400" s="255" t="inlineStr">
        <is>
          <t>✅ Paid</t>
        </is>
      </c>
      <c r="J400" s="383" t="inlineStr">
        <is>
          <t>Debito BBVA; 08:55</t>
        </is>
      </c>
    </row>
    <row r="401">
      <c r="B401" s="382" t="n">
        <v>46204</v>
      </c>
      <c r="C401" s="248" t="inlineStr">
        <is>
          <t>Muslo (pollo) 5.23kg @ $50/kg</t>
        </is>
      </c>
      <c r="D401" s="249" t="inlineStr">
        <is>
          <t>Remision Loka Cafe</t>
        </is>
      </c>
      <c r="E401" s="248" t="inlineStr">
        <is>
          <t>Ingredients - Meat</t>
        </is>
      </c>
      <c r="F401" s="67" t="n">
        <v>262</v>
      </c>
      <c r="G401" s="250" t="inlineStr">
        <is>
          <t>Restaurant</t>
        </is>
      </c>
      <c r="H401" s="250" t="inlineStr">
        <is>
          <t>Cash</t>
        </is>
      </c>
      <c r="I401" s="251" t="inlineStr">
        <is>
          <t>✅ Paid</t>
        </is>
      </c>
      <c r="J401" s="383" t="inlineStr">
        <is>
          <t>Nota remision manuscrita; 5.23x50=261.50, total escrito $262; metodo no confirmado</t>
        </is>
      </c>
    </row>
    <row r="402">
      <c r="B402" s="382" t="n">
        <v>46204</v>
      </c>
      <c r="C402" s="252" t="inlineStr">
        <is>
          <t>Rosca chocolate base + salchicha p/asar 800 x2</t>
        </is>
      </c>
      <c r="D402" s="253" t="inlineStr">
        <is>
          <t>H-E-B</t>
        </is>
      </c>
      <c r="E402" s="252" t="inlineStr">
        <is>
          <t>Ingredients - Other</t>
        </is>
      </c>
      <c r="F402" s="70" t="n">
        <v>246.8</v>
      </c>
      <c r="G402" s="254" t="inlineStr">
        <is>
          <t>Restaurant</t>
        </is>
      </c>
      <c r="H402" s="254" t="inlineStr">
        <is>
          <t>Card</t>
        </is>
      </c>
      <c r="I402" s="255" t="inlineStr">
        <is>
          <t>✅ Paid</t>
        </is>
      </c>
      <c r="J402" s="383" t="inlineStr">
        <is>
          <t>Cuenta tarjeta ***3982; rosca $105 + salchicha $141.80; incl IEPS</t>
        </is>
      </c>
    </row>
    <row r="403">
      <c r="B403" s="382" t="n">
        <v>46204</v>
      </c>
      <c r="C403" s="248" t="inlineStr">
        <is>
          <t>Aceite La Posada 800 x12</t>
        </is>
      </c>
      <c r="D403" s="249" t="inlineStr">
        <is>
          <t>OXXO</t>
        </is>
      </c>
      <c r="E403" s="248" t="inlineStr">
        <is>
          <t>Ingredients - Pantry</t>
        </is>
      </c>
      <c r="F403" s="67" t="n">
        <v>336</v>
      </c>
      <c r="G403" s="250" t="inlineStr">
        <is>
          <t>Restaurant</t>
        </is>
      </c>
      <c r="H403" s="250" t="inlineStr">
        <is>
          <t>Card</t>
        </is>
      </c>
      <c r="I403" s="251" t="inlineStr">
        <is>
          <t>✅ Paid</t>
        </is>
      </c>
      <c r="J403" s="383" t="inlineStr">
        <is>
          <t>BBVA debito ML ***3982 AUT 922070; 18:35; cooking oil</t>
        </is>
      </c>
    </row>
    <row r="404">
      <c r="B404" s="382" t="n">
        <v>46204</v>
      </c>
      <c r="C404" s="252" t="inlineStr">
        <is>
          <t>Pork Belly</t>
        </is>
      </c>
      <c r="D404" s="253" t="inlineStr">
        <is>
          <t>No bill</t>
        </is>
      </c>
      <c r="E404" s="252" t="inlineStr">
        <is>
          <t>Ingredients - Meat</t>
        </is>
      </c>
      <c r="F404" s="70" t="n">
        <v>355</v>
      </c>
      <c r="G404" s="254" t="inlineStr">
        <is>
          <t>Restaurant</t>
        </is>
      </c>
      <c r="H404" s="254" t="inlineStr">
        <is>
          <t>Cash</t>
        </is>
      </c>
      <c r="I404" s="255" t="inlineStr">
        <is>
          <t>✅ Paid</t>
        </is>
      </c>
      <c r="J404" s="383" t="inlineStr">
        <is>
          <t>No receipt; cash purchase</t>
        </is>
      </c>
    </row>
    <row r="405">
      <c r="B405" s="382" t="n">
        <v>46204</v>
      </c>
      <c r="C405" s="248" t="inlineStr">
        <is>
          <t>Carne molida</t>
        </is>
      </c>
      <c r="D405" s="249" t="inlineStr">
        <is>
          <t>No bill</t>
        </is>
      </c>
      <c r="E405" s="248" t="inlineStr">
        <is>
          <t>Ingredients - Meat</t>
        </is>
      </c>
      <c r="F405" s="67" t="n">
        <v>271</v>
      </c>
      <c r="G405" s="250" t="inlineStr">
        <is>
          <t>Restaurant</t>
        </is>
      </c>
      <c r="H405" s="250" t="inlineStr">
        <is>
          <t>Cash</t>
        </is>
      </c>
      <c r="I405" s="251" t="inlineStr">
        <is>
          <t>✅ Paid</t>
        </is>
      </c>
      <c r="J405" s="383" t="inlineStr">
        <is>
          <t>No receipt; cash purchase</t>
        </is>
      </c>
    </row>
    <row r="406">
      <c r="B406" s="382" t="n">
        <v>46204</v>
      </c>
      <c r="C406" s="252" t="inlineStr">
        <is>
          <t>Agua Ciel</t>
        </is>
      </c>
      <c r="D406" s="253" t="inlineStr">
        <is>
          <t>No bill</t>
        </is>
      </c>
      <c r="E406" s="252" t="inlineStr">
        <is>
          <t>Ingredients - Beverages</t>
        </is>
      </c>
      <c r="F406" s="70" t="n">
        <v>49.5</v>
      </c>
      <c r="G406" s="254" t="inlineStr">
        <is>
          <t>Restaurant</t>
        </is>
      </c>
      <c r="H406" s="254" t="inlineStr">
        <is>
          <t>Cash</t>
        </is>
      </c>
      <c r="I406" s="255" t="inlineStr">
        <is>
          <t>✅ Paid</t>
        </is>
      </c>
      <c r="J406" s="383" t="inlineStr">
        <is>
          <t>No receipt; cash purchase</t>
        </is>
      </c>
    </row>
    <row r="407">
      <c r="B407" s="382" t="n">
        <v>46204</v>
      </c>
      <c r="C407" s="248" t="inlineStr">
        <is>
          <t>Agua natural</t>
        </is>
      </c>
      <c r="D407" s="249" t="inlineStr">
        <is>
          <t>No bill</t>
        </is>
      </c>
      <c r="E407" s="248" t="inlineStr">
        <is>
          <t>Ingredients - Beverages</t>
        </is>
      </c>
      <c r="F407" s="67" t="n">
        <v>36</v>
      </c>
      <c r="G407" s="250" t="inlineStr">
        <is>
          <t>Restaurant</t>
        </is>
      </c>
      <c r="H407" s="250" t="inlineStr">
        <is>
          <t>Cash</t>
        </is>
      </c>
      <c r="I407" s="251" t="inlineStr">
        <is>
          <t>✅ Paid</t>
        </is>
      </c>
      <c r="J407" s="383" t="inlineStr">
        <is>
          <t>No receipt; cash purchase</t>
        </is>
      </c>
    </row>
    <row r="408">
      <c r="B408" s="382" t="n">
        <v>46204</v>
      </c>
      <c r="C408" s="252" t="inlineStr">
        <is>
          <t>Hielos</t>
        </is>
      </c>
      <c r="D408" s="253" t="inlineStr">
        <is>
          <t>No bill</t>
        </is>
      </c>
      <c r="E408" s="252" t="inlineStr">
        <is>
          <t>Kitchen Supplies</t>
        </is>
      </c>
      <c r="F408" s="70" t="n">
        <v>150</v>
      </c>
      <c r="G408" s="254" t="inlineStr">
        <is>
          <t>Restaurant</t>
        </is>
      </c>
      <c r="H408" s="254" t="inlineStr">
        <is>
          <t>Cash</t>
        </is>
      </c>
      <c r="I408" s="255" t="inlineStr">
        <is>
          <t>✅ Paid</t>
        </is>
      </c>
      <c r="J408" s="383" t="inlineStr">
        <is>
          <t>No receipt; cash purchase</t>
        </is>
      </c>
    </row>
    <row r="409">
      <c r="B409" s="382" t="n">
        <v>46205</v>
      </c>
      <c r="C409" s="248" t="inlineStr">
        <is>
          <t>Tomatoes</t>
        </is>
      </c>
      <c r="D409" s="249" t="inlineStr">
        <is>
          <t>No bill</t>
        </is>
      </c>
      <c r="E409" s="248" t="inlineStr">
        <is>
          <t>Ingredients - Vegetables</t>
        </is>
      </c>
      <c r="F409" s="67" t="n">
        <v>31</v>
      </c>
      <c r="G409" s="250" t="inlineStr">
        <is>
          <t>Restaurant</t>
        </is>
      </c>
      <c r="H409" s="250" t="inlineStr">
        <is>
          <t>Cash</t>
        </is>
      </c>
      <c r="I409" s="251" t="inlineStr">
        <is>
          <t>✅ Paid</t>
        </is>
      </c>
      <c r="J409" s="383" t="inlineStr">
        <is>
          <t>No receipt; cash purchase</t>
        </is>
      </c>
    </row>
    <row r="410">
      <c r="B410" s="382" t="n">
        <v>46205</v>
      </c>
      <c r="C410" s="252" t="inlineStr">
        <is>
          <t>Bistec puerco (pork steak)</t>
        </is>
      </c>
      <c r="D410" s="253" t="inlineStr">
        <is>
          <t>No bill</t>
        </is>
      </c>
      <c r="E410" s="252" t="inlineStr">
        <is>
          <t>Ingredients - Meat</t>
        </is>
      </c>
      <c r="F410" s="70" t="n">
        <v>287</v>
      </c>
      <c r="G410" s="254" t="inlineStr">
        <is>
          <t>Restaurant</t>
        </is>
      </c>
      <c r="H410" s="254" t="inlineStr">
        <is>
          <t>Cash</t>
        </is>
      </c>
      <c r="I410" s="255" t="inlineStr">
        <is>
          <t>✅ Paid</t>
        </is>
      </c>
      <c r="J410" s="383" t="inlineStr">
        <is>
          <t>No receipt; cash purchase</t>
        </is>
      </c>
    </row>
    <row r="411">
      <c r="B411" s="382" t="n">
        <v>46206</v>
      </c>
      <c r="C411" s="248" t="inlineStr">
        <is>
          <t>Muslo (pollo) 3.79kg @ $50/kg</t>
        </is>
      </c>
      <c r="D411" s="249" t="inlineStr">
        <is>
          <t>Remision Loka Cafe</t>
        </is>
      </c>
      <c r="E411" s="248" t="inlineStr">
        <is>
          <t>Ingredients - Meat</t>
        </is>
      </c>
      <c r="F411" s="67" t="n">
        <v>190</v>
      </c>
      <c r="G411" s="250" t="inlineStr">
        <is>
          <t>Restaurant</t>
        </is>
      </c>
      <c r="H411" s="250" t="inlineStr">
        <is>
          <t>Cash</t>
        </is>
      </c>
      <c r="I411" s="251" t="inlineStr">
        <is>
          <t>✅ Paid</t>
        </is>
      </c>
      <c r="J411" s="383" t="inlineStr">
        <is>
          <t>Nota remision manuscrita; 3.79x50; efectivo</t>
        </is>
      </c>
    </row>
    <row r="412">
      <c r="B412" s="382" t="n">
        <v>46206</v>
      </c>
      <c r="C412" s="252" t="inlineStr">
        <is>
          <t>Muslo (pollo) 2.30kg @ $50/kg</t>
        </is>
      </c>
      <c r="D412" s="253" t="inlineStr">
        <is>
          <t>Remision</t>
        </is>
      </c>
      <c r="E412" s="252" t="inlineStr">
        <is>
          <t>Ingredients - Meat</t>
        </is>
      </c>
      <c r="F412" s="70" t="n">
        <v>115</v>
      </c>
      <c r="G412" s="254" t="inlineStr">
        <is>
          <t>Restaurant</t>
        </is>
      </c>
      <c r="H412" s="254" t="inlineStr">
        <is>
          <t>Cash</t>
        </is>
      </c>
      <c r="I412" s="255" t="inlineStr">
        <is>
          <t>✅ Paid</t>
        </is>
      </c>
      <c r="J412" s="383" t="inlineStr">
        <is>
          <t>Nota remision manuscrita; 2.30x50=115; efectivo</t>
        </is>
      </c>
    </row>
    <row r="413">
      <c r="B413" s="382" t="n">
        <v>46206</v>
      </c>
      <c r="C413" s="248" t="inlineStr">
        <is>
          <t>Mayo Real x2 + Leche entera (Sam's Club)</t>
        </is>
      </c>
      <c r="D413" s="249" t="inlineStr">
        <is>
          <t>Sam's Club</t>
        </is>
      </c>
      <c r="E413" s="248" t="inlineStr">
        <is>
          <t>Supermarket/General</t>
        </is>
      </c>
      <c r="F413" s="67" t="n">
        <v>810</v>
      </c>
      <c r="G413" s="250" t="inlineStr">
        <is>
          <t>Restaurant</t>
        </is>
      </c>
      <c r="H413" s="250" t="inlineStr">
        <is>
          <t>Card</t>
        </is>
      </c>
      <c r="I413" s="251" t="inlineStr">
        <is>
          <t>✅ Paid</t>
        </is>
      </c>
      <c r="J413" s="383" t="inlineStr">
        <is>
          <t>Debito Mastercard Bancomer AUT 733600; mayo $544.24 + leche $284.39 - desc $18.63 = 810</t>
        </is>
      </c>
    </row>
    <row r="414">
      <c r="B414" s="382" t="n">
        <v>46206</v>
      </c>
      <c r="C414" s="252" t="inlineStr">
        <is>
          <t>Filete mojarra de mar 3.14kg @ $140/kg</t>
        </is>
      </c>
      <c r="D414" s="253" t="inlineStr">
        <is>
          <t>Brisa del Mar</t>
        </is>
      </c>
      <c r="E414" s="252" t="inlineStr">
        <is>
          <t>Ingredients - Meat &amp; Fish</t>
        </is>
      </c>
      <c r="F414" s="70" t="n">
        <v>439.6</v>
      </c>
      <c r="G414" s="254" t="inlineStr">
        <is>
          <t>Restaurant</t>
        </is>
      </c>
      <c r="H414" s="254" t="inlineStr">
        <is>
          <t>Cash</t>
        </is>
      </c>
      <c r="I414" s="255" t="inlineStr">
        <is>
          <t>✅ Paid</t>
        </is>
      </c>
      <c r="J414" s="383" t="inlineStr">
        <is>
          <t>Pescados y mariscos 08:44; metodo no impreso (asumido efectivo)</t>
        </is>
      </c>
    </row>
    <row r="415">
      <c r="B415" s="382" t="n">
        <v>46206</v>
      </c>
      <c r="C415" s="248" t="inlineStr">
        <is>
          <t>Vegetales</t>
        </is>
      </c>
      <c r="D415" s="249" t="inlineStr">
        <is>
          <t>No bill</t>
        </is>
      </c>
      <c r="E415" s="248" t="inlineStr">
        <is>
          <t>Ingredients - Vegetables</t>
        </is>
      </c>
      <c r="F415" s="67" t="n">
        <v>55</v>
      </c>
      <c r="G415" s="250" t="inlineStr">
        <is>
          <t>Restaurant</t>
        </is>
      </c>
      <c r="H415" s="250" t="inlineStr">
        <is>
          <t>Cash</t>
        </is>
      </c>
      <c r="I415" s="251" t="inlineStr">
        <is>
          <t>✅ Paid</t>
        </is>
      </c>
      <c r="J415" s="383" t="inlineStr">
        <is>
          <t>No receipt; cash purchase</t>
        </is>
      </c>
    </row>
    <row r="416">
      <c r="B416" s="382" t="n">
        <v>46206</v>
      </c>
      <c r="C416" s="252" t="inlineStr">
        <is>
          <t>Samu — Ayudante Week 7</t>
        </is>
      </c>
      <c r="D416" s="253" t="inlineStr">
        <is>
          <t>Payroll</t>
        </is>
      </c>
      <c r="E416" s="252" t="inlineStr">
        <is>
          <t>Staff - Salary</t>
        </is>
      </c>
      <c r="F416" s="70" t="n">
        <v>1200</v>
      </c>
      <c r="G416" s="254" t="inlineStr">
        <is>
          <t>Restaurant</t>
        </is>
      </c>
      <c r="H416" s="254" t="inlineStr">
        <is>
          <t>Cash</t>
        </is>
      </c>
      <c r="I416" s="255" t="inlineStr">
        <is>
          <t>✅ Paid</t>
        </is>
      </c>
      <c r="J416" s="383" t="inlineStr">
        <is>
          <t>Week 7 salary, paid Friday 03 Jul ($800 base + $400 mesero top-up)</t>
        </is>
      </c>
    </row>
    <row r="417">
      <c r="B417" s="382" t="n">
        <v>46207</v>
      </c>
      <c r="C417" s="248" t="inlineStr">
        <is>
          <t>Zanahoria 3kg, Limon 3kg, Cebolla 3kg</t>
        </is>
      </c>
      <c r="D417" s="249" t="inlineStr">
        <is>
          <t>Mi Joven</t>
        </is>
      </c>
      <c r="E417" s="248" t="inlineStr">
        <is>
          <t>Ingredients - Vegetables</t>
        </is>
      </c>
      <c r="F417" s="67" t="n">
        <v>147</v>
      </c>
      <c r="G417" s="250" t="inlineStr">
        <is>
          <t>Restaurant</t>
        </is>
      </c>
      <c r="H417" s="250" t="inlineStr">
        <is>
          <t>Cash</t>
        </is>
      </c>
      <c r="I417" s="251" t="inlineStr">
        <is>
          <t>✅ Paid</t>
        </is>
      </c>
      <c r="J417" s="383" t="inlineStr">
        <is>
          <t>Mercado de Abastos folio 21212; efectivo</t>
        </is>
      </c>
    </row>
    <row r="418">
      <c r="B418" s="382" t="n">
        <v>46207</v>
      </c>
      <c r="C418" s="252" t="inlineStr">
        <is>
          <t>Papas 6 x $35</t>
        </is>
      </c>
      <c r="D418" s="253" t="inlineStr">
        <is>
          <t>Papas San Miguel</t>
        </is>
      </c>
      <c r="E418" s="252" t="inlineStr">
        <is>
          <t>Ingredients - Vegetables</t>
        </is>
      </c>
      <c r="F418" s="70" t="n">
        <v>210</v>
      </c>
      <c r="G418" s="254" t="inlineStr">
        <is>
          <t>Restaurant</t>
        </is>
      </c>
      <c r="H418" s="254" t="inlineStr">
        <is>
          <t>Cash</t>
        </is>
      </c>
      <c r="I418" s="255" t="inlineStr">
        <is>
          <t>✅ Paid</t>
        </is>
      </c>
      <c r="J418" s="383" t="inlineStr">
        <is>
          <t>6x35=210; efectivo</t>
        </is>
      </c>
    </row>
    <row r="419">
      <c r="B419" s="382" t="n">
        <v>46207</v>
      </c>
      <c r="C419" s="248" t="inlineStr">
        <is>
          <t>Verduras/hierbas mixtas (col, espinacas, hierbabuena, champinones, betabeles, lechugas, jengibre)</t>
        </is>
      </c>
      <c r="D419" s="249" t="inlineStr">
        <is>
          <t>Hnos. Labra</t>
        </is>
      </c>
      <c r="E419" s="248" t="inlineStr">
        <is>
          <t>Ingredients - Vegetables</t>
        </is>
      </c>
      <c r="F419" s="67" t="n">
        <v>339</v>
      </c>
      <c r="G419" s="250" t="inlineStr">
        <is>
          <t>Restaurant</t>
        </is>
      </c>
      <c r="H419" s="250" t="inlineStr">
        <is>
          <t>Cash</t>
        </is>
      </c>
      <c r="I419" s="251" t="inlineStr">
        <is>
          <t>✅ Paid</t>
        </is>
      </c>
      <c r="J419" s="383" t="inlineStr">
        <is>
          <t>Suma lineas=339; efectivo</t>
        </is>
      </c>
    </row>
    <row r="420">
      <c r="B420" s="382" t="n">
        <v>46207</v>
      </c>
      <c r="C420" s="252" t="inlineStr">
        <is>
          <t>Guayaba (1 primera)</t>
        </is>
      </c>
      <c r="D420" s="253" t="inlineStr">
        <is>
          <t>Guayabas Aviles Hernandez</t>
        </is>
      </c>
      <c r="E420" s="252" t="inlineStr">
        <is>
          <t>Ingredients - Fruit</t>
        </is>
      </c>
      <c r="F420" s="70" t="n">
        <v>150</v>
      </c>
      <c r="G420" s="254" t="inlineStr">
        <is>
          <t>Restaurant</t>
        </is>
      </c>
      <c r="H420" s="254" t="inlineStr">
        <is>
          <t>Cash</t>
        </is>
      </c>
      <c r="I420" s="255" t="inlineStr">
        <is>
          <t>✅ Paid</t>
        </is>
      </c>
      <c r="J420" s="383" t="inlineStr">
        <is>
          <t>Total ~$150; efectivo</t>
        </is>
      </c>
    </row>
    <row r="421">
      <c r="B421" s="382" t="n">
        <v>46207</v>
      </c>
      <c r="C421" s="248" t="inlineStr">
        <is>
          <t>Pepino</t>
        </is>
      </c>
      <c r="D421" s="249" t="inlineStr">
        <is>
          <t>Citricos Sanchez</t>
        </is>
      </c>
      <c r="E421" s="248" t="inlineStr">
        <is>
          <t>Ingredients - Vegetables</t>
        </is>
      </c>
      <c r="F421" s="67" t="n">
        <v>49</v>
      </c>
      <c r="G421" s="250" t="inlineStr">
        <is>
          <t>Restaurant</t>
        </is>
      </c>
      <c r="H421" s="250" t="inlineStr">
        <is>
          <t>Cash</t>
        </is>
      </c>
      <c r="I421" s="251" t="inlineStr">
        <is>
          <t>✅ Paid</t>
        </is>
      </c>
      <c r="J421" s="383" t="inlineStr">
        <is>
          <t>Folio 7244; total $49 (detalle de linea poco legible)</t>
        </is>
      </c>
    </row>
    <row r="422">
      <c r="B422" s="382" t="n">
        <v>46207</v>
      </c>
      <c r="C422" s="252" t="inlineStr">
        <is>
          <t>Cubiertos soperos desechables (tenedor/cuchara/cuchillo)</t>
        </is>
      </c>
      <c r="D422" s="253" t="inlineStr">
        <is>
          <t>Guimar Polietilenos</t>
        </is>
      </c>
      <c r="E422" s="252" t="inlineStr">
        <is>
          <t>Packaging/Disposables</t>
        </is>
      </c>
      <c r="F422" s="70" t="n">
        <v>139.8</v>
      </c>
      <c r="G422" s="254" t="inlineStr">
        <is>
          <t>Restaurant</t>
        </is>
      </c>
      <c r="H422" s="254" t="inlineStr">
        <is>
          <t>Card</t>
        </is>
      </c>
      <c r="I422" s="255" t="inlineStr">
        <is>
          <t>✅ Paid</t>
        </is>
      </c>
      <c r="J422" s="383" t="inlineStr">
        <is>
          <t>Folio AK90544; tarjeta de credito</t>
        </is>
      </c>
    </row>
    <row r="423">
      <c r="B423" s="382" t="n">
        <v>46207</v>
      </c>
      <c r="C423" s="248" t="inlineStr">
        <is>
          <t>Melon</t>
        </is>
      </c>
      <c r="D423" s="249" t="inlineStr">
        <is>
          <t>Frutas de Temporada Jose</t>
        </is>
      </c>
      <c r="E423" s="248" t="inlineStr">
        <is>
          <t>Ingredients - Fruit</t>
        </is>
      </c>
      <c r="F423" s="67" t="n">
        <v>30</v>
      </c>
      <c r="G423" s="250" t="inlineStr">
        <is>
          <t>Restaurant</t>
        </is>
      </c>
      <c r="H423" s="250" t="inlineStr">
        <is>
          <t>Cash</t>
        </is>
      </c>
      <c r="I423" s="251" t="inlineStr">
        <is>
          <t>✅ Paid</t>
        </is>
      </c>
      <c r="J423" s="383" t="inlineStr">
        <is>
          <t>Solo melon $30; sin total impreso</t>
        </is>
      </c>
    </row>
    <row r="424">
      <c r="B424" s="382" t="n">
        <v>46207</v>
      </c>
      <c r="C424" s="252" t="inlineStr">
        <is>
          <t>Morron surtido</t>
        </is>
      </c>
      <c r="D424" s="253" t="inlineStr">
        <is>
          <t>Verduras Selectas Oscar</t>
        </is>
      </c>
      <c r="E424" s="252" t="inlineStr">
        <is>
          <t>Ingredients - Vegetables</t>
        </is>
      </c>
      <c r="F424" s="70" t="n">
        <v>20</v>
      </c>
      <c r="G424" s="254" t="inlineStr">
        <is>
          <t>Restaurant</t>
        </is>
      </c>
      <c r="H424" s="254" t="inlineStr">
        <is>
          <t>Cash</t>
        </is>
      </c>
      <c r="I424" s="255" t="inlineStr">
        <is>
          <t>✅ Paid</t>
        </is>
      </c>
      <c r="J424" s="383" t="inlineStr">
        <is>
          <t>Morron $20; sin total impreso</t>
        </is>
      </c>
    </row>
    <row r="425">
      <c r="B425" s="382" t="n">
        <v>46207</v>
      </c>
      <c r="C425" s="248" t="inlineStr">
        <is>
          <t>Fresa 0.775kg @ $65/kg</t>
        </is>
      </c>
      <c r="D425" s="249" t="inlineStr">
        <is>
          <t>Nota manuscrita</t>
        </is>
      </c>
      <c r="E425" s="248" t="inlineStr">
        <is>
          <t>Ingredients - Fruit</t>
        </is>
      </c>
      <c r="F425" s="67" t="n">
        <v>50</v>
      </c>
      <c r="G425" s="250" t="inlineStr">
        <is>
          <t>Restaurant</t>
        </is>
      </c>
      <c r="H425" s="250" t="inlineStr">
        <is>
          <t>Cash</t>
        </is>
      </c>
      <c r="I425" s="251" t="inlineStr">
        <is>
          <t>✅ Paid</t>
        </is>
      </c>
      <c r="J425" s="383" t="inlineStr">
        <is>
          <t>.775x65=50; efectivo</t>
        </is>
      </c>
    </row>
    <row r="426">
      <c r="B426" s="382" t="n">
        <v>46207</v>
      </c>
      <c r="C426" s="252" t="inlineStr">
        <is>
          <t>Gelatinas, hot cakes, jarabe, verduras congeladas</t>
        </is>
      </c>
      <c r="D426" s="253" t="inlineStr">
        <is>
          <t>Basicos</t>
        </is>
      </c>
      <c r="E426" s="252" t="inlineStr">
        <is>
          <t>Supermarket/General</t>
        </is>
      </c>
      <c r="F426" s="70" t="n">
        <v>354.5</v>
      </c>
      <c r="G426" s="254" t="inlineStr">
        <is>
          <t>Restaurant</t>
        </is>
      </c>
      <c r="H426" s="254" t="inlineStr">
        <is>
          <t>Card</t>
        </is>
      </c>
      <c r="I426" s="255" t="inlineStr">
        <is>
          <t>✅ Paid</t>
        </is>
      </c>
      <c r="J426" s="383" t="inlineStr">
        <is>
          <t>Total $358 - desc $3.50 = $354.50; tarjeta</t>
        </is>
      </c>
    </row>
    <row r="427">
      <c r="B427" s="382" t="n">
        <v>46207</v>
      </c>
      <c r="C427" s="248" t="inlineStr">
        <is>
          <t>Melocoton 2.5kg + Platano</t>
        </is>
      </c>
      <c r="D427" s="249" t="inlineStr">
        <is>
          <t>Remision</t>
        </is>
      </c>
      <c r="E427" s="248" t="inlineStr">
        <is>
          <t>Ingredients - Fruit</t>
        </is>
      </c>
      <c r="F427" s="67" t="n">
        <v>68</v>
      </c>
      <c r="G427" s="250" t="inlineStr">
        <is>
          <t>Restaurant</t>
        </is>
      </c>
      <c r="H427" s="250" t="inlineStr">
        <is>
          <t>Cash</t>
        </is>
      </c>
      <c r="I427" s="251" t="inlineStr">
        <is>
          <t>✅ Paid</t>
        </is>
      </c>
      <c r="J427" s="383" t="inlineStr">
        <is>
          <t>Melocoton $50 + platano $18 = $68; efectivo</t>
        </is>
      </c>
    </row>
    <row r="428">
      <c r="B428" s="382" t="n">
        <v>46207</v>
      </c>
      <c r="C428" s="252" t="inlineStr">
        <is>
          <t>Papaya</t>
        </is>
      </c>
      <c r="D428" s="253" t="inlineStr">
        <is>
          <t>Remision</t>
        </is>
      </c>
      <c r="E428" s="252" t="inlineStr">
        <is>
          <t>Ingredients - Fruit</t>
        </is>
      </c>
      <c r="F428" s="70" t="n">
        <v>36</v>
      </c>
      <c r="G428" s="254" t="inlineStr">
        <is>
          <t>Restaurant</t>
        </is>
      </c>
      <c r="H428" s="254" t="inlineStr">
        <is>
          <t>Cash</t>
        </is>
      </c>
      <c r="I428" s="255" t="inlineStr">
        <is>
          <t>✅ Paid</t>
        </is>
      </c>
      <c r="J428" s="383" t="inlineStr">
        <is>
          <t>Papaya total $36; efectivo</t>
        </is>
      </c>
    </row>
    <row r="429">
      <c r="B429" s="382" t="n">
        <v>46207</v>
      </c>
      <c r="C429" s="248" t="inlineStr">
        <is>
          <t>Granola 400g + Tortillas blancas 4.435kg</t>
        </is>
      </c>
      <c r="D429" s="249" t="inlineStr">
        <is>
          <t>Chedraui Selecto</t>
        </is>
      </c>
      <c r="E429" s="248" t="inlineStr">
        <is>
          <t>Supermarket/General</t>
        </is>
      </c>
      <c r="F429" s="67" t="n">
        <v>108.43</v>
      </c>
      <c r="G429" s="250" t="inlineStr">
        <is>
          <t>Restaurant</t>
        </is>
      </c>
      <c r="H429" s="250" t="inlineStr">
        <is>
          <t>Card</t>
        </is>
      </c>
      <c r="I429" s="251" t="inlineStr">
        <is>
          <t>✅ Paid</t>
        </is>
      </c>
      <c r="J429" s="383" t="inlineStr">
        <is>
          <t>Granola $53 + tortillas $55.43; debito ***0311</t>
        </is>
      </c>
    </row>
    <row r="430">
      <c r="B430" s="382" t="n">
        <v>46207</v>
      </c>
      <c r="C430" s="252" t="inlineStr">
        <is>
          <t>Jitomate 8.3kg + Aguacate Hass</t>
        </is>
      </c>
      <c r="D430" s="253" t="inlineStr">
        <is>
          <t>Frutas Finas Ana Pao</t>
        </is>
      </c>
      <c r="E430" s="252" t="inlineStr">
        <is>
          <t>Ingredients - Vegetables</t>
        </is>
      </c>
      <c r="F430" s="70" t="n">
        <v>126</v>
      </c>
      <c r="G430" s="254" t="inlineStr">
        <is>
          <t>Restaurant</t>
        </is>
      </c>
      <c r="H430" s="254" t="inlineStr">
        <is>
          <t>Cash</t>
        </is>
      </c>
      <c r="I430" s="255" t="inlineStr">
        <is>
          <t>✅ Paid</t>
        </is>
      </c>
      <c r="J430" s="383" t="inlineStr">
        <is>
          <t>Jitomate $100 + hass $26 = $126; sin total impreso</t>
        </is>
      </c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15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3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6" t="inlineStr">
        <is>
          <t>Jul 2026</t>
        </is>
      </c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8">
        <f>SUMIFS('📅 Daily Log'!$F$8:$F$500,'📅 Daily Log'!$B$8:$B$500,"&gt;="&amp;DATE(2026,7,1),'📅 Daily Log'!$B$8:$B$500,"&lt;"&amp;DATE(2026,8,1))</f>
        <v/>
      </c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8">
        <f>SUMIFS('💸 Expenses'!$F$8:$F$500,'💸 Expenses'!$B$8:$B$500,"&gt;="&amp;DATE(2026,7,1),'💸 Expenses'!$B$8:$B$500,"&lt;"&amp;DATE(2026,8,1))</f>
        <v/>
      </c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9">
        <f>D4-D5</f>
        <v/>
      </c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81">
        <f>COUNTIFS('📅 Daily Log'!$F$8:$F$500,"&gt;0",'📅 Daily Log'!$B$8:$B$500,"&gt;="&amp;DATE(2026,7,1),'📅 Daily Log'!$B$8:$B$500,"&lt;"&amp;DATE(2026,8,1))</f>
        <v/>
      </c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8">
        <f>IFERROR(D4/D7,0)</f>
        <v/>
      </c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6" t="inlineStr">
        <is>
          <t>Jul 2026</t>
        </is>
      </c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8">
        <f>SUMIFS('📅 Daily Log'!$D$8:$D$500,'📅 Daily Log'!$B$8:$B$500,"&gt;="&amp;DATE(2026,7,1),'📅 Daily Log'!$B$8:$B$500,"&lt;"&amp;DATE(2026,8,1))</f>
        <v/>
      </c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8">
        <f>SUMIFS('📅 Daily Log'!$E$8:$E$500,'📅 Daily Log'!$B$8:$B$500,"&gt;="&amp;DATE(2026,7,1),'📅 Daily Log'!$B$8:$B$500,"&lt;"&amp;DATE(2026,8,1))</f>
        <v/>
      </c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8">
        <f>SUMIFS('📅 Daily Log'!$G$8:$G$500,'📅 Daily Log'!$B$8:$B$500,"&gt;="&amp;DATE(2026,7,1),'📅 Daily Log'!$B$8:$B$500,"&lt;"&amp;DATE(2026,8,1))</f>
        <v/>
      </c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9">
        <f>D11+D12+D13</f>
        <v/>
      </c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6" t="inlineStr">
        <is>
          <t>Jul 2026</t>
        </is>
      </c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8">
        <f>SUMIFS('💸 Expenses'!$F$8:$F$500,'💸 Expenses'!$E$8:$E$500,$A17,'💸 Expenses'!$B$8:$B$500,"&gt;="&amp;DATE(2026,7,1),'💸 Expenses'!$B$8:$B$500,"&lt;"&amp;DATE(2026,8,1))</f>
        <v/>
      </c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8">
        <f>SUMIFS('💸 Expenses'!$F$8:$F$500,'💸 Expenses'!$E$8:$E$500,$A18,'💸 Expenses'!$B$8:$B$500,"&gt;="&amp;DATE(2026,7,1),'💸 Expenses'!$B$8:$B$500,"&lt;"&amp;DATE(2026,8,1))</f>
        <v/>
      </c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8">
        <f>SUMIFS('💸 Expenses'!$F$8:$F$500,'💸 Expenses'!$E$8:$E$500,$A19,'💸 Expenses'!$B$8:$B$500,"&gt;="&amp;DATE(2026,7,1),'💸 Expenses'!$B$8:$B$500,"&lt;"&amp;DATE(2026,8,1))</f>
        <v/>
      </c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8">
        <f>SUMIFS('💸 Expenses'!$F$8:$F$500,'💸 Expenses'!$E$8:$E$500,$A20,'💸 Expenses'!$B$8:$B$500,"&gt;="&amp;DATE(2026,7,1),'💸 Expenses'!$B$8:$B$500,"&lt;"&amp;DATE(2026,8,1))</f>
        <v/>
      </c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8">
        <f>SUMIFS('💸 Expenses'!$F$8:$F$500,'💸 Expenses'!$E$8:$E$500,$A21,'💸 Expenses'!$B$8:$B$500,"&gt;="&amp;DATE(2026,7,1),'💸 Expenses'!$B$8:$B$500,"&lt;"&amp;DATE(2026,8,1))</f>
        <v/>
      </c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8">
        <f>SUMIFS('💸 Expenses'!$F$8:$F$500,'💸 Expenses'!$E$8:$E$500,$A22,'💸 Expenses'!$B$8:$B$500,"&gt;="&amp;DATE(2026,7,1),'💸 Expenses'!$B$8:$B$500,"&lt;"&amp;DATE(2026,8,1))</f>
        <v/>
      </c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8">
        <f>SUMIFS('💸 Expenses'!$F$8:$F$500,'💸 Expenses'!$E$8:$E$500,$A23,'💸 Expenses'!$B$8:$B$500,"&gt;="&amp;DATE(2026,7,1),'💸 Expenses'!$B$8:$B$500,"&lt;"&amp;DATE(2026,8,1))</f>
        <v/>
      </c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8">
        <f>SUMIFS('💸 Expenses'!$F$8:$F$500,'💸 Expenses'!$E$8:$E$500,$A24,'💸 Expenses'!$B$8:$B$500,"&gt;="&amp;DATE(2026,7,1),'💸 Expenses'!$B$8:$B$500,"&lt;"&amp;DATE(2026,8,1))</f>
        <v/>
      </c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8">
        <f>SUMIFS('💸 Expenses'!$F$8:$F$500,'💸 Expenses'!$E$8:$E$500,$A25,'💸 Expenses'!$B$8:$B$500,"&gt;="&amp;DATE(2026,7,1),'💸 Expenses'!$B$8:$B$500,"&lt;"&amp;DATE(2026,8,1))</f>
        <v/>
      </c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Ingredients - Bread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8">
        <f>SUMIFS('💸 Expenses'!$F$8:$F$500,'💸 Expenses'!$E$8:$E$500,$A26,'💸 Expenses'!$B$8:$B$500,"&gt;="&amp;DATE(2026,7,1),'💸 Expenses'!$B$8:$B$500,"&lt;"&amp;DATE(2026,8,1))</f>
        <v/>
      </c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Maintenance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8">
        <f>SUMIFS('💸 Expenses'!$F$8:$F$500,'💸 Expenses'!$E$8:$E$500,$A27,'💸 Expenses'!$B$8:$B$500,"&gt;="&amp;DATE(2026,7,1),'💸 Expenses'!$B$8:$B$500,"&lt;"&amp;DATE(2026,8,1))</f>
        <v/>
      </c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8">
        <f>SUMIFS('💸 Expenses'!$F$8:$F$500,'💸 Expenses'!$E$8:$E$500,$A28,'💸 Expenses'!$B$8:$B$500,"&gt;="&amp;DATE(2026,7,1),'💸 Expenses'!$B$8:$B$500,"&lt;"&amp;DATE(2026,8,1))</f>
        <v/>
      </c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8">
        <f>SUMIFS('💸 Expenses'!$F$8:$F$500,'💸 Expenses'!$E$8:$E$500,$A29,'💸 Expenses'!$B$8:$B$500,"&gt;="&amp;DATE(2026,7,1),'💸 Expenses'!$B$8:$B$500,"&lt;"&amp;DATE(2026,8,1))</f>
        <v/>
      </c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8">
        <f>SUMIFS('💸 Expenses'!$F$8:$F$500,'💸 Expenses'!$E$8:$E$500,$A30,'💸 Expenses'!$B$8:$B$500,"&gt;="&amp;DATE(2026,7,1),'💸 Expenses'!$B$8:$B$500,"&lt;"&amp;DATE(2026,8,1))</f>
        <v/>
      </c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Ingredients - Other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8">
        <f>SUMIFS('💸 Expenses'!$F$8:$F$500,'💸 Expenses'!$E$8:$E$500,$A31,'💸 Expenses'!$B$8:$B$500,"&gt;="&amp;DATE(2026,7,1),'💸 Expenses'!$B$8:$B$500,"&lt;"&amp;DATE(2026,8,1))</f>
        <v/>
      </c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Supermarket/General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8">
        <f>SUMIFS('💸 Expenses'!$F$8:$F$500,'💸 Expenses'!$E$8:$E$500,$A32,'💸 Expenses'!$B$8:$B$500,"&gt;="&amp;DATE(2026,7,1),'💸 Expenses'!$B$8:$B$500,"&lt;"&amp;DATE(2026,8,1))</f>
        <v/>
      </c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Software / Subscription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8">
        <f>SUMIFS('💸 Expenses'!$F$8:$F$500,'💸 Expenses'!$E$8:$E$500,$A33,'💸 Expenses'!$B$8:$B$500,"&gt;="&amp;DATE(2026,7,1),'💸 Expenses'!$B$8:$B$500,"&lt;"&amp;DATE(2026,8,1))</f>
        <v/>
      </c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8">
        <f>SUMIFS('💸 Expenses'!$F$8:$F$500,'💸 Expenses'!$E$8:$E$500,$A34,'💸 Expenses'!$B$8:$B$500,"&gt;="&amp;DATE(2026,7,1),'💸 Expenses'!$B$8:$B$500,"&lt;"&amp;DATE(2026,8,1))</f>
        <v/>
      </c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Staff - Advance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8">
        <f>SUMIFS('💸 Expenses'!$F$8:$F$500,'💸 Expenses'!$E$8:$E$500,$A35,'💸 Expenses'!$B$8:$B$500,"&gt;="&amp;DATE(2026,7,1),'💸 Expenses'!$B$8:$B$500,"&lt;"&amp;DATE(2026,8,1))</f>
        <v/>
      </c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Utilities / Internet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8">
        <f>SUMIFS('💸 Expenses'!$F$8:$F$500,'💸 Expenses'!$E$8:$E$500,$A36,'💸 Expenses'!$B$8:$B$500,"&gt;="&amp;DATE(2026,7,1),'💸 Expenses'!$B$8:$B$500,"&lt;"&amp;DATE(2026,8,1))</f>
        <v/>
      </c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Packaging / Disposables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8">
        <f>SUMIFS('💸 Expenses'!$F$8:$F$500,'💸 Expenses'!$E$8:$E$500,$A37,'💸 Expenses'!$B$8:$B$500,"&gt;="&amp;DATE(2026,7,1),'💸 Expenses'!$B$8:$B$500,"&lt;"&amp;DATE(2026,8,1))</f>
        <v/>
      </c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Desserts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8">
        <f>SUMIFS('💸 Expenses'!$F$8:$F$500,'💸 Expenses'!$E$8:$E$500,$A38,'💸 Expenses'!$B$8:$B$500,"&gt;="&amp;DATE(2026,7,1),'💸 Expenses'!$B$8:$B$500,"&lt;"&amp;DATE(2026,8,1))</f>
        <v/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Ingredients - Eggs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8">
        <f>SUMIFS('💸 Expenses'!$F$8:$F$500,'💸 Expenses'!$E$8:$E$500,$A39,'💸 Expenses'!$B$8:$B$500,"&gt;="&amp;DATE(2026,7,1),'💸 Expenses'!$B$8:$B$500,"&lt;"&amp;DATE(2026,8,1))</f>
        <v/>
      </c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Packaging/Disposables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8">
        <f>SUMIFS('💸 Expenses'!$F$8:$F$500,'💸 Expenses'!$E$8:$E$500,$A40,'💸 Expenses'!$B$8:$B$500,"&gt;="&amp;DATE(2026,7,1),'💸 Expenses'!$B$8:$B$500,"&lt;"&amp;DATE(2026,8,1))</f>
        <v/>
      </c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Staff - Propinas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8">
        <f>SUMIFS('💸 Expenses'!$F$8:$F$500,'💸 Expenses'!$E$8:$E$500,$A41,'💸 Expenses'!$B$8:$B$500,"&gt;="&amp;DATE(2026,7,1),'💸 Expenses'!$B$8:$B$500,"&lt;"&amp;DATE(2026,8,1))</f>
        <v/>
      </c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80" t="inlineStr">
        <is>
          <t>Office Supplies</t>
        </is>
      </c>
      <c r="B42" s="378">
        <f>SUMIFS('💸 Expenses'!$F$8:$F$500,'💸 Expenses'!$E$8:$E$500,$A42,'💸 Expenses'!$B$8:$B$500,"&gt;="&amp;DATE(2026,5,1),'💸 Expenses'!$B$8:$B$500,"&lt;"&amp;DATE(2026,6,1))</f>
        <v/>
      </c>
      <c r="C42" s="378">
        <f>SUMIFS('💸 Expenses'!$F$8:$F$500,'💸 Expenses'!$E$8:$E$500,$A42,'💸 Expenses'!$B$8:$B$500,"&gt;="&amp;DATE(2026,6,1),'💸 Expenses'!$B$8:$B$500,"&lt;"&amp;DATE(2026,7,1))</f>
        <v/>
      </c>
      <c r="D42" s="378">
        <f>SUMIFS('💸 Expenses'!$F$8:$F$500,'💸 Expenses'!$E$8:$E$500,$A42,'💸 Expenses'!$B$8:$B$500,"&gt;="&amp;DATE(2026,7,1),'💸 Expenses'!$B$8:$B$500,"&lt;"&amp;DATE(2026,8,1))</f>
        <v/>
      </c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80" t="inlineStr">
        <is>
          <t>Ingredients - Produce</t>
        </is>
      </c>
      <c r="B43" s="378">
        <f>SUMIFS('💸 Expenses'!$F$8:$F$500,'💸 Expenses'!$E$8:$E$500,$A43,'💸 Expenses'!$B$8:$B$500,"&gt;="&amp;DATE(2026,5,1),'💸 Expenses'!$B$8:$B$500,"&lt;"&amp;DATE(2026,6,1))</f>
        <v/>
      </c>
      <c r="C43" s="378">
        <f>SUMIFS('💸 Expenses'!$F$8:$F$500,'💸 Expenses'!$E$8:$E$500,$A43,'💸 Expenses'!$B$8:$B$500,"&gt;="&amp;DATE(2026,6,1),'💸 Expenses'!$B$8:$B$500,"&lt;"&amp;DATE(2026,7,1))</f>
        <v/>
      </c>
      <c r="D43" s="378">
        <f>SUMIFS('💸 Expenses'!$F$8:$F$500,'💸 Expenses'!$E$8:$E$500,$A43,'💸 Expenses'!$B$8:$B$500,"&gt;="&amp;DATE(2026,7,1),'💸 Expenses'!$B$8:$B$500,"&lt;"&amp;DATE(2026,8,1))</f>
        <v/>
      </c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7" t="inlineStr">
        <is>
          <t>TOTAL EXPENSES</t>
        </is>
      </c>
      <c r="B44" s="379">
        <f>SUMIFS('💸 Expenses'!$F$8:$F$500,'💸 Expenses'!$B$8:$B$500,"&gt;="&amp;DATE(2026,5,1),'💸 Expenses'!$B$8:$B$500,"&lt;"&amp;DATE(2026,6,1))</f>
        <v/>
      </c>
      <c r="C44" s="379">
        <f>SUMIFS('💸 Expenses'!$F$8:$F$500,'💸 Expenses'!$B$8:$B$500,"&gt;="&amp;DATE(2026,6,1),'💸 Expenses'!$B$8:$B$500,"&lt;"&amp;DATE(2026,7,1))</f>
        <v/>
      </c>
      <c r="D44" s="379">
        <f>SUMIFS('💸 Expenses'!$F$8:$F$500,'💸 Expenses'!$B$8:$B$500,"&gt;="&amp;DATE(2026,7,1),'💸 Expenses'!$B$8:$B$500,"&lt;"&amp;DATE(2026,8,1))</f>
        <v/>
      </c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7" t="inlineStr">
        <is>
          <t>NET PROFIT / LOSS</t>
        </is>
      </c>
      <c r="B45" s="379">
        <f>B4-B44</f>
        <v/>
      </c>
      <c r="C45" s="379">
        <f>C4-C44</f>
        <v/>
      </c>
      <c r="D45" s="379">
        <f>D4-D44</f>
        <v/>
      </c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397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397" t="inlineStr">
        <is>
          <t>TOTALS &amp; CURRENT BALANCE</t>
        </is>
      </c>
      <c r="B31" s="232" t="n"/>
      <c r="C31" s="232" t="n"/>
      <c r="D31" s="232">
        <f>SUM(D4:D30)</f>
        <v/>
      </c>
      <c r="E31" s="233">
        <f>SUM(E4:E30)</f>
        <v/>
      </c>
      <c r="F31" s="233">
        <f>F30</f>
        <v/>
      </c>
      <c r="G31" s="232">
        <f>IF(F30&gt;0,"Restaurant owes Lohith $"&amp;TEXT(F30,"#,##0"),IF(F30&lt;0,"Lohith holds $"&amp;TEXT(ABS(F30),"#,##0"),"Zero balance"))</f>
        <v/>
      </c>
      <c r="H3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2026-07-05T17:05:21Z</dcterms:modified>
  <cp:lastModifiedBy>LOHITH REDDY</cp:lastModifiedBy>
</cp:coreProperties>
</file>