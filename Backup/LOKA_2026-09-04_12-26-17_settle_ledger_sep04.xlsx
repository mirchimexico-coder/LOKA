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10740.0</v>
      </c>
      <c r="G6" s="31">
        <f>SUMIFS($G$8:$G$5000,$B$8:$B$5000,TODAY())</f>
        <v>0.0</v>
      </c>
      <c r="H6" s="28">
        <f>SUMIFS($H$8:$H$5000,$B$8:$B$5000,TODAY())</f>
        <v>5505.0</v>
      </c>
      <c r="I6" s="32">
        <f>F6-H6</f>
        <v>5235.0</v>
      </c>
      <c r="J6">
        <f>IFERROR(I6/F6,0)</f>
        <v>0.48743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21765.0</v>
      </c>
      <c r="N6" s="33">
        <f>SUMPRODUCT((ISNUMBER($B$8:$B$5000))*($B$8:$B$5000&gt;=TODAY()-MOD(TODAY()-2,7))*($B$8:$B$5000&lt;TODAY()-MOD(TODAY()-2,7)+7)*IF(ISNUMBER($F$8:$F$5000),$F$8:$F$5000,0))</f>
        <v>21765.0</v>
      </c>
      <c r="O6" s="33">
        <f>SUMPRODUCT((ISNUMBER($B$8:$B$5000))*(MONTH($B$8:$B$5000)=MONTH(TODAY()))*(YEAR($B$8:$B$5000)=YEAR(TODAY()))*IF(ISNUMBER($F$8:$F$5000),$F$8:$F$5000,0))</f>
        <v>18010.0</v>
      </c>
      <c r="P6">
        <f>SUMPRODUCT((ISNUMBER($B$8:$B$5000))*($B$8:$B$5000&gt;=TODAY()-MOD(TODAY()-2,7))*($B$8:$B$5000&lt;TODAY()-MOD(TODAY()-2,7)+7)*IF(ISNUMBER($H$8:$H$5000),$H$8:$H$5000,0))</f>
        <v>15408.0</v>
      </c>
      <c r="Q6">
        <f>M6-P6</f>
        <v>6357.0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2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2026-09-04T13:48:17Z</dcterms:modified>
  <cp:lastModifiedBy>LOHITH REDDY</cp:lastModifiedBy>
</cp:coreProperties>
</file>