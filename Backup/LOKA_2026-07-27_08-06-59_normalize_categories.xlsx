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>6613.0</v>
      </c>
      <c r="I6" s="32">
        <f>F6-H6</f>
        <v>-5388.0</v>
      </c>
      <c r="J6">
        <f>IFERROR(I6/F6,0)</f>
        <v>-4.398367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/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/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/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45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Log'!$F$8:$F$5000,'📅 Daily Log'!$B$8:$B$5000,"&gt;="&amp;DATE(2026,5,1),'📅 Daily Log'!$B$8:$B$5000,"&lt;"&amp;DATE(2026,6,1))</f>
        <v/>
      </c>
      <c r="C4" s="413">
        <f>SUMIFS('📅 Daily Log'!$F$8:$F$5000,'📅 Daily Log'!$B$8:$B$5000,"&gt;="&amp;DATE(2026,6,1),'📅 Daily Log'!$B$8:$B$5000,"&lt;"&amp;DATE(2026,7,1))</f>
        <v/>
      </c>
      <c r="D4" s="413">
        <f>SUMIFS('📅 Daily Log'!$F$8:$F$5000,'📅 Daily Log'!$B$8:$B$5000,"&gt;="&amp;DATE(2026,7,1),'📅 Daily Log'!$B$8:$B$5000,"&lt;"&amp;DATE(2026,8,1))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Expenses'!$F$8:$F$5000,'💸 Expenses'!$B$8:$B$5000,"&gt;="&amp;DATE(2026,5,1),'💸 Expenses'!$B$8:$B$5000,"&lt;"&amp;DATE(2026,6,1))</f>
        <v/>
      </c>
      <c r="C5" s="413">
        <f>SUMIFS('💸 Expenses'!$F$8:$F$5000,'💸 Expenses'!$B$8:$B$5000,"&gt;="&amp;DATE(2026,6,1),'💸 Expenses'!$B$8:$B$5000,"&lt;"&amp;DATE(2026,7,1))</f>
        <v/>
      </c>
      <c r="D5" s="413">
        <f>SUMIFS('💸 Expenses'!$F$8:$F$5000,'💸 Expenses'!$B$8:$B$5000,"&gt;="&amp;DATE(2026,7,1),'💸 Expenses'!$B$8:$B$5000,"&lt;"&amp;DATE(2026,8,1))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Log'!$F$8:$F$5000,"&gt;0",'📅 Daily Log'!$B$8:$B$5000,"&gt;="&amp;DATE(2026,5,1),'📅 Daily Log'!$B$8:$B$5000,"&lt;"&amp;DATE(2026,6,1))</f>
        <v/>
      </c>
      <c r="C7" s="416">
        <f>COUNTIFS('📅 Daily Log'!$F$8:$F$5000,"&gt;0",'📅 Daily Log'!$B$8:$B$5000,"&gt;="&amp;DATE(2026,6,1),'📅 Daily Log'!$B$8:$B$5000,"&lt;"&amp;DATE(2026,7,1))</f>
        <v/>
      </c>
      <c r="D7" s="416">
        <f>COUNTIFS('📅 Daily Log'!$F$8:$F$5000,"&gt;0",'📅 Daily Log'!$B$8:$B$5000,"&gt;="&amp;DATE(2026,7,1),'📅 Daily Log'!$B$8:$B$5000,"&lt;"&amp;DATE(2026,8,1))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Log'!$D$8:$D$5000,'📅 Daily Log'!$B$8:$B$5000,"&gt;="&amp;DATE(2026,5,1),'📅 Daily Log'!$B$8:$B$5000,"&lt;"&amp;DATE(2026,6,1))</f>
        <v/>
      </c>
      <c r="C11" s="413">
        <f>SUMIFS('📅 Daily Log'!$D$8:$D$5000,'📅 Daily Log'!$B$8:$B$5000,"&gt;="&amp;DATE(2026,6,1),'📅 Daily Log'!$B$8:$B$5000,"&lt;"&amp;DATE(2026,7,1))</f>
        <v/>
      </c>
      <c r="D11" s="413">
        <f>SUMIFS('📅 Daily Log'!$D$8:$D$5000,'📅 Daily Log'!$B$8:$B$5000,"&gt;="&amp;DATE(2026,7,1),'📅 Daily Log'!$B$8:$B$5000,"&lt;"&amp;DATE(2026,8,1))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Log'!$E$8:$E$5000,'📅 Daily Log'!$B$8:$B$5000,"&gt;="&amp;DATE(2026,5,1),'📅 Daily Log'!$B$8:$B$5000,"&lt;"&amp;DATE(2026,6,1))</f>
        <v/>
      </c>
      <c r="C12" s="413">
        <f>SUMIFS('📅 Daily Log'!$E$8:$E$5000,'📅 Daily Log'!$B$8:$B$5000,"&gt;="&amp;DATE(2026,6,1),'📅 Daily Log'!$B$8:$B$5000,"&lt;"&amp;DATE(2026,7,1))</f>
        <v/>
      </c>
      <c r="D12" s="413">
        <f>SUMIFS('📅 Daily Log'!$E$8:$E$5000,'📅 Daily Log'!$B$8:$B$5000,"&gt;="&amp;DATE(2026,7,1),'📅 Daily Log'!$B$8:$B$5000,"&lt;"&amp;DATE(2026,8,1))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Log'!$G$8:$G$5000,'📅 Daily Log'!$B$8:$B$5000,"&gt;="&amp;DATE(2026,5,1),'📅 Daily Log'!$B$8:$B$5000,"&lt;"&amp;DATE(2026,6,1))</f>
        <v/>
      </c>
      <c r="C13" s="413">
        <f>SUMIFS('📅 Daily Log'!$G$8:$G$5000,'📅 Daily Log'!$B$8:$B$5000,"&gt;="&amp;DATE(2026,6,1),'📅 Daily Log'!$B$8:$B$5000,"&lt;"&amp;DATE(2026,7,1))</f>
        <v/>
      </c>
      <c r="D13" s="413">
        <f>SUMIFS('📅 Daily Log'!$G$8:$G$5000,'📅 Daily Log'!$B$8:$B$5000,"&gt;="&amp;DATE(2026,7,1),'📅 Daily Log'!$B$8:$B$5000,"&lt;"&amp;DATE(2026,8,1))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Expenses'!$F$8:$F$5000,'💸 Expenses'!$E$8:$E$5000,$A17,'💸 Expenses'!$B$8:$B$5000,"&gt;="&amp;DATE(2026,5,1),'💸 Expenses'!$B$8:$B$5000,"&lt;"&amp;DATE(2026,6,1))</f>
        <v/>
      </c>
      <c r="C17" s="413">
        <f>SUMIFS('💸 Expenses'!$F$8:$F$5000,'💸 Expenses'!$E$8:$E$5000,$A17,'💸 Expenses'!$B$8:$B$5000,"&gt;="&amp;DATE(2026,6,1),'💸 Expenses'!$B$8:$B$5000,"&lt;"&amp;DATE(2026,7,1))</f>
        <v/>
      </c>
      <c r="D17" s="413">
        <f>SUMIFS('💸 Expenses'!$F$8:$F$5000,'💸 Expenses'!$E$8:$E$5000,$A17,'💸 Expenses'!$B$8:$B$5000,"&gt;="&amp;DATE(2026,7,1),'💸 Expenses'!$B$8:$B$5000,"&lt;"&amp;DATE(2026,8,1))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Expenses'!$F$8:$F$5000,'💸 Expenses'!$E$8:$E$5000,$A18,'💸 Expenses'!$B$8:$B$5000,"&gt;="&amp;DATE(2026,5,1),'💸 Expenses'!$B$8:$B$5000,"&lt;"&amp;DATE(2026,6,1))</f>
        <v/>
      </c>
      <c r="C18" s="413">
        <f>SUMIFS('💸 Expenses'!$F$8:$F$5000,'💸 Expenses'!$E$8:$E$5000,$A18,'💸 Expenses'!$B$8:$B$5000,"&gt;="&amp;DATE(2026,6,1),'💸 Expenses'!$B$8:$B$5000,"&lt;"&amp;DATE(2026,7,1))</f>
        <v/>
      </c>
      <c r="D18" s="413">
        <f>SUMIFS('💸 Expenses'!$F$8:$F$5000,'💸 Expenses'!$E$8:$E$5000,$A18,'💸 Expenses'!$B$8:$B$5000,"&gt;="&amp;DATE(2026,7,1),'💸 Expenses'!$B$8:$B$5000,"&lt;"&amp;DATE(2026,8,1))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Expenses'!$F$8:$F$5000,'💸 Expenses'!$E$8:$E$5000,$A19,'💸 Expenses'!$B$8:$B$5000,"&gt;="&amp;DATE(2026,5,1),'💸 Expenses'!$B$8:$B$5000,"&lt;"&amp;DATE(2026,6,1))</f>
        <v/>
      </c>
      <c r="C19" s="413">
        <f>SUMIFS('💸 Expenses'!$F$8:$F$5000,'💸 Expenses'!$E$8:$E$5000,$A19,'💸 Expenses'!$B$8:$B$5000,"&gt;="&amp;DATE(2026,6,1),'💸 Expenses'!$B$8:$B$5000,"&lt;"&amp;DATE(2026,7,1))</f>
        <v/>
      </c>
      <c r="D19" s="413">
        <f>SUMIFS('💸 Expenses'!$F$8:$F$5000,'💸 Expenses'!$E$8:$E$5000,$A19,'💸 Expenses'!$B$8:$B$5000,"&gt;="&amp;DATE(2026,7,1),'💸 Expenses'!$B$8:$B$5000,"&lt;"&amp;DATE(2026,8,1))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Expenses'!$F$8:$F$5000,'💸 Expenses'!$E$8:$E$5000,$A20,'💸 Expenses'!$B$8:$B$5000,"&gt;="&amp;DATE(2026,5,1),'💸 Expenses'!$B$8:$B$5000,"&lt;"&amp;DATE(2026,6,1))</f>
        <v/>
      </c>
      <c r="C20" s="413">
        <f>SUMIFS('💸 Expenses'!$F$8:$F$5000,'💸 Expenses'!$E$8:$E$5000,$A20,'💸 Expenses'!$B$8:$B$5000,"&gt;="&amp;DATE(2026,6,1),'💸 Expenses'!$B$8:$B$5000,"&lt;"&amp;DATE(2026,7,1))</f>
        <v/>
      </c>
      <c r="D20" s="413">
        <f>SUMIFS('💸 Expenses'!$F$8:$F$5000,'💸 Expenses'!$E$8:$E$5000,$A20,'💸 Expenses'!$B$8:$B$5000,"&gt;="&amp;DATE(2026,7,1),'💸 Expenses'!$B$8:$B$5000,"&lt;"&amp;DATE(2026,8,1))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Supermarket/General</t>
        </is>
      </c>
      <c r="B21" s="413">
        <f>SUMIFS('💸 Expenses'!$F$8:$F$5000,'💸 Expenses'!$E$8:$E$5000,$A21,'💸 Expenses'!$B$8:$B$5000,"&gt;="&amp;DATE(2026,5,1),'💸 Expenses'!$B$8:$B$5000,"&lt;"&amp;DATE(2026,6,1))</f>
        <v/>
      </c>
      <c r="C21" s="413">
        <f>SUMIFS('💸 Expenses'!$F$8:$F$5000,'💸 Expenses'!$E$8:$E$5000,$A21,'💸 Expenses'!$B$8:$B$5000,"&gt;="&amp;DATE(2026,6,1),'💸 Expenses'!$B$8:$B$5000,"&lt;"&amp;DATE(2026,7,1))</f>
        <v/>
      </c>
      <c r="D21" s="413">
        <f>SUMIFS('💸 Expenses'!$F$8:$F$5000,'💸 Expenses'!$E$8:$E$5000,$A21,'💸 Expenses'!$B$8:$B$5000,"&gt;="&amp;DATE(2026,7,1),'💸 Expenses'!$B$8:$B$5000,"&lt;"&amp;DATE(2026,8,1))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Expenses'!$F$8:$F$5000,'💸 Expenses'!$E$8:$E$5000,$A22,'💸 Expenses'!$B$8:$B$5000,"&gt;="&amp;DATE(2026,5,1),'💸 Expenses'!$B$8:$B$5000,"&lt;"&amp;DATE(2026,6,1))</f>
        <v/>
      </c>
      <c r="C22" s="413">
        <f>SUMIFS('💸 Expenses'!$F$8:$F$5000,'💸 Expenses'!$E$8:$E$5000,$A22,'💸 Expenses'!$B$8:$B$5000,"&gt;="&amp;DATE(2026,6,1),'💸 Expenses'!$B$8:$B$5000,"&lt;"&amp;DATE(2026,7,1))</f>
        <v/>
      </c>
      <c r="D22" s="413">
        <f>SUMIFS('💸 Expenses'!$F$8:$F$5000,'💸 Expenses'!$E$8:$E$5000,$A22,'💸 Expenses'!$B$8:$B$5000,"&gt;="&amp;DATE(2026,7,1),'💸 Expenses'!$B$8:$B$5000,"&lt;"&amp;DATE(2026,8,1))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Expenses'!$F$8:$F$5000,'💸 Expenses'!$E$8:$E$5000,$A23,'💸 Expenses'!$B$8:$B$5000,"&gt;="&amp;DATE(2026,5,1),'💸 Expenses'!$B$8:$B$5000,"&lt;"&amp;DATE(2026,6,1))</f>
        <v/>
      </c>
      <c r="C23" s="413">
        <f>SUMIFS('💸 Expenses'!$F$8:$F$5000,'💸 Expenses'!$E$8:$E$5000,$A23,'💸 Expenses'!$B$8:$B$5000,"&gt;="&amp;DATE(2026,6,1),'💸 Expenses'!$B$8:$B$5000,"&lt;"&amp;DATE(2026,7,1))</f>
        <v/>
      </c>
      <c r="D23" s="413">
        <f>SUMIFS('💸 Expenses'!$F$8:$F$5000,'💸 Expenses'!$E$8:$E$5000,$A23,'💸 Expenses'!$B$8:$B$5000,"&gt;="&amp;DATE(2026,7,1),'💸 Expenses'!$B$8:$B$5000,"&lt;"&amp;DATE(2026,8,1))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Expenses'!$F$8:$F$5000,'💸 Expenses'!$E$8:$E$5000,$A24,'💸 Expenses'!$B$8:$B$5000,"&gt;="&amp;DATE(2026,5,1),'💸 Expenses'!$B$8:$B$5000,"&lt;"&amp;DATE(2026,6,1))</f>
        <v/>
      </c>
      <c r="C24" s="413">
        <f>SUMIFS('💸 Expenses'!$F$8:$F$5000,'💸 Expenses'!$E$8:$E$5000,$A24,'💸 Expenses'!$B$8:$B$5000,"&gt;="&amp;DATE(2026,6,1),'💸 Expenses'!$B$8:$B$5000,"&lt;"&amp;DATE(2026,7,1))</f>
        <v/>
      </c>
      <c r="D24" s="413">
        <f>SUMIFS('💸 Expenses'!$F$8:$F$5000,'💸 Expenses'!$E$8:$E$5000,$A24,'💸 Expenses'!$B$8:$B$5000,"&gt;="&amp;DATE(2026,7,1),'💸 Expenses'!$B$8:$B$5000,"&lt;"&amp;DATE(2026,8,1))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Expenses'!$F$8:$F$5000,'💸 Expenses'!$E$8:$E$5000,$A25,'💸 Expenses'!$B$8:$B$5000,"&gt;="&amp;DATE(2026,5,1),'💸 Expenses'!$B$8:$B$5000,"&lt;"&amp;DATE(2026,6,1))</f>
        <v/>
      </c>
      <c r="C25" s="413">
        <f>SUMIFS('💸 Expenses'!$F$8:$F$5000,'💸 Expenses'!$E$8:$E$5000,$A25,'💸 Expenses'!$B$8:$B$5000,"&gt;="&amp;DATE(2026,6,1),'💸 Expenses'!$B$8:$B$5000,"&lt;"&amp;DATE(2026,7,1))</f>
        <v/>
      </c>
      <c r="D25" s="413">
        <f>SUMIFS('💸 Expenses'!$F$8:$F$5000,'💸 Expenses'!$E$8:$E$5000,$A25,'💸 Expenses'!$B$8:$B$5000,"&gt;="&amp;DATE(2026,7,1),'💸 Expenses'!$B$8:$B$5000,"&lt;"&amp;DATE(2026,8,1))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 / Other</t>
        </is>
      </c>
      <c r="B26" s="413">
        <f>SUMIFS('💸 Expenses'!$F$8:$F$5000,'💸 Expenses'!$E$8:$E$5000,$A26,'💸 Expenses'!$B$8:$B$5000,"&gt;="&amp;DATE(2026,5,1),'💸 Expenses'!$B$8:$B$5000,"&lt;"&amp;DATE(2026,6,1))</f>
        <v/>
      </c>
      <c r="C26" s="413">
        <f>SUMIFS('💸 Expenses'!$F$8:$F$5000,'💸 Expenses'!$E$8:$E$5000,$A26,'💸 Expenses'!$B$8:$B$5000,"&gt;="&amp;DATE(2026,6,1),'💸 Expenses'!$B$8:$B$5000,"&lt;"&amp;DATE(2026,7,1))</f>
        <v/>
      </c>
      <c r="D26" s="413">
        <f>SUMIFS('💸 Expenses'!$F$8:$F$5000,'💸 Expenses'!$E$8:$E$5000,$A26,'💸 Expenses'!$B$8:$B$5000,"&gt;="&amp;DATE(2026,7,1),'💸 Expenses'!$B$8:$B$5000,"&lt;"&amp;DATE(2026,8,1))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Expenses'!$F$8:$F$5000,'💸 Expenses'!$E$8:$E$5000,$A27,'💸 Expenses'!$B$8:$B$5000,"&gt;="&amp;DATE(2026,5,1),'💸 Expenses'!$B$8:$B$5000,"&lt;"&amp;DATE(2026,6,1))</f>
        <v/>
      </c>
      <c r="C27" s="413">
        <f>SUMIFS('💸 Expenses'!$F$8:$F$5000,'💸 Expenses'!$E$8:$E$5000,$A27,'💸 Expenses'!$B$8:$B$5000,"&gt;="&amp;DATE(2026,6,1),'💸 Expenses'!$B$8:$B$5000,"&lt;"&amp;DATE(2026,7,1))</f>
        <v/>
      </c>
      <c r="D27" s="413">
        <f>SUMIFS('💸 Expenses'!$F$8:$F$5000,'💸 Expenses'!$E$8:$E$5000,$A27,'💸 Expenses'!$B$8:$B$5000,"&gt;="&amp;DATE(2026,7,1),'💸 Expenses'!$B$8:$B$5000,"&lt;"&amp;DATE(2026,8,1))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Expenses'!$F$8:$F$5000,'💸 Expenses'!$E$8:$E$5000,$A28,'💸 Expenses'!$B$8:$B$5000,"&gt;="&amp;DATE(2026,5,1),'💸 Expenses'!$B$8:$B$5000,"&lt;"&amp;DATE(2026,6,1))</f>
        <v/>
      </c>
      <c r="C28" s="413">
        <f>SUMIFS('💸 Expenses'!$F$8:$F$5000,'💸 Expenses'!$E$8:$E$5000,$A28,'💸 Expenses'!$B$8:$B$5000,"&gt;="&amp;DATE(2026,6,1),'💸 Expenses'!$B$8:$B$5000,"&lt;"&amp;DATE(2026,7,1))</f>
        <v/>
      </c>
      <c r="D28" s="413">
        <f>SUMIFS('💸 Expenses'!$F$8:$F$5000,'💸 Expenses'!$E$8:$E$5000,$A28,'💸 Expenses'!$B$8:$B$5000,"&gt;="&amp;DATE(2026,7,1),'💸 Expenses'!$B$8:$B$5000,"&lt;"&amp;DATE(2026,8,1))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Expenses'!$F$8:$F$5000,'💸 Expenses'!$E$8:$E$5000,$A29,'💸 Expenses'!$B$8:$B$5000,"&gt;="&amp;DATE(2026,5,1),'💸 Expenses'!$B$8:$B$5000,"&lt;"&amp;DATE(2026,6,1))</f>
        <v/>
      </c>
      <c r="C29" s="413">
        <f>SUMIFS('💸 Expenses'!$F$8:$F$5000,'💸 Expenses'!$E$8:$E$5000,$A29,'💸 Expenses'!$B$8:$B$5000,"&gt;="&amp;DATE(2026,6,1),'💸 Expenses'!$B$8:$B$5000,"&lt;"&amp;DATE(2026,7,1))</f>
        <v/>
      </c>
      <c r="D29" s="413">
        <f>SUMIFS('💸 Expenses'!$F$8:$F$5000,'💸 Expenses'!$E$8:$E$5000,$A29,'💸 Expenses'!$B$8:$B$5000,"&gt;="&amp;DATE(2026,7,1),'💸 Expenses'!$B$8:$B$5000,"&lt;"&amp;DATE(2026,8,1))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Packaging/Disposables</t>
        </is>
      </c>
      <c r="B30" s="413">
        <f>SUMIFS('💸 Expenses'!$F$8:$F$5000,'💸 Expenses'!$E$8:$E$5000,$A30,'💸 Expenses'!$B$8:$B$5000,"&gt;="&amp;DATE(2026,5,1),'💸 Expenses'!$B$8:$B$5000,"&lt;"&amp;DATE(2026,6,1))</f>
        <v/>
      </c>
      <c r="C30" s="413">
        <f>SUMIFS('💸 Expenses'!$F$8:$F$5000,'💸 Expenses'!$E$8:$E$5000,$A30,'💸 Expenses'!$B$8:$B$5000,"&gt;="&amp;DATE(2026,6,1),'💸 Expenses'!$B$8:$B$5000,"&lt;"&amp;DATE(2026,7,1))</f>
        <v/>
      </c>
      <c r="D30" s="413">
        <f>SUMIFS('💸 Expenses'!$F$8:$F$5000,'💸 Expenses'!$E$8:$E$5000,$A30,'💸 Expenses'!$B$8:$B$5000,"&gt;="&amp;DATE(2026,7,1),'💸 Expenses'!$B$8:$B$5000,"&lt;"&amp;DATE(2026,8,1))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Ingredients - Fruit</t>
        </is>
      </c>
      <c r="B31" s="413">
        <f>SUMIFS('💸 Expenses'!$F$8:$F$5000,'💸 Expenses'!$E$8:$E$5000,$A31,'💸 Expenses'!$B$8:$B$5000,"&gt;="&amp;DATE(2026,5,1),'💸 Expenses'!$B$8:$B$5000,"&lt;"&amp;DATE(2026,6,1))</f>
        <v/>
      </c>
      <c r="C31" s="413">
        <f>SUMIFS('💸 Expenses'!$F$8:$F$5000,'💸 Expenses'!$E$8:$E$5000,$A31,'💸 Expenses'!$B$8:$B$5000,"&gt;="&amp;DATE(2026,6,1),'💸 Expenses'!$B$8:$B$5000,"&lt;"&amp;DATE(2026,7,1))</f>
        <v/>
      </c>
      <c r="D31" s="413">
        <f>SUMIFS('💸 Expenses'!$F$8:$F$5000,'💸 Expenses'!$E$8:$E$5000,$A31,'💸 Expenses'!$B$8:$B$5000,"&gt;="&amp;DATE(2026,7,1),'💸 Expenses'!$B$8:$B$5000,"&lt;"&amp;DATE(2026,8,1))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 / Gas</t>
        </is>
      </c>
      <c r="B32" s="413">
        <f>SUMIFS('💸 Expenses'!$F$8:$F$5000,'💸 Expenses'!$E$8:$E$5000,$A32,'💸 Expenses'!$B$8:$B$5000,"&gt;="&amp;DATE(2026,5,1),'💸 Expenses'!$B$8:$B$5000,"&lt;"&amp;DATE(2026,6,1))</f>
        <v/>
      </c>
      <c r="C32" s="413">
        <f>SUMIFS('💸 Expenses'!$F$8:$F$5000,'💸 Expenses'!$E$8:$E$5000,$A32,'💸 Expenses'!$B$8:$B$5000,"&gt;="&amp;DATE(2026,6,1),'💸 Expenses'!$B$8:$B$5000,"&lt;"&amp;DATE(2026,7,1))</f>
        <v/>
      </c>
      <c r="D32" s="413">
        <f>SUMIFS('💸 Expenses'!$F$8:$F$5000,'💸 Expenses'!$E$8:$E$5000,$A32,'💸 Expenses'!$B$8:$B$5000,"&gt;="&amp;DATE(2026,7,1),'💸 Expenses'!$B$8:$B$5000,"&lt;"&amp;DATE(2026,8,1))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Ingredients - Other</t>
        </is>
      </c>
      <c r="B33" s="413">
        <f>SUMIFS('💸 Expenses'!$F$8:$F$5000,'💸 Expenses'!$E$8:$E$5000,$A33,'💸 Expenses'!$B$8:$B$5000,"&gt;="&amp;DATE(2026,5,1),'💸 Expenses'!$B$8:$B$5000,"&lt;"&amp;DATE(2026,6,1))</f>
        <v/>
      </c>
      <c r="C33" s="413">
        <f>SUMIFS('💸 Expenses'!$F$8:$F$5000,'💸 Expenses'!$E$8:$E$5000,$A33,'💸 Expenses'!$B$8:$B$5000,"&gt;="&amp;DATE(2026,6,1),'💸 Expenses'!$B$8:$B$5000,"&lt;"&amp;DATE(2026,7,1))</f>
        <v/>
      </c>
      <c r="D33" s="413">
        <f>SUMIFS('💸 Expenses'!$F$8:$F$5000,'💸 Expenses'!$E$8:$E$5000,$A33,'💸 Expenses'!$B$8:$B$5000,"&gt;="&amp;DATE(2026,7,1),'💸 Expenses'!$B$8:$B$5000,"&lt;"&amp;DATE(2026,8,1))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Office Supplies</t>
        </is>
      </c>
      <c r="B34" s="413">
        <f>SUMIFS('💸 Expenses'!$F$8:$F$5000,'💸 Expenses'!$E$8:$E$5000,$A34,'💸 Expenses'!$B$8:$B$5000,"&gt;="&amp;DATE(2026,5,1),'💸 Expenses'!$B$8:$B$5000,"&lt;"&amp;DATE(2026,6,1))</f>
        <v/>
      </c>
      <c r="C34" s="413">
        <f>SUMIFS('💸 Expenses'!$F$8:$F$5000,'💸 Expenses'!$E$8:$E$5000,$A34,'💸 Expenses'!$B$8:$B$5000,"&gt;="&amp;DATE(2026,6,1),'💸 Expenses'!$B$8:$B$5000,"&lt;"&amp;DATE(2026,7,1))</f>
        <v/>
      </c>
      <c r="D34" s="413">
        <f>SUMIFS('💸 Expenses'!$F$8:$F$5000,'💸 Expenses'!$E$8:$E$5000,$A34,'💸 Expenses'!$B$8:$B$5000,"&gt;="&amp;DATE(2026,7,1),'💸 Expenses'!$B$8:$B$5000,"&lt;"&amp;DATE(2026,8,1))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Utilities/Internet</t>
        </is>
      </c>
      <c r="B35" s="413">
        <f>SUMIFS('💸 Expenses'!$F$8:$F$5000,'💸 Expenses'!$E$8:$E$5000,$A35,'💸 Expenses'!$B$8:$B$5000,"&gt;="&amp;DATE(2026,5,1),'💸 Expenses'!$B$8:$B$5000,"&lt;"&amp;DATE(2026,6,1))</f>
        <v/>
      </c>
      <c r="C35" s="413">
        <f>SUMIFS('💸 Expenses'!$F$8:$F$5000,'💸 Expenses'!$E$8:$E$5000,$A35,'💸 Expenses'!$B$8:$B$5000,"&gt;="&amp;DATE(2026,6,1),'💸 Expenses'!$B$8:$B$5000,"&lt;"&amp;DATE(2026,7,1))</f>
        <v/>
      </c>
      <c r="D35" s="413">
        <f>SUMIFS('💸 Expenses'!$F$8:$F$5000,'💸 Expenses'!$E$8:$E$5000,$A35,'💸 Expenses'!$B$8:$B$5000,"&gt;="&amp;DATE(2026,7,1),'💸 Expenses'!$B$8:$B$5000,"&lt;"&amp;DATE(2026,8,1))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Kitchen Supplies</t>
        </is>
      </c>
      <c r="B36" s="413">
        <f>SUMIFS('💸 Expenses'!$F$8:$F$5000,'💸 Expenses'!$E$8:$E$5000,$A36,'💸 Expenses'!$B$8:$B$5000,"&gt;="&amp;DATE(2026,5,1),'💸 Expenses'!$B$8:$B$5000,"&lt;"&amp;DATE(2026,6,1))</f>
        <v/>
      </c>
      <c r="C36" s="413">
        <f>SUMIFS('💸 Expenses'!$F$8:$F$5000,'💸 Expenses'!$E$8:$E$5000,$A36,'💸 Expenses'!$B$8:$B$5000,"&gt;="&amp;DATE(2026,6,1),'💸 Expenses'!$B$8:$B$5000,"&lt;"&amp;DATE(2026,7,1))</f>
        <v/>
      </c>
      <c r="D36" s="413">
        <f>SUMIFS('💸 Expenses'!$F$8:$F$5000,'💸 Expenses'!$E$8:$E$5000,$A36,'💸 Expenses'!$B$8:$B$5000,"&gt;="&amp;DATE(2026,7,1),'💸 Expenses'!$B$8:$B$5000,"&lt;"&amp;DATE(2026,8,1))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Software / Subscription</t>
        </is>
      </c>
      <c r="B37" s="413">
        <f>SUMIFS('💸 Expenses'!$F$8:$F$5000,'💸 Expenses'!$E$8:$E$5000,$A37,'💸 Expenses'!$B$8:$B$5000,"&gt;="&amp;DATE(2026,5,1),'💸 Expenses'!$B$8:$B$5000,"&lt;"&amp;DATE(2026,6,1))</f>
        <v/>
      </c>
      <c r="C37" s="413">
        <f>SUMIFS('💸 Expenses'!$F$8:$F$5000,'💸 Expenses'!$E$8:$E$5000,$A37,'💸 Expenses'!$B$8:$B$5000,"&gt;="&amp;DATE(2026,6,1),'💸 Expenses'!$B$8:$B$5000,"&lt;"&amp;DATE(2026,7,1))</f>
        <v/>
      </c>
      <c r="D37" s="413">
        <f>SUMIFS('💸 Expenses'!$F$8:$F$5000,'💸 Expenses'!$E$8:$E$5000,$A37,'💸 Expenses'!$B$8:$B$5000,"&gt;="&amp;DATE(2026,7,1),'💸 Expenses'!$B$8:$B$5000,"&lt;"&amp;DATE(2026,8,1))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Staff - Advance</t>
        </is>
      </c>
      <c r="B38" s="413">
        <f>SUMIFS('💸 Expenses'!$F$8:$F$5000,'💸 Expenses'!$E$8:$E$5000,$A38,'💸 Expenses'!$B$8:$B$5000,"&gt;="&amp;DATE(2026,5,1),'💸 Expenses'!$B$8:$B$5000,"&lt;"&amp;DATE(2026,6,1))</f>
        <v/>
      </c>
      <c r="C38" s="413">
        <f>SUMIFS('💸 Expenses'!$F$8:$F$5000,'💸 Expenses'!$E$8:$E$5000,$A38,'💸 Expenses'!$B$8:$B$5000,"&gt;="&amp;DATE(2026,6,1),'💸 Expenses'!$B$8:$B$5000,"&lt;"&amp;DATE(2026,7,1))</f>
        <v/>
      </c>
      <c r="D38" s="413">
        <f>SUMIFS('💸 Expenses'!$F$8:$F$5000,'💸 Expenses'!$E$8:$E$5000,$A38,'💸 Expenses'!$B$8:$B$5000,"&gt;="&amp;DATE(2026,7,1),'💸 Expenses'!$B$8:$B$5000,"&lt;"&amp;DATE(2026,8,1))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Utilities / Internet</t>
        </is>
      </c>
      <c r="B39" s="413">
        <f>SUMIFS('💸 Expenses'!$F$8:$F$5000,'💸 Expenses'!$E$8:$E$5000,$A39,'💸 Expenses'!$B$8:$B$5000,"&gt;="&amp;DATE(2026,5,1),'💸 Expenses'!$B$8:$B$5000,"&lt;"&amp;DATE(2026,6,1))</f>
        <v/>
      </c>
      <c r="C39" s="413">
        <f>SUMIFS('💸 Expenses'!$F$8:$F$5000,'💸 Expenses'!$E$8:$E$5000,$A39,'💸 Expenses'!$B$8:$B$5000,"&gt;="&amp;DATE(2026,6,1),'💸 Expenses'!$B$8:$B$5000,"&lt;"&amp;DATE(2026,7,1))</f>
        <v/>
      </c>
      <c r="D39" s="413">
        <f>SUMIFS('💸 Expenses'!$F$8:$F$5000,'💸 Expenses'!$E$8:$E$5000,$A39,'💸 Expenses'!$B$8:$B$5000,"&gt;="&amp;DATE(2026,7,1),'💸 Expenses'!$B$8:$B$5000,"&lt;"&amp;DATE(2026,8,1))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Packaging / Disposables</t>
        </is>
      </c>
      <c r="B40" s="413">
        <f>SUMIFS('💸 Expenses'!$F$8:$F$5000,'💸 Expenses'!$E$8:$E$5000,$A40,'💸 Expenses'!$B$8:$B$5000,"&gt;="&amp;DATE(2026,5,1),'💸 Expenses'!$B$8:$B$5000,"&lt;"&amp;DATE(2026,6,1))</f>
        <v/>
      </c>
      <c r="C40" s="413">
        <f>SUMIFS('💸 Expenses'!$F$8:$F$5000,'💸 Expenses'!$E$8:$E$5000,$A40,'💸 Expenses'!$B$8:$B$5000,"&gt;="&amp;DATE(2026,6,1),'💸 Expenses'!$B$8:$B$5000,"&lt;"&amp;DATE(2026,7,1))</f>
        <v/>
      </c>
      <c r="D40" s="413">
        <f>SUMIFS('💸 Expenses'!$F$8:$F$5000,'💸 Expenses'!$E$8:$E$5000,$A40,'💸 Expenses'!$B$8:$B$5000,"&gt;="&amp;DATE(2026,7,1),'💸 Expenses'!$B$8:$B$5000,"&lt;"&amp;DATE(2026,8,1))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Ingredients - Desserts</t>
        </is>
      </c>
      <c r="B41" s="413">
        <f>SUMIFS('💸 Expenses'!$F$8:$F$5000,'💸 Expenses'!$E$8:$E$5000,$A41,'💸 Expenses'!$B$8:$B$5000,"&gt;="&amp;DATE(2026,5,1),'💸 Expenses'!$B$8:$B$5000,"&lt;"&amp;DATE(2026,6,1))</f>
        <v/>
      </c>
      <c r="C41" s="413">
        <f>SUMIFS('💸 Expenses'!$F$8:$F$5000,'💸 Expenses'!$E$8:$E$5000,$A41,'💸 Expenses'!$B$8:$B$5000,"&gt;="&amp;DATE(2026,6,1),'💸 Expenses'!$B$8:$B$5000,"&lt;"&amp;DATE(2026,7,1))</f>
        <v/>
      </c>
      <c r="D41" s="413">
        <f>SUMIFS('💸 Expenses'!$F$8:$F$5000,'💸 Expenses'!$E$8:$E$5000,$A41,'💸 Expenses'!$B$8:$B$5000,"&gt;="&amp;DATE(2026,7,1),'💸 Expenses'!$B$8:$B$5000,"&lt;"&amp;DATE(2026,8,1))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Expenses'!$F$8:$F$5000,'💸 Expenses'!$E$8:$E$5000,$A42,'💸 Expenses'!$B$8:$B$5000,"&gt;="&amp;DATE(2026,5,1),'💸 Expenses'!$B$8:$B$5000,"&lt;"&amp;DATE(2026,6,1))</f>
        <v/>
      </c>
      <c r="C42" s="413">
        <f>SUMIFS('💸 Expenses'!$F$8:$F$5000,'💸 Expenses'!$E$8:$E$5000,$A42,'💸 Expenses'!$B$8:$B$5000,"&gt;="&amp;DATE(2026,6,1),'💸 Expenses'!$B$8:$B$5000,"&lt;"&amp;DATE(2026,7,1))</f>
        <v/>
      </c>
      <c r="D42" s="413">
        <f>SUMIFS('💸 Expenses'!$F$8:$F$5000,'💸 Expenses'!$E$8:$E$5000,$A42,'💸 Expenses'!$B$8:$B$5000,"&gt;="&amp;DATE(2026,7,1),'💸 Expenses'!$B$8:$B$5000,"&lt;"&amp;DATE(2026,8,1))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Expenses'!$F$8:$F$5000,'💸 Expenses'!$E$8:$E$5000,$A43,'💸 Expenses'!$B$8:$B$5000,"&gt;="&amp;DATE(2026,5,1),'💸 Expenses'!$B$8:$B$5000,"&lt;"&amp;DATE(2026,6,1))</f>
        <v/>
      </c>
      <c r="C43" s="413">
        <f>SUMIFS('💸 Expenses'!$F$8:$F$5000,'💸 Expenses'!$E$8:$E$5000,$A43,'💸 Expenses'!$B$8:$B$5000,"&gt;="&amp;DATE(2026,6,1),'💸 Expenses'!$B$8:$B$5000,"&lt;"&amp;DATE(2026,7,1))</f>
        <v/>
      </c>
      <c r="D43" s="413">
        <f>SUMIFS('💸 Expenses'!$F$8:$F$5000,'💸 Expenses'!$E$8:$E$5000,$A43,'💸 Expenses'!$B$8:$B$5000,"&gt;="&amp;DATE(2026,7,1),'💸 Expenses'!$B$8:$B$5000,"&lt;"&amp;DATE(2026,8,1))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Expenses'!$F$8:$F$5000,'💸 Expenses'!$E$8:$E$5000,$A44,'💸 Expenses'!$B$8:$B$5000,"&gt;="&amp;DATE(2026,5,1),'💸 Expenses'!$B$8:$B$5000,"&lt;"&amp;DATE(2026,6,1))</f>
        <v/>
      </c>
      <c r="C44" s="413">
        <f>SUMIFS('💸 Expenses'!$F$8:$F$5000,'💸 Expenses'!$E$8:$E$5000,$A44,'💸 Expenses'!$B$8:$B$5000,"&gt;="&amp;DATE(2026,6,1),'💸 Expenses'!$B$8:$B$5000,"&lt;"&amp;DATE(2026,7,1))</f>
        <v/>
      </c>
      <c r="D44" s="413">
        <f>SUMIFS('💸 Expenses'!$F$8:$F$5000,'💸 Expenses'!$E$8:$E$5000,$A44,'💸 Expenses'!$B$8:$B$5000,"&gt;="&amp;DATE(2026,7,1),'💸 Expenses'!$B$8:$B$5000,"&lt;"&amp;DATE(2026,8,1))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Expenses'!$F$8:$F$5000,'💸 Expenses'!$B$8:$B$5000,"&gt;="&amp;DATE(2026,5,1),'💸 Expenses'!$B$8:$B$5000,"&lt;"&amp;DATE(2026,6,1))</f>
        <v/>
      </c>
      <c r="C45" s="414">
        <f>SUMIFS('💸 Expenses'!$F$8:$F$5000,'💸 Expenses'!$B$8:$B$5000,"&gt;="&amp;DATE(2026,6,1),'💸 Expenses'!$B$8:$B$5000,"&lt;"&amp;DATE(2026,7,1))</f>
        <v/>
      </c>
      <c r="D45" s="414">
        <f>SUMIFS('💸 Expenses'!$F$8:$F$5000,'💸 Expenses'!$B$8:$B$5000,"&gt;="&amp;DATE(2026,7,1),'💸 Expenses'!$B$8:$B$5000,"&lt;"&amp;DATE(2026,8,1))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2026-07-27T13:50:40Z</dcterms:modified>
  <cp:lastModifiedBy>LOHITH REDDY</cp:lastModifiedBy>
</cp:coreProperties>
</file>