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1490</v>
      </c>
      <c r="F70" s="50">
        <f>IFERROR(D70+E70+G70+U70+Y70,0)</f>
        <v>4965.0</v>
      </c>
      <c r="G70" s="257" t="n">
        <v>355</v>
      </c>
      <c r="H70" s="258">
        <f>SUMIFS('💸 Expenses'!$F$8:$F$5000,'💸 Expenses'!$B$8:$B$5000,"&gt;="&amp;B70,'💸 Expenses'!$B$8:$B$5000,"&lt;"&amp;(B70+1))</f>
        <v>2563.0</v>
      </c>
      <c r="I70" s="259">
        <f>IFERROR(F70-H70,0)</f>
        <v>2402.0</v>
      </c>
      <c r="J70" s="260">
        <f>IFERROR(I70/F70,0)</f>
        <v>0.483787</v>
      </c>
      <c r="K70" s="254" t="n"/>
      <c r="L70" s="261" t="inlineStr">
        <is>
          <t>EOD close (MP + BBVA + cash). Transfer col = $260 to-me (ledger) + $95 to restaurant BBVA bank (revenue, no comm).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2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</t>
        </is>
      </c>
      <c r="D517" s="306" t="inlineStr">
        <is>
          <t>Reca</t>
        </is>
      </c>
      <c r="E517" s="305" t="inlineStr">
        <is>
          <t>Ingredients - Other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No receipt; cash; (categoria a confirmar)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recurrente del software POS; gasto operativo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Other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2026-07-22T23:24:30Z</dcterms:modified>
  <cp:lastModifiedBy>LOHITH REDDY</cp:lastModifiedBy>
</cp:coreProperties>
</file>