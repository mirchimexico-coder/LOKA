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yyyy-mm-dd"/>
    <numFmt numFmtId="175" formatCode="dd-mmm-yyyy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5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7755.43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5329.64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8084.16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inlineStr">
        <is>
          <t>14-Jun-2026</t>
        </is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 t="n">
        <v>1526.18</v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4" t="inlineStr">
        <is>
          <t>15-Jun-2026</t>
        </is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 t="n">
        <v>2578.08</v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/>
      <c r="C272" s="69" t="n"/>
      <c r="D272" s="68" t="n"/>
      <c r="E272" s="69" t="n"/>
      <c r="F272" s="70" t="n"/>
      <c r="G272" s="23" t="n"/>
      <c r="H272" s="23" t="n"/>
      <c r="I272" s="55" t="n"/>
    </row>
    <row r="273">
      <c r="B273" s="64" t="n"/>
      <c r="C273" s="65" t="n"/>
      <c r="D273" s="66" t="n"/>
      <c r="E273" s="65" t="n"/>
      <c r="F273" s="67" t="n"/>
      <c r="G273" s="14" t="n"/>
      <c r="H273" s="14" t="n"/>
      <c r="I273" s="43" t="n"/>
    </row>
    <row r="274">
      <c r="B274" s="64" t="n"/>
      <c r="C274" s="69" t="n"/>
      <c r="D274" s="68" t="n"/>
      <c r="E274" s="69" t="n"/>
      <c r="F274" s="70" t="n"/>
      <c r="G274" s="23" t="n"/>
      <c r="H274" s="23" t="n"/>
      <c r="I274" s="55" t="n"/>
    </row>
    <row r="275">
      <c r="B275" s="64" t="n"/>
      <c r="C275" s="65" t="n"/>
      <c r="D275" s="66" t="n"/>
      <c r="E275" s="65" t="n"/>
      <c r="F275" s="67" t="n"/>
      <c r="G275" s="14" t="n"/>
      <c r="H275" s="14" t="n"/>
      <c r="I275" s="43" t="n"/>
    </row>
    <row r="276">
      <c r="B276" s="64" t="n"/>
      <c r="C276" s="69" t="n"/>
      <c r="D276" s="68" t="n"/>
      <c r="E276" s="69" t="n"/>
      <c r="F276" s="70" t="n"/>
      <c r="G276" s="23" t="n"/>
      <c r="H276" s="23" t="n"/>
      <c r="I276" s="55" t="n"/>
    </row>
    <row r="277">
      <c r="B277" s="64" t="n"/>
      <c r="C277" s="65" t="n"/>
      <c r="D277" s="66" t="n"/>
      <c r="E277" s="65" t="n"/>
      <c r="F277" s="67" t="n"/>
      <c r="G277" s="14" t="n"/>
      <c r="H277" s="14" t="n"/>
      <c r="I277" s="43" t="n"/>
    </row>
    <row r="278">
      <c r="B278" s="64" t="n"/>
      <c r="C278" s="69" t="n"/>
      <c r="D278" s="68" t="n"/>
      <c r="E278" s="69" t="n"/>
      <c r="F278" s="70" t="n"/>
      <c r="G278" s="23" t="n"/>
      <c r="H278" s="23" t="n"/>
      <c r="I278" s="55" t="n"/>
    </row>
    <row r="279">
      <c r="B279" s="64" t="n"/>
      <c r="C279" s="65" t="n"/>
      <c r="D279" s="66" t="n"/>
      <c r="E279" s="65" t="n"/>
      <c r="F279" s="67" t="n"/>
      <c r="G279" s="14" t="n"/>
      <c r="H279" s="14" t="n"/>
      <c r="I279" s="43" t="n"/>
    </row>
    <row r="280">
      <c r="B280" s="64" t="n"/>
      <c r="C280" s="69" t="n"/>
      <c r="D280" s="68" t="n"/>
      <c r="E280" s="69" t="n"/>
      <c r="F280" s="70" t="n"/>
      <c r="G280" s="23" t="n"/>
      <c r="H280" s="23" t="n"/>
      <c r="I280" s="55" t="n"/>
    </row>
    <row r="281">
      <c r="B281" s="64" t="n"/>
      <c r="C281" s="65" t="n"/>
      <c r="D281" s="66" t="n"/>
      <c r="E281" s="65" t="n"/>
      <c r="F281" s="67" t="n"/>
      <c r="G281" s="14" t="n"/>
      <c r="H281" s="14" t="n"/>
      <c r="I281" s="43" t="n"/>
    </row>
    <row r="282">
      <c r="B282" s="64" t="n"/>
      <c r="C282" s="69" t="n"/>
      <c r="D282" s="68" t="n"/>
      <c r="E282" s="69" t="n"/>
      <c r="F282" s="70" t="n"/>
      <c r="G282" s="23" t="n"/>
      <c r="H282" s="23" t="n"/>
      <c r="I282" s="55" t="n"/>
    </row>
    <row r="283">
      <c r="B283" s="64" t="n"/>
      <c r="C283" s="65" t="n"/>
      <c r="D283" s="66" t="n"/>
      <c r="E283" s="65" t="n"/>
      <c r="F283" s="67" t="n"/>
      <c r="G283" s="14" t="n"/>
      <c r="H283" s="14" t="n"/>
      <c r="I283" s="43" t="n"/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03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26" t="inlineStr">
        <is>
          <t>TOTALS &amp; CURRENT BALANCE</t>
        </is>
      </c>
      <c r="B81" s="219" t="n"/>
      <c r="C81" s="219" t="n"/>
      <c r="D81" s="256">
        <f>SUM(D63:D80)</f>
        <v/>
      </c>
      <c r="E81" s="257">
        <f>SUM(E63:E80)</f>
        <v/>
      </c>
      <c r="F81" s="258">
        <f>F80</f>
        <v/>
      </c>
      <c r="G81" s="226">
        <f>IF(F80&gt;0,"⏳ Restaurant owes Lohith $"&amp;TEXT(F80,"#,##0"),IF(F80&lt;0,"💵 Lohith holds $"&amp;TEXT(ABS(F80),"#,##0"),"✅ Zero balance"))</f>
        <v/>
      </c>
    </row>
    <row r="83">
      <c r="A83" s="242" t="inlineStr">
        <is>
          <t>HOW TO USE:</t>
        </is>
      </c>
      <c r="B83" s="242" t="n"/>
      <c r="C83" s="242" t="n"/>
      <c r="D83" s="242" t="n"/>
      <c r="E83" s="242" t="n"/>
      <c r="F83" s="242" t="n"/>
      <c r="G83" s="242" t="n"/>
      <c r="H83" s="242" t="n"/>
    </row>
    <row r="84">
      <c r="A84" s="242" t="inlineStr">
        <is>
          <t>Add new rows above TOTALS. Spent by Lohith = restaurant expenses he paid personally.</t>
        </is>
      </c>
      <c r="B84" s="242" t="n"/>
      <c r="C84" s="242" t="n"/>
      <c r="D84" s="242" t="n"/>
      <c r="E84" s="242" t="n"/>
      <c r="F84" s="242" t="n"/>
      <c r="G84" s="242" t="n"/>
      <c r="H84" s="242" t="n"/>
    </row>
    <row r="85">
      <c r="A85" s="242" t="inlineStr">
        <is>
          <t>Transferred to Lohith = customer bank transfers received in his personal account.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Positive balance = restaurant owes Lohith. Negative = Lohith holds restaurant funds.</t>
        </is>
      </c>
      <c r="B86" s="242" t="n"/>
      <c r="C86" s="242" t="n"/>
      <c r="D86" s="242" t="n"/>
      <c r="E86" s="242" t="n"/>
      <c r="F86" s="242" t="n"/>
      <c r="G86" s="242" t="n"/>
      <c r="H86" s="242" t="n"/>
    </row>
    <row r="89">
      <c r="A89" t="inlineStr">
        <is>
          <t>── PROPINAS / TIPS PASS-THROUGH (NOT income, NOT expense) ──</t>
        </is>
      </c>
    </row>
    <row r="90">
      <c r="A90" t="inlineStr">
        <is>
          <t>Date</t>
        </is>
      </c>
      <c r="B90" t="inlineStr">
        <is>
          <t>Paid To</t>
        </is>
      </c>
      <c r="D90" t="inlineStr">
        <is>
          <t>Amount</t>
        </is>
      </c>
    </row>
    <row r="91">
      <c r="A91" s="353" t="n">
        <v>46165</v>
      </c>
      <c r="B91" t="inlineStr">
        <is>
          <t>John (6 dias)</t>
        </is>
      </c>
      <c r="D91" s="354" t="n">
        <v>515</v>
      </c>
    </row>
    <row r="92">
      <c r="A92" s="353" t="n">
        <v>46165</v>
      </c>
      <c r="B92" t="inlineStr">
        <is>
          <t>Debi (6 dias)</t>
        </is>
      </c>
      <c r="D92" s="354" t="n">
        <v>515</v>
      </c>
    </row>
    <row r="93">
      <c r="A93" s="353" t="n">
        <v>46165</v>
      </c>
      <c r="B93" t="inlineStr">
        <is>
          <t>Victor (2 dias)</t>
        </is>
      </c>
      <c r="D93" s="354" t="n">
        <v>168</v>
      </c>
    </row>
    <row r="94">
      <c r="A94" s="353" t="n">
        <v>46174</v>
      </c>
      <c r="B94" t="inlineStr">
        <is>
          <t>John (Week 2)</t>
        </is>
      </c>
      <c r="D94" s="354" t="n">
        <v>350</v>
      </c>
    </row>
    <row r="95">
      <c r="A95" s="353" t="n">
        <v>46174</v>
      </c>
      <c r="B95" t="inlineStr">
        <is>
          <t>Duvi/Debi (Week 2)</t>
        </is>
      </c>
      <c r="D95" s="354" t="n">
        <v>350</v>
      </c>
    </row>
    <row r="96">
      <c r="A96" s="353" t="n">
        <v>46186</v>
      </c>
      <c r="B96" t="inlineStr">
        <is>
          <t>John (Week 4)</t>
        </is>
      </c>
      <c r="D96" s="354" t="n">
        <v>200</v>
      </c>
    </row>
    <row r="97">
      <c r="A97" s="353" t="n">
        <v>46186</v>
      </c>
      <c r="B97" t="inlineStr">
        <is>
          <t>Duvi/Debi (Week 4)</t>
        </is>
      </c>
      <c r="D97" s="354" t="n">
        <v>200</v>
      </c>
    </row>
    <row r="98">
      <c r="A98" s="353" t="n">
        <v>46186</v>
      </c>
      <c r="B98" t="inlineStr">
        <is>
          <t>Cesar (Week 4)</t>
        </is>
      </c>
      <c r="D98" s="354" t="n">
        <v>126</v>
      </c>
    </row>
    <row r="99">
      <c r="A99" s="353" t="n">
        <v>46186</v>
      </c>
      <c r="B99" t="inlineStr">
        <is>
          <t>Samu (Week 4)</t>
        </is>
      </c>
      <c r="D99" s="354" t="n">
        <v>126</v>
      </c>
    </row>
    <row r="100">
      <c r="B100" t="inlineStr">
        <is>
          <t>TOTAL TIPS PASSED THROUGH</t>
        </is>
      </c>
      <c r="D100" s="354">
        <f>SUM(D91:D99)</f>
        <v/>
      </c>
    </row>
    <row r="101">
      <c r="A101" t="inlineStr">
        <is>
          <t>Customer tips collected &amp; handed to staff. Excluded from P&amp;L — nets to zero (received = paid).</t>
        </is>
      </c>
    </row>
    <row r="102"/>
    <row r="103"/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2026-06-16T02:36:03Z</dcterms:modified>
  <cp:lastModifiedBy>LOHITH REDDY</cp:lastModifiedBy>
</cp:coreProperties>
</file>