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4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32415.85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-32888</v>
      </c>
      <c r="E149" t="inlineStr">
        <is>
          <t>Cumulative repaid from operating cash (latest 04-Aug-2026 $10,301.00).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/>
      </c>
      <c r="G6" s="31">
        <f>SUMIFS($G$8:$G$5000,$B$8:$B$5000,TODAY())</f>
        <v/>
      </c>
      <c r="H6" s="28">
        <f>SUMIFS($H$8:$H$5000,$B$8:$B$5000,TODAY())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/>
      </c>
      <c r="N6" s="33">
        <f>SUMPRODUCT((ISNUMBER($B$8:$B$5000))*($B$8:$B$5000&gt;=TODAY()-MOD(TODAY()-2,7))*($B$8:$B$5000&lt;TODAY()-MOD(TODAY()-2,7)+7)*IF(ISNUMBER($F$8:$F$5000),$F$8:$F$5000,0))</f>
        <v/>
      </c>
      <c r="O6" s="33">
        <f>SUMPRODUCT((ISNUMBER($B$8:$B$5000))*(MONTH($B$8:$B$5000)=MONTH(TODAY()))*(YEAR($B$8:$B$5000)=YEAR(TODAY()))*IF(ISNUMBER($F$8:$F$5000),$F$8:$F$5000,0))</f>
        <v/>
      </c>
      <c r="P6">
        <f>SUMPRODUCT((ISNUMBER($B$8:$B$5000))*($B$8:$B$5000&gt;=TODAY()-MOD(TODAY()-2,7))*($B$8:$B$5000&lt;TODAY()-MOD(TODAY()-2,7)+7)*IF(ISNUMBER($H$8:$H$5000),$H$8:$H$5000,0))</f>
        <v/>
      </c>
      <c r="Q6">
        <f>M6-P6</f>
        <v/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Expenses'!$F$8:$F$5000,'💸 Expenses'!$B$8:$B$5000,"&gt;="&amp;B8,'💸 Expenses'!$B$8:$B$5000,"&lt;"&amp;(B8+1))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Expenses'!$F$8:$F$5000,'💸 Expenses'!$B$8:$B$5000,"&gt;="&amp;B9,'💸 Expenses'!$B$8:$B$5000,"&lt;"&amp;(B9+1))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Expenses'!$F$8:$F$5000,'💸 Expenses'!$B$8:$B$5000,"&gt;="&amp;B10,'💸 Expenses'!$B$8:$B$5000,"&lt;"&amp;(B10+1))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Expenses'!$F$8:$F$5000,'💸 Expenses'!$B$8:$B$5000,"&gt;="&amp;B11,'💸 Expenses'!$B$8:$B$5000,"&lt;"&amp;(B11+1))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Expenses'!$F$8:$F$5000,'💸 Expenses'!$B$8:$B$5000,"&gt;="&amp;B12,'💸 Expenses'!$B$8:$B$5000,"&lt;"&amp;(B12+1))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Expenses'!$F$8:$F$5000,'💸 Expenses'!$B$8:$B$5000,"&gt;="&amp;B13,'💸 Expenses'!$B$8:$B$5000,"&lt;"&amp;(B13+1))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Expenses'!$F$8:$F$5000,'💸 Expenses'!$B$8:$B$5000,"&gt;="&amp;B14,'💸 Expenses'!$B$8:$B$5000,"&lt;"&amp;(B14+1))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Expenses'!$F$8:$F$5000,'💸 Expenses'!$B$8:$B$5000,"&gt;="&amp;B15,'💸 Expenses'!$B$8:$B$5000,"&lt;"&amp;(B15+1))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Expenses'!$F$8:$F$5000,'💸 Expenses'!$B$8:$B$5000,"&gt;="&amp;B16,'💸 Expenses'!$B$8:$B$5000,"&lt;"&amp;(B16+1))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Expenses'!$F$8:$F$5000,'💸 Expenses'!$B$8:$B$5000,"&gt;="&amp;B17,'💸 Expenses'!$B$8:$B$5000,"&lt;"&amp;(B17+1))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Expenses'!$F$8:$F$5000,'💸 Expenses'!$B$8:$B$5000,"&gt;="&amp;B18,'💸 Expenses'!$B$8:$B$5000,"&lt;"&amp;(B18+1))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Expenses'!$F$8:$F$5000,'💸 Expenses'!$B$8:$B$5000,"&gt;="&amp;B19,'💸 Expenses'!$B$8:$B$5000,"&lt;"&amp;(B19+1))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Expenses'!$F$8:$F$5000,'💸 Expenses'!$B$8:$B$5000,"&gt;="&amp;B20,'💸 Expenses'!$B$8:$B$5000,"&lt;"&amp;(B20+1))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Expenses'!$F$8:$F$5000,'💸 Expenses'!$B$8:$B$5000,"&gt;="&amp;B21,'💸 Expenses'!$B$8:$B$5000,"&lt;"&amp;(B21+1))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Expenses'!$F$8:$F$5000,'💸 Expenses'!$B$8:$B$5000,"&gt;="&amp;B22,'💸 Expenses'!$B$8:$B$5000,"&lt;"&amp;(B22+1))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Expenses'!$F$8:$F$5000,'💸 Expenses'!$B$8:$B$5000,"&gt;="&amp;B23,'💸 Expenses'!$B$8:$B$5000,"&lt;"&amp;(B23+1))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Expenses'!$F$8:$F$5000,'💸 Expenses'!$B$8:$B$5000,"&gt;="&amp;B24,'💸 Expenses'!$B$8:$B$5000,"&lt;"&amp;(B24+1))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Expenses'!$F$8:$F$5000,'💸 Expenses'!$B$8:$B$5000,"&gt;="&amp;B25,'💸 Expenses'!$B$8:$B$5000,"&lt;"&amp;(B25+1))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Expenses'!$F$8:$F$5000,'💸 Expenses'!$B$8:$B$5000,"&gt;="&amp;B26,'💸 Expenses'!$B$8:$B$5000,"&lt;"&amp;(B26+1))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Expenses'!$F$8:$F$5000,'💸 Expenses'!$B$8:$B$5000,"&gt;="&amp;B27,'💸 Expenses'!$B$8:$B$5000,"&lt;"&amp;(B27+1))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Expenses'!$F$8:$F$5000,'💸 Expenses'!$B$8:$B$5000,"&gt;="&amp;B28,'💸 Expenses'!$B$8:$B$5000,"&lt;"&amp;(B28+1))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Expenses'!$F$8:$F$5000,'💸 Expenses'!$B$8:$B$5000,"&gt;="&amp;B29,'💸 Expenses'!$B$8:$B$5000,"&lt;"&amp;(B29+1))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Expenses'!$F$8:$F$5000,'💸 Expenses'!$B$8:$B$5000,"&gt;="&amp;B30,'💸 Expenses'!$B$8:$B$5000,"&lt;"&amp;(B30+1))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Expenses'!$F$8:$F$5000,'💸 Expenses'!$B$8:$B$5000,"&gt;="&amp;B31,'💸 Expenses'!$B$8:$B$5000,"&lt;"&amp;(B31+1))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Expenses'!$F$8:$F$5000,'💸 Expenses'!$B$8:$B$5000,"&gt;="&amp;B32,'💸 Expenses'!$B$8:$B$5000,"&lt;"&amp;(B32+1))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Expenses'!$F$8:$F$5000,'💸 Expenses'!$B$8:$B$5000,"&gt;="&amp;B33,'💸 Expenses'!$B$8:$B$5000,"&lt;"&amp;(B33+1))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Expenses'!$F$8:$F$5000,'💸 Expenses'!$B$8:$B$5000,"&gt;="&amp;B34,'💸 Expenses'!$B$8:$B$5000,"&lt;"&amp;(B34+1))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Expenses'!$F$8:$F$5000,'💸 Expenses'!$B$8:$B$5000,"&gt;="&amp;B35,'💸 Expenses'!$B$8:$B$5000,"&lt;"&amp;(B35+1))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Expenses'!$F$8:$F$5000,'💸 Expenses'!$B$8:$B$5000,"&gt;="&amp;B36,'💸 Expenses'!$B$8:$B$5000,"&lt;"&amp;(B36+1))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Expenses'!$F$8:$F$5000,'💸 Expenses'!$B$8:$B$5000,"&gt;="&amp;B37,'💸 Expenses'!$B$8:$B$5000,"&lt;"&amp;(B37+1))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Expenses'!$F$8:$F$5000,'💸 Expenses'!$B$8:$B$5000,"&gt;="&amp;B38,'💸 Expenses'!$B$8:$B$5000,"&lt;"&amp;(B38+1))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Expenses'!$F$8:$F$5000,'💸 Expenses'!$B$8:$B$5000,"&gt;="&amp;B39,'💸 Expenses'!$B$8:$B$5000,"&lt;"&amp;(B39+1))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Expenses'!$F$8:$F$5000,'💸 Expenses'!$B$8:$B$5000,"&gt;="&amp;B40,'💸 Expenses'!$B$8:$B$5000,"&lt;"&amp;(B40+1))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Expenses'!$F$8:$F$5000,'💸 Expenses'!$B$8:$B$5000,"&gt;="&amp;B41,'💸 Expenses'!$B$8:$B$5000,"&lt;"&amp;(B41+1))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Expenses'!$F$8:$F$5000,'💸 Expenses'!$B$8:$B$5000,"&gt;="&amp;B42,'💸 Expenses'!$B$8:$B$5000,"&lt;"&amp;(B42+1))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Expenses'!$F$8:$F$5000,'💸 Expenses'!$B$8:$B$5000,"&gt;="&amp;B43,'💸 Expenses'!$B$8:$B$5000,"&lt;"&amp;(B43+1))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Expenses'!$F$8:$F$5000,'💸 Expenses'!$B$8:$B$5000,"&gt;="&amp;B44,'💸 Expenses'!$B$8:$B$5000,"&lt;"&amp;(B44+1))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Expenses'!$F$8:$F$5000,'💸 Expenses'!$B$8:$B$5000,"&gt;="&amp;B45,'💸 Expenses'!$B$8:$B$5000,"&lt;"&amp;(B45+1))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Expenses'!$F$8:$F$5000,'💸 Expenses'!$B$8:$B$5000,"&gt;="&amp;B46,'💸 Expenses'!$B$8:$B$5000,"&lt;"&amp;(B46+1))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Expenses'!$F$8:$F$5000,'💸 Expenses'!$B$8:$B$5000,"&gt;="&amp;B47,'💸 Expenses'!$B$8:$B$5000,"&lt;"&amp;(B47+1))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Expenses'!$F$8:$F$5000,'💸 Expenses'!$B$8:$B$5000,"&gt;="&amp;B48,'💸 Expenses'!$B$8:$B$5000,"&lt;"&amp;(B48+1))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Expenses'!$F$8:$F$5000,'💸 Expenses'!$B$8:$B$5000,"&gt;="&amp;B49,'💸 Expenses'!$B$8:$B$5000,"&lt;"&amp;(B49+1))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Expenses'!$F$8:$F$5000,'💸 Expenses'!$B$8:$B$5000,"&gt;="&amp;B50,'💸 Expenses'!$B$8:$B$5000,"&lt;"&amp;(B50+1))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Expenses'!$F$8:$F$5000,'💸 Expenses'!$B$8:$B$5000,"&gt;="&amp;B51,'💸 Expenses'!$B$8:$B$5000,"&lt;"&amp;(B51+1))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Expenses'!$F$8:$F$5000,'💸 Expenses'!$B$8:$B$5000,"&gt;="&amp;B52,'💸 Expenses'!$B$8:$B$5000,"&lt;"&amp;(B52+1))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Expenses'!$F$8:$F$5000,'💸 Expenses'!$B$8:$B$5000,"&gt;="&amp;B53,'💸 Expenses'!$B$8:$B$5000,"&lt;"&amp;(B53+1))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Expenses'!$F$8:$F$5000,'💸 Expenses'!$B$8:$B$5000,"&gt;="&amp;B54,'💸 Expenses'!$B$8:$B$5000,"&lt;"&amp;(B54+1))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Expenses'!$F$8:$F$5000,'💸 Expenses'!$B$8:$B$5000,"&gt;="&amp;B55,'💸 Expenses'!$B$8:$B$5000,"&lt;"&amp;(B55+1))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Expenses'!$F$8:$F$5000,'💸 Expenses'!$B$8:$B$5000,"&gt;="&amp;B56,'💸 Expenses'!$B$8:$B$5000,"&lt;"&amp;(B56+1))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Expenses'!$F$8:$F$5000,'💸 Expenses'!$B$8:$B$5000,"&gt;="&amp;B57,'💸 Expenses'!$B$8:$B$5000,"&lt;"&amp;(B57+1))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Expenses'!$F$8:$F$5000,'💸 Expenses'!$B$8:$B$5000,"&gt;="&amp;B58,'💸 Expenses'!$B$8:$B$5000,"&lt;"&amp;(B58+1))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Expenses'!$F$8:$F$5000,'💸 Expenses'!$B$8:$B$5000,"&gt;="&amp;B59,'💸 Expenses'!$B$8:$B$5000,"&lt;"&amp;(B59+1))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Expenses'!$F$8:$F$5000,'💸 Expenses'!$B$8:$B$5000,"&gt;="&amp;B60,'💸 Expenses'!$B$8:$B$5000,"&lt;"&amp;(B60+1))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Expenses'!$F$8:$F$5000,'💸 Expenses'!$B$8:$B$5000,"&gt;="&amp;B61,'💸 Expenses'!$B$8:$B$5000,"&lt;"&amp;(B61+1))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Expenses'!$F$8:$F$5000,'💸 Expenses'!$B$8:$B$5000,"&gt;="&amp;B62,'💸 Expenses'!$B$8:$B$5000,"&lt;"&amp;(B62+1))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Expenses'!$F$8:$F$5000,'💸 Expenses'!$B$8:$B$5000,"&gt;="&amp;B63,'💸 Expenses'!$B$8:$B$5000,"&lt;"&amp;(B63+1))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/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Expenses'!$F$8:$F$5000,'💸 Expenses'!$B$8:$B$5000,"&gt;="&amp;B64,'💸 Expenses'!$B$8:$B$5000,"&lt;"&amp;(B64+1))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/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Expenses'!$F$8:$F$5000,'💸 Expenses'!$B$8:$B$5000,"&gt;="&amp;B65,'💸 Expenses'!$B$8:$B$5000,"&lt;"&amp;(B65+1))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/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Expenses'!$F$8:$F$5000,'💸 Expenses'!$B$8:$B$5000,"&gt;="&amp;B66,'💸 Expenses'!$B$8:$B$5000,"&lt;"&amp;(B66+1))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/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Expenses'!$F$8:$F$5000,'💸 Expenses'!$B$8:$B$5000,"&gt;="&amp;B67,'💸 Expenses'!$B$8:$B$5000,"&lt;"&amp;(B67+1))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/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/>
      </c>
      <c r="G68" s="257" t="n">
        <v>0</v>
      </c>
      <c r="H68" s="258">
        <f>SUMIFS('💸 Expenses'!$F$8:$F$5000,'💸 Expenses'!$B$8:$B$5000,"&gt;="&amp;B68,'💸 Expenses'!$B$8:$B$5000,"&lt;"&amp;(B68+1))</f>
        <v/>
      </c>
      <c r="I68" s="259">
        <f>IFERROR(F68-H68,0)</f>
        <v/>
      </c>
      <c r="J68" s="260">
        <f>IFERROR(I68/F68,0)</f>
        <v/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/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/>
      </c>
      <c r="G69" s="257" t="n">
        <v>0</v>
      </c>
      <c r="H69" s="258">
        <f>SUMIFS('💸 Expenses'!$F$8:$F$5000,'💸 Expenses'!$B$8:$B$5000,"&gt;="&amp;B69,'💸 Expenses'!$B$8:$B$5000,"&lt;"&amp;(B69+1))</f>
        <v/>
      </c>
      <c r="I69" s="259">
        <f>IFERROR(F69-H69,0)</f>
        <v/>
      </c>
      <c r="J69" s="260">
        <f>IFERROR(I69/F69,0)</f>
        <v/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/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/>
      </c>
      <c r="G70" s="257" t="n">
        <v>355</v>
      </c>
      <c r="H70" s="258">
        <f>SUMIFS('💸 Expenses'!$F$8:$F$5000,'💸 Expenses'!$B$8:$B$5000,"&gt;="&amp;B70,'💸 Expenses'!$B$8:$B$5000,"&lt;"&amp;(B70+1))</f>
        <v/>
      </c>
      <c r="I70" s="259">
        <f>IFERROR(F70-H70,0)</f>
        <v/>
      </c>
      <c r="J70" s="260">
        <f>IFERROR(I70/F70,0)</f>
        <v/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/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/>
      </c>
      <c r="G71" s="257" t="n">
        <v>0</v>
      </c>
      <c r="H71" s="258">
        <f>SUMIFS('💸 Expenses'!$F$8:$F$5000,'💸 Expenses'!$B$8:$B$5000,"&gt;="&amp;B71,'💸 Expenses'!$B$8:$B$5000,"&lt;"&amp;(B71+1))</f>
        <v/>
      </c>
      <c r="I71" s="259">
        <f>IFERROR(F71-H71,0)</f>
        <v/>
      </c>
      <c r="J71" s="260">
        <f>IFERROR(I71/F71,0)</f>
        <v/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/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/>
      </c>
      <c r="G72" s="257" t="n">
        <v>0</v>
      </c>
      <c r="H72" s="258">
        <f>SUMIFS('💸 Expenses'!$F$8:$F$5000,'💸 Expenses'!$B$8:$B$5000,"&gt;="&amp;B72,'💸 Expenses'!$B$8:$B$5000,"&lt;"&amp;(B72+1))</f>
        <v/>
      </c>
      <c r="I72" s="259">
        <f>IFERROR(F72-H72,0)</f>
        <v/>
      </c>
      <c r="J72" s="260">
        <f>IFERROR(I72/F72,0)</f>
        <v/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/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/>
      </c>
      <c r="G73" s="257" t="n">
        <v>0</v>
      </c>
      <c r="H73" s="258">
        <f>SUMIFS('💸 Expenses'!$F$8:$F$5000,'💸 Expenses'!$B$8:$B$5000,"&gt;="&amp;B73,'💸 Expenses'!$B$8:$B$5000,"&lt;"&amp;(B73+1))</f>
        <v/>
      </c>
      <c r="I73" s="259">
        <f>IFERROR(F73-H73,0)</f>
        <v/>
      </c>
      <c r="J73" s="260">
        <f>IFERROR(I73/F73,0)</f>
        <v/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/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/>
      </c>
      <c r="G74" s="272" t="n">
        <v>700</v>
      </c>
      <c r="H74" s="273">
        <f>SUMIFS('💸 Expenses'!$F$8:$F$5000,'💸 Expenses'!$B$8:$B$5000,"&gt;="&amp;B74,'💸 Expenses'!$B$8:$B$5000,"&lt;"&amp;(B74+1))</f>
        <v/>
      </c>
      <c r="I74" s="274">
        <f>IFERROR(F74-H74,0)</f>
        <v/>
      </c>
      <c r="J74" s="275">
        <f>IFERROR(I74/F74,0)</f>
        <v/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/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/>
      </c>
      <c r="G75" s="257" t="n">
        <v>130</v>
      </c>
      <c r="H75" s="258">
        <f>SUMIFS('💸 Expenses'!$F$8:$F$5000,'💸 Expenses'!$B$8:$B$5000,"&gt;="&amp;B75,'💸 Expenses'!$B$8:$B$5000,"&lt;"&amp;(B75+1))</f>
        <v/>
      </c>
      <c r="I75" s="259">
        <f>IFERROR(F75-H75,0)</f>
        <v/>
      </c>
      <c r="J75" s="260">
        <f>IFERROR(I75/F75,0)</f>
        <v/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/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/>
      </c>
      <c r="G76" s="272" t="n">
        <v>205</v>
      </c>
      <c r="H76" s="273">
        <f>SUMIFS('💸 Expenses'!$F$8:$F$5000,'💸 Expenses'!$B$8:$B$5000,"&gt;="&amp;B76,'💸 Expenses'!$B$8:$B$5000,"&lt;"&amp;(B76+1))</f>
        <v/>
      </c>
      <c r="I76" s="274">
        <f>IFERROR(F76-H76,0)</f>
        <v/>
      </c>
      <c r="J76" s="275">
        <f>IFERROR(I76/F76,0)</f>
        <v/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/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/>
      </c>
      <c r="G77" s="257" t="n">
        <v>0</v>
      </c>
      <c r="H77" s="258">
        <f>SUMIFS('💸 Expenses'!$F$8:$F$5000,'💸 Expenses'!$B$8:$B$5000,"&gt;="&amp;B77,'💸 Expenses'!$B$8:$B$5000,"&lt;"&amp;(B77+1))</f>
        <v/>
      </c>
      <c r="I77" s="259">
        <f>IFERROR(F77-H77,0)</f>
        <v/>
      </c>
      <c r="J77" s="260">
        <f>IFERROR(I77/F77,0)</f>
        <v/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/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/>
      </c>
      <c r="G78" s="272" t="n">
        <v>390</v>
      </c>
      <c r="H78" s="273">
        <f>SUMIFS('💸 Expenses'!$F$8:$F$5000,'💸 Expenses'!$B$8:$B$5000,"&gt;="&amp;B78,'💸 Expenses'!$B$8:$B$5000,"&lt;"&amp;(B78+1))</f>
        <v/>
      </c>
      <c r="I78" s="274">
        <f>IFERROR(F78-H78,0)</f>
        <v/>
      </c>
      <c r="J78" s="275">
        <f>IFERROR(I78/F78,0)</f>
        <v/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/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/>
      </c>
      <c r="G79" s="257" t="n">
        <v>225</v>
      </c>
      <c r="H79" s="258">
        <f>SUMIFS('💸 Expenses'!$F$8:$F$5000,'💸 Expenses'!$B$8:$B$5000,"&gt;="&amp;B79,'💸 Expenses'!$B$8:$B$5000,"&lt;"&amp;(B79+1))</f>
        <v/>
      </c>
      <c r="I79" s="259">
        <f>IFERROR(F79-H79,0)</f>
        <v/>
      </c>
      <c r="J79" s="260">
        <f>IFERROR(I79/F79,0)</f>
        <v/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/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/>
      </c>
      <c r="G80" s="272" t="n">
        <v>0</v>
      </c>
      <c r="H80" s="273">
        <f>SUMIFS('💸 Expenses'!$F$8:$F$5000,'💸 Expenses'!$B$8:$B$5000,"&gt;="&amp;B80,'💸 Expenses'!$B$8:$B$5000,"&lt;"&amp;(B80+1))</f>
        <v/>
      </c>
      <c r="I80" s="274">
        <f>IFERROR(F80-H80,0)</f>
        <v/>
      </c>
      <c r="J80" s="275">
        <f>IFERROR(I80/F80,0)</f>
        <v/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/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/>
      </c>
      <c r="G81" s="257" t="n">
        <v>0</v>
      </c>
      <c r="H81" s="258">
        <f>SUMIFS('💸 Expenses'!$F$8:$F$5000,'💸 Expenses'!$B$8:$B$5000,"&gt;="&amp;B81,'💸 Expenses'!$B$8:$B$5000,"&lt;"&amp;(B81+1))</f>
        <v/>
      </c>
      <c r="I81" s="259">
        <f>IFERROR(F81-H81,0)</f>
        <v/>
      </c>
      <c r="J81" s="260">
        <f>IFERROR(I81/F81,0)</f>
        <v/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/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/>
      </c>
      <c r="G82" s="272" t="n">
        <v>0</v>
      </c>
      <c r="H82" s="273">
        <f>SUMIFS('💸 Expenses'!$F$8:$F$5000,'💸 Expenses'!$B$8:$B$5000,"&gt;="&amp;B82,'💸 Expenses'!$B$8:$B$5000,"&lt;"&amp;(B82+1))</f>
        <v/>
      </c>
      <c r="I82" s="274">
        <f>IFERROR(F82-H82,0)</f>
        <v/>
      </c>
      <c r="J82" s="275">
        <f>IFERROR(I82/F82,0)</f>
        <v/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/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/>
      </c>
      <c r="G83" s="257" t="n">
        <v>130</v>
      </c>
      <c r="H83" s="258">
        <f>SUMIFS('💸 Expenses'!$F$8:$F$5000,'💸 Expenses'!$B$8:$B$5000,"&gt;="&amp;B83,'💸 Expenses'!$B$8:$B$5000,"&lt;"&amp;(B83+1))</f>
        <v/>
      </c>
      <c r="I83" s="259">
        <f>IFERROR(F83-H83,0)</f>
        <v/>
      </c>
      <c r="J83" s="260">
        <f>IFERROR(I83/F83,0)</f>
        <v/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/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/>
      </c>
      <c r="G84" s="272" t="n">
        <v>130</v>
      </c>
      <c r="H84" s="273">
        <f>SUMIFS('💸 Expenses'!$F$8:$F$5000,'💸 Expenses'!$B$8:$B$5000,"&gt;="&amp;B84,'💸 Expenses'!$B$8:$B$5000,"&lt;"&amp;(B84+1))</f>
        <v/>
      </c>
      <c r="I84" s="274">
        <f>IFERROR(F84-H84,0)</f>
        <v/>
      </c>
      <c r="J84" s="275">
        <f>IFERROR(I84/F84,0)</f>
        <v/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/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/>
      </c>
      <c r="G85" s="257" t="n">
        <v>135</v>
      </c>
      <c r="H85" s="258">
        <f>SUMIFS('💸 Expenses'!$F$8:$F$5000,'💸 Expenses'!$B$8:$B$5000,"&gt;="&amp;B85,'💸 Expenses'!$B$8:$B$5000,"&lt;"&amp;(B85+1))</f>
        <v/>
      </c>
      <c r="I85" s="259">
        <f>IFERROR(F85-H85,0)</f>
        <v/>
      </c>
      <c r="J85" s="260">
        <f>IFERROR(I85/F85,0)</f>
        <v/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/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/>
      </c>
      <c r="G86" s="272" t="n">
        <v>130</v>
      </c>
      <c r="H86" s="273">
        <f>SUMIFS('💸 Expenses'!$F$8:$F$5000,'💸 Expenses'!$B$8:$B$5000,"&gt;="&amp;B86,'💸 Expenses'!$B$8:$B$5000,"&lt;"&amp;(B86+1))</f>
        <v/>
      </c>
      <c r="I86" s="274">
        <f>IFERROR(F86-H86,0)</f>
        <v/>
      </c>
      <c r="J86" s="275">
        <f>IFERROR(I86/F86,0)</f>
        <v/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/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/>
      </c>
      <c r="G87" s="257" t="n">
        <v>655</v>
      </c>
      <c r="H87" s="258">
        <f>SUMIFS('💸 Expenses'!$F$8:$F$5000,'💸 Expenses'!$B$8:$B$5000,"&gt;="&amp;B87,'💸 Expenses'!$B$8:$B$5000,"&lt;"&amp;(B87+1))</f>
        <v/>
      </c>
      <c r="I87" s="259">
        <f>IFERROR(F87-H87,0)</f>
        <v/>
      </c>
      <c r="J87" s="260">
        <f>IFERROR(I87/F87,0)</f>
        <v/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/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31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31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31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31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31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3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3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3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19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31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41" t="inlineStr">
        <is>
          <t>LOKA — MONTHLY P&amp;L   (live formulas — auto-updates from Daily Log &amp; Expenses)</t>
        </is>
      </c>
      <c r="B1" s="423" t="n"/>
      <c r="C1" s="423" t="n"/>
      <c r="D1" s="423" t="n"/>
      <c r="E1" s="423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Dairy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Beverages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Utilities/Electricity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inlineStr">
        <is>
          <t>TOTALS &amp; CURRENT BALANCE</t>
        </is>
      </c>
      <c r="B66" s="232" t="n"/>
      <c r="C66" s="232" t="n"/>
      <c r="D66" s="232">
        <f>SUM(D4:D65)</f>
        <v/>
      </c>
      <c r="E66" s="233">
        <f>SUM(E4:E65)</f>
        <v/>
      </c>
      <c r="F66" s="233">
        <f>F65</f>
        <v/>
      </c>
      <c r="G66" s="232">
        <f>IF(F65&gt;0,"Restaurant owes Lohith $"&amp;TEXT(F65,"#,##0"),IF(F65&lt;0,"Lohith holds $"&amp;TEXT(ABS(F65),"#,##0"),"Zero balance"))</f>
        <v/>
      </c>
      <c r="H6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2026-08-11T23:44:07Z</dcterms:modified>
  <cp:lastModifiedBy>LOHITH REDDY</cp:lastModifiedBy>
</cp:coreProperties>
</file>