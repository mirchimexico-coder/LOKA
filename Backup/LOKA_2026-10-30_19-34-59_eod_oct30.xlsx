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hidden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4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  <numFmt numFmtId="177" formatCode="$#,##0.00;[Red]-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8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  <xf numFmtId="176" fontId="0" fillId="0" borderId="0" pivotButton="0" quotePrefix="0" xfId="0"/>
    <xf numFmtId="0" fontId="92" fillId="44" borderId="25" pivotButton="0" quotePrefix="0" xfId="0"/>
    <xf numFmtId="176" fontId="95" fillId="0" borderId="0" pivotButton="0" quotePrefix="0" xfId="0"/>
    <xf numFmtId="176" fontId="98" fillId="0" borderId="0" pivotButton="0" quotePrefix="0" xfId="0"/>
    <xf numFmtId="0" fontId="98" fillId="0" borderId="25" pivotButton="0" quotePrefix="0" xfId="0"/>
    <xf numFmtId="177" fontId="98" fillId="0" borderId="25" pivotButton="0" quotePrefix="0" xfId="0"/>
    <xf numFmtId="0" fontId="95" fillId="0" borderId="25" pivotButton="0" quotePrefix="0" xfId="0"/>
    <xf numFmtId="177" fontId="95" fillId="0" borderId="25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3"/>
  <sheetViews>
    <sheetView tabSelected="0"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05 Oct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D67-D56</f>
        <v/>
      </c>
      <c r="D92" s="167">
        <f>C92/C86</f>
        <v/>
      </c>
      <c r="E92" s="140" t="inlineStr">
        <is>
          <t>Notary + poliza + licences + branding (excl. $5k advance, already in Acquisition)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CAPITAL STILL TO BE PAID IN  —  OWED TO CAPITAL (company account)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to Lohith ($)</t>
        </is>
      </c>
      <c r="E99" s="170" t="inlineStr">
        <is>
          <t>Direct Expenses ($)</t>
        </is>
      </c>
      <c r="F99" s="170" t="inlineStr">
        <is>
          <t>Still Owed to Capital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>
        <f>IF(F100&lt;1,"✅ COMPLETE","⏳ Owes Capital $"&amp;TEXT(F100,"#,##0"))</f>
        <v/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>
        <f>IF(F101&lt;1,"✅ COMPLETE","⏳ Owes Capital $"&amp;TEXT(F101,"#,##0"))</f>
        <v/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UNDEPLOYED CAPITAL (with Lohith + company-account reserve)</t>
        </is>
      </c>
      <c r="D140">
        <f>D136-D137-D138-D139</f>
        <v/>
      </c>
    </row>
    <row r="141">
      <c r="B141" t="inlineStr">
        <is>
          <t xml:space="preserve">   → Physically WITH ME (excl. company-account reserve, Section M)</t>
        </is>
      </c>
      <c r="D141" s="450">
        <f>D140-C171</f>
        <v/>
      </c>
      <c r="E141" t="inlineStr">
        <is>
          <t>All remaining capital moved to company account 22-Sep-2026</t>
        </is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Daily Log: MP + cash + transfers + Soft + BBVA)</t>
        </is>
      </c>
      <c r="C143" s="283">
        <f>SUM('📅 Daily Log'!D8:D5000)+SUM('📅 Daily Log'!E8:E5000)+SUM('📅 Daily Log'!G8:G5000)+SUM('📅 Daily Log'!U8:U5000)+SUM('📅 Daily Log'!Y8:Y5000)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Card commissions (MP auto 4.06% + Soft + BBVA actual)</t>
        </is>
      </c>
      <c r="C145" s="268">
        <f>SUM('📅 Daily Log'!R8:R5000)+SUM('📅 Daily Log'!V8:V5000)+SUM('📅 Daily Log'!Z8:Z5000)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0</v>
      </c>
      <c r="E147" s="286" t="inlineStr">
        <is>
          <t>Legacy (to 22-Sep-2026). From 05-Oct-2026 capital is fixed at $125,934 in the company account; what ops owes Capital = negative Balance vs Capital (row 172). 22-Sep taxes/contador moved to Restaurant.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-84370.53</v>
      </c>
      <c r="E149" t="inlineStr">
        <is>
          <t>Cumulative repaid from operating cash (latest 18-Sep-2026 $2,778.53).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Undeployed capital (Section J: with Lohith + company-account reserve)</t>
        </is>
      </c>
      <c r="C162" s="320">
        <f>D140</f>
        <v/>
      </c>
      <c r="E162">
        <f>"With Lohith $"&amp;TEXT(D141,"#,##0")&amp;" + company-account reserve $"&amp;TEXT(C171,"#,##0")</f>
        <v/>
      </c>
    </row>
    <row r="163">
      <c r="B163" s="319" t="inlineStr">
        <is>
          <t xml:space="preserve">   Kashigoud still owes CAPITAL (to pay into company account)</t>
        </is>
      </c>
      <c r="C163" s="320">
        <f>F100</f>
        <v/>
      </c>
      <c r="E163" t="inlineStr">
        <is>
          <t>Committed $180k: $145k sent to Lohith + direct expenses paid. Balance due to Capital (company account), since 22-Sep-2026.</t>
        </is>
      </c>
    </row>
    <row r="164">
      <c r="B164" s="319" t="inlineStr">
        <is>
          <t xml:space="preserve">   Shashirekha still owes CAPITAL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Undeployed (with Lohith + company reserve)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451" t="inlineStr">
        <is>
          <t xml:space="preserve">  M.  CAPITAL RESERVE  —  HELD IN THE COMPANY ACCOUNT  (separate from operating cash)</t>
        </is>
      </c>
      <c r="C168" s="320" t="n"/>
    </row>
    <row r="169">
      <c r="B169" s="319" t="inlineStr">
        <is>
          <t xml:space="preserve">   CAPITAL held in company account (fixed, moved in 22-Sep-2026)</t>
        </is>
      </c>
      <c r="C169" s="452" t="n">
        <v>125934</v>
      </c>
      <c r="E169" t="inlineStr">
        <is>
          <t>22-Sep-2026: Lohith moved all remaining capital ($125,934) to the company account.</t>
        </is>
      </c>
    </row>
    <row r="170">
      <c r="B170" s="319" t="inlineStr">
        <is>
          <t xml:space="preserve">   Drawn from capital (retired 05-Oct-2026: all bills are normal company-account expenses)</t>
        </is>
      </c>
      <c r="C170" s="452" t="n">
        <v>0</v>
      </c>
      <c r="E170" t="inlineStr">
        <is>
          <t>22-Sep taxes/contador draw (-$18,442) reversed 05-Oct-2026 and booked as Restaurant expenses.</t>
        </is>
      </c>
    </row>
    <row r="171">
      <c r="B171" s="317" t="inlineStr">
        <is>
          <t>CAPITAL BALANCE (fixed, in company account)</t>
        </is>
      </c>
      <c r="C171" s="453">
        <f>C169+C170</f>
        <v/>
      </c>
      <c r="E171" t="inlineStr">
        <is>
          <t>The pool (company account + cash in hand) must cover this. Difference is row 172.</t>
        </is>
      </c>
    </row>
    <row r="172">
      <c r="B172" s="454" t="inlineStr">
        <is>
          <t>BALANCE vs CAPITAL  (company acct + cash in hand − capital)</t>
        </is>
      </c>
      <c r="C172" s="455" t="n">
        <v>-6034</v>
      </c>
      <c r="E172" s="423" t="inlineStr">
        <is>
          <t>Negative = the restaurant owes Capital this much. Positive = surplus. Auto-updated by refresh-all.</t>
        </is>
      </c>
    </row>
    <row r="173">
      <c r="B173" s="456" t="inlineStr">
        <is>
          <t xml:space="preserve">   Company account + cash in hand (books)</t>
        </is>
      </c>
      <c r="C173" s="457" t="n">
        <v>119900</v>
      </c>
      <c r="E173" s="423" t="inlineStr">
        <is>
          <t>Last physical count + everything since. Set by menu 13 (cash count). Auto-updated by refresh-all.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tabSelected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SUMIFS($D$8:$D$5000,$B$8:$B$5000,TODAY())+SUMIFS($E$8:$E$5000,$B$8:$B$5000,TODAY())+SUMIFS($G$8:$G$5000,$B$8:$B$5000,TODAY())+SUMIFS($U$8:$U$5000,$B$8:$B$5000,TODAY())+SUMIFS($Y$8:$Y$5000,$B$8:$B$5000,TODAY())</f>
        <v>3730.0</v>
      </c>
      <c r="G6" s="31">
        <f>SUMIFS($G$8:$G$5000,$B$8:$B$5000,TODAY())</f>
        <v>100.0</v>
      </c>
      <c r="H6" s="28">
        <f>SUMIFS($H$8:$H$5000,$B$8:$B$5000,TODAY())</f>
        <v>1622.0</v>
      </c>
      <c r="I6" s="32">
        <f>F6-H6</f>
        <v>2108.0</v>
      </c>
      <c r="J6">
        <f>IFERROR(I6/F6,0)</f>
        <v>0.565147</v>
      </c>
      <c r="K6" s="28" t="n"/>
      <c r="L6" s="31" t="n"/>
      <c r="M6" s="28">
        <f>SUMIFS($F$8:$F$5000,$B$8:$B$5000,"&gt;="&amp;(TODAY()-WEEKDAY(TODAY(),2)+1),$B$8:$B$5000,"&lt;"&amp;(TODAY()-WEEKDAY(TODAY(),2)+8))</f>
        <v>15409.0</v>
      </c>
      <c r="N6" s="33">
        <f>SUMIFS($F$8:$F$5000,$B$8:$B$5000,"&gt;="&amp;(TODAY()-WEEKDAY(TODAY(),2)+1),$B$8:$B$5000,"&lt;"&amp;(TODAY()-WEEKDAY(TODAY(),2)+8))</f>
        <v>15409.0</v>
      </c>
      <c r="O6" s="33">
        <f>SUMIFS($F$8:$F$5000,$B$8:$B$5000,"&gt;="&amp;DATE(YEAR(TODAY()),MONTH(TODAY()),1),$B$8:$B$5000,"&lt;"&amp;DATE(YEAR(TODAY()),MONTH(TODAY())+1,1))</f>
        <v>101669.0</v>
      </c>
      <c r="P6">
        <f>SUMIFS('💸 Expenses'!$F$8:$F$5000,'💸 Expenses'!$B$8:$B$5000,"&gt;="&amp;(TODAY()-WEEKDAY(TODAY(),2)+1),'💸 Expenses'!$B$8:$B$5000,"&lt;"&amp;(TODAY()-WEEKDAY(TODAY(),2)+8))</f>
        <v>8145.0</v>
      </c>
      <c r="Q6">
        <f>M6-P6</f>
        <v>7264.0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IFERROR(D8+E8+G8+U8+Y8,0)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IFERROR(D9+E9+G9+U9+Y9,0)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IFERROR(D10+E10+G10+U10+Y10,0)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IFERROR(D11+E11+G11+U11+Y11,0)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IFERROR(D12+E12+G12+U12+Y12,0)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IFERROR(D13+E13+G13+U13+Y13,0)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IFERROR(D14+E14+G14+U14+Y14,0)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IFERROR(D15+E15+G15+U15+Y15,0)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IFERROR(D16+E16+G16+U16+Y16,0)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IFERROR(D17+E17+G17+U17+Y17,0)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IFERROR(D18+E18+G18+U18+Y18,0)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IFERROR(D19+E19+G19+U19+Y19,0)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IFERROR(D20+E20+G20+U20+Y20,0)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IFERROR(D21+E21+G21+U21+Y21,0)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IFERROR(D22+E22+G22+U22+Y22,0)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IFERROR(D23+E23+G23+U23+Y23,0)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IFERROR(D24+E24+G24+U24+Y24,0)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IFERROR(D25+E25+G25+U25+Y25,0)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IFERROR(D26+E26+G26+U26+Y26,0)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IFERROR(D27+E27+G27+U27+Y27,0)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IFERROR(D28+E28+G28+U28+Y28,0)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260">
        <f>IFERROR(I28/F28,0)</f>
        <v>0</v>
      </c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IFERROR(D29+E29+G29+U29+Y29,0)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IFERROR(D30+E30+G30+U30+Y30,0)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IFERROR(D31+E31+G31+U31+Y31,0)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IFERROR(D32+E32+G32+U32+Y32,0)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IFERROR(D33+E33+G33+U33+Y33,0)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IFERROR(D34+E34+G34+U34+Y34,0)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IFERROR(D35+E35+G35+U35+Y35,0)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IFERROR(D36+E36+G36+U36+Y36,0)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IFERROR(D37+E37+G37+U37+Y37,0)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IFERROR(D38+E38+G38+U38+Y38,0)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IFERROR(D39+E39+G39+U39+Y39,0)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IFERROR(D40+E40+G40+U40+Y40,0)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IFERROR(D41+E41+G41+U41+Y41,0)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IFERROR(D42+E42+G42+U42+Y42,0)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IFERROR(D43+E43+G43+U43+Y43,0)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IFERROR(D44+E44+G44+U44+Y44,0)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IFERROR(D45+E45+G45+U45+Y45,0)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IFERROR(D46+E46+G46+U46+Y46,0)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IFERROR(D47+E47+G47+U47+Y47,0)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IFERROR(D48+E48+G48+U48+Y48,0)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IFERROR(D49+E49+G49+U49+Y49,0)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IFERROR(D50+E50+G50+U50+Y50,0)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IFERROR(D51+E51+G51+U51+Y51,0)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IFERROR(D52+E52+G52+U52+Y52,0)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IFERROR(D53+E53+G53+U53+Y53,0)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IFERROR(D54+E54+G54+U54+Y54,0)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IFERROR(D55+E55+G55+U55+Y55,0)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IFERROR(D56+E56+G56+U56+Y56,0)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IFERROR(D57+E57+G57+U57+Y57,0)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IFERROR(D58+E58+G58+U58+Y58,0)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IFERROR(D59+E59+G59+U59+Y59,0)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IFERROR(D60+E60+G60+U60+Y60,0)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IFERROR(D61+E61+G61+U61+Y61,0)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427" t="n">
        <v>46269</v>
      </c>
      <c r="C108" s="270" t="inlineStr">
        <is>
          <t>Fri</t>
        </is>
      </c>
      <c r="D108" s="271" t="n">
        <v>825</v>
      </c>
      <c r="E108" s="37" t="n">
        <v>1974</v>
      </c>
      <c r="F108" s="38">
        <f>IFERROR(D108+E108+G108+U108+Y108,0)</f>
        <v>4839.0</v>
      </c>
      <c r="G108" s="272" t="n">
        <v>0</v>
      </c>
      <c r="H108" s="273">
        <f>SUMIFS('💸 Expenses'!$F$8:$F$5000,'💸 Expenses'!$B$8:$B$5000,"&gt;="&amp;B108,'💸 Expenses'!$B$8:$B$5000,"&lt;"&amp;(B108+1))</f>
        <v>20107.68</v>
      </c>
      <c r="I108" s="274">
        <f>IFERROR(F108-H108,0)</f>
        <v>-15268.68</v>
      </c>
      <c r="J108" s="275">
        <f>IFERROR(I108/F108,0)</f>
        <v>-3.155338</v>
      </c>
      <c r="K108" s="250" t="n"/>
      <c r="L108" s="276" t="inlineStr">
        <is>
          <t>Cierre via loka.py</t>
        </is>
      </c>
      <c r="M108" s="323" t="n"/>
      <c r="N108" s="324" t="n"/>
      <c r="O108" s="325" t="n"/>
      <c r="P108" s="326" t="n"/>
      <c r="Q108" s="324" t="n"/>
      <c r="R108" s="428">
        <f>IFERROR(D108*$T$7,0)</f>
        <v>33.49</v>
      </c>
      <c r="S108" s="324" t="n"/>
      <c r="T108" s="324" t="n"/>
      <c r="U108" s="428" t="n">
        <v>0</v>
      </c>
      <c r="V108" s="428" t="n">
        <v>0</v>
      </c>
      <c r="W108" s="324" t="n"/>
      <c r="X108" s="324" t="n"/>
      <c r="Y108" s="428" t="n">
        <v>2040</v>
      </c>
      <c r="Z108" s="428" t="n">
        <v>38.76</v>
      </c>
      <c r="AA108" s="324" t="n"/>
      <c r="AB108" s="324" t="n"/>
    </row>
    <row r="109" ht="16.5" customHeight="1" s="331">
      <c r="B109" s="427" t="n">
        <v>46270</v>
      </c>
      <c r="C109" s="255" t="inlineStr">
        <is>
          <t>Sat</t>
        </is>
      </c>
      <c r="D109" s="256" t="n">
        <v>0</v>
      </c>
      <c r="E109" s="49" t="n">
        <v>1590</v>
      </c>
      <c r="F109" s="50">
        <f>IFERROR(D109+E109+G109+U109+Y109,0)</f>
        <v>2695.0</v>
      </c>
      <c r="G109" s="257" t="n">
        <v>0</v>
      </c>
      <c r="H109" s="258">
        <f>SUMIFS('💸 Expenses'!$F$8:$F$5000,'💸 Expenses'!$B$8:$B$5000,"&gt;="&amp;B109,'💸 Expenses'!$B$8:$B$5000,"&lt;"&amp;(B109+1))</f>
        <v>9182.0</v>
      </c>
      <c r="I109" s="259">
        <f>IFERROR(F109-H109,0)</f>
        <v>-6487.0</v>
      </c>
      <c r="J109" s="260">
        <f>IFERROR(I109/F109,0)</f>
        <v>-2.40705</v>
      </c>
      <c r="K109" s="254" t="n"/>
      <c r="L109" s="261" t="inlineStr">
        <is>
          <t>Cierre via loka.py</t>
        </is>
      </c>
      <c r="M109" s="291" t="n"/>
      <c r="N109" s="292" t="n"/>
      <c r="O109" s="293" t="n"/>
      <c r="P109" s="294" t="n"/>
      <c r="Q109" s="292" t="n"/>
      <c r="R109" s="443">
        <f>IFERROR(D109*$T$7,0)</f>
        <v>0.0</v>
      </c>
      <c r="S109" s="292" t="n"/>
      <c r="T109" s="292" t="n"/>
      <c r="U109" s="443" t="n">
        <v>0</v>
      </c>
      <c r="V109" s="443" t="n">
        <v>0</v>
      </c>
      <c r="W109" s="292" t="n"/>
      <c r="X109" s="292" t="n"/>
      <c r="Y109" s="443" t="n">
        <v>1105</v>
      </c>
      <c r="Z109" s="443" t="n">
        <v>21</v>
      </c>
      <c r="AA109" s="292" t="n"/>
      <c r="AB109" s="292" t="n"/>
    </row>
    <row r="110" ht="16.5" customHeight="1" s="331">
      <c r="B110" s="427" t="n">
        <v>46272</v>
      </c>
      <c r="C110" s="270" t="inlineStr">
        <is>
          <t>Mon</t>
        </is>
      </c>
      <c r="D110" s="271" t="n">
        <v>1740</v>
      </c>
      <c r="E110" s="37" t="n">
        <v>1070</v>
      </c>
      <c r="F110" s="38">
        <f>IFERROR(D110+E110+G110+U110+Y110,0)</f>
        <v>3885.0</v>
      </c>
      <c r="G110" s="272" t="n">
        <v>0</v>
      </c>
      <c r="H110" s="273">
        <f>SUMIFS('💸 Expenses'!$F$8:$F$5000,'💸 Expenses'!$B$8:$B$5000,"&gt;="&amp;B110,'💸 Expenses'!$B$8:$B$5000,"&lt;"&amp;(B110+1))</f>
        <v>6288.0</v>
      </c>
      <c r="I110" s="274">
        <f>IFERROR(F110-H110,0)</f>
        <v>-2403.0</v>
      </c>
      <c r="J110" s="275">
        <f>IFERROR(I110/F110,0)</f>
        <v>-0.618533</v>
      </c>
      <c r="K110" s="250" t="n"/>
      <c r="L110" s="276" t="inlineStr">
        <is>
          <t>Cierre via loka.py</t>
        </is>
      </c>
      <c r="M110" s="323" t="n"/>
      <c r="N110" s="324" t="n"/>
      <c r="O110" s="325" t="n"/>
      <c r="P110" s="326" t="n"/>
      <c r="Q110" s="324" t="n"/>
      <c r="R110" s="428">
        <f>IFERROR(D110*$T$7,0)</f>
        <v>70.64</v>
      </c>
      <c r="S110" s="324" t="n"/>
      <c r="T110" s="324" t="n"/>
      <c r="U110" s="428" t="n">
        <v>0</v>
      </c>
      <c r="V110" s="428" t="n">
        <v>0</v>
      </c>
      <c r="W110" s="324" t="n"/>
      <c r="X110" s="324" t="n"/>
      <c r="Y110" s="428" t="n">
        <v>1075</v>
      </c>
      <c r="Z110" s="428" t="n">
        <v>20.43</v>
      </c>
      <c r="AA110" s="324" t="n"/>
      <c r="AB110" s="324" t="n"/>
    </row>
    <row r="111" ht="16.5" customHeight="1" s="331">
      <c r="B111" s="427" t="n">
        <v>46273</v>
      </c>
      <c r="C111" s="255" t="inlineStr">
        <is>
          <t>Tue</t>
        </is>
      </c>
      <c r="D111" s="256" t="n">
        <v>0</v>
      </c>
      <c r="E111" s="49" t="n">
        <v>1745</v>
      </c>
      <c r="F111" s="50">
        <f>IFERROR(D111+E111+G111+U111+Y111,0)</f>
        <v>2935.0</v>
      </c>
      <c r="G111" s="257" t="n">
        <v>275</v>
      </c>
      <c r="H111" s="258">
        <f>SUMIFS('💸 Expenses'!$F$8:$F$5000,'💸 Expenses'!$B$8:$B$5000,"&gt;="&amp;B111,'💸 Expenses'!$B$8:$B$5000,"&lt;"&amp;(B111+1))</f>
        <v>1980.0</v>
      </c>
      <c r="I111" s="259">
        <f>IFERROR(F111-H111,0)</f>
        <v>955.0</v>
      </c>
      <c r="J111" s="260">
        <f>IFERROR(I111/F111,0)</f>
        <v>0.325383</v>
      </c>
      <c r="K111" s="254" t="n"/>
      <c r="L111" s="261" t="inlineStr">
        <is>
          <t>Cierre via loka.py | updated 18:49</t>
        </is>
      </c>
      <c r="M111" s="291" t="n"/>
      <c r="N111" s="292" t="n"/>
      <c r="O111" s="293" t="n"/>
      <c r="P111" s="294" t="n"/>
      <c r="Q111" s="292" t="n"/>
      <c r="R111" s="443">
        <f>IFERROR(D111*$T$7,0)</f>
        <v>0.0</v>
      </c>
      <c r="S111" s="292" t="n"/>
      <c r="T111" s="292" t="n"/>
      <c r="U111" s="443" t="n">
        <v>0</v>
      </c>
      <c r="V111" s="443" t="n">
        <v>0</v>
      </c>
      <c r="W111" s="292" t="n"/>
      <c r="X111" s="292" t="n"/>
      <c r="Y111" s="443" t="n">
        <v>915</v>
      </c>
      <c r="Z111" s="443" t="n">
        <v>17.39</v>
      </c>
      <c r="AA111" s="292" t="n"/>
      <c r="AB111" s="292" t="n"/>
    </row>
    <row r="112" ht="16.5" customHeight="1" s="331">
      <c r="B112" s="427" t="n">
        <v>46274</v>
      </c>
      <c r="C112" s="270" t="inlineStr">
        <is>
          <t>Wed</t>
        </is>
      </c>
      <c r="D112" s="271" t="n">
        <v>0</v>
      </c>
      <c r="E112" s="37" t="n">
        <v>1040</v>
      </c>
      <c r="F112" s="38">
        <f>IFERROR(D112+E112+G112+U112+Y112,0)</f>
        <v>3160.0</v>
      </c>
      <c r="G112" s="272" t="n">
        <v>250</v>
      </c>
      <c r="H112" s="273">
        <f>SUMIFS('💸 Expenses'!$F$8:$F$5000,'💸 Expenses'!$B$8:$B$5000,"&gt;="&amp;B112,'💸 Expenses'!$B$8:$B$5000,"&lt;"&amp;(B112+1))</f>
        <v>1106.0</v>
      </c>
      <c r="I112" s="274">
        <f>IFERROR(F112-H112,0)</f>
        <v>2054.0</v>
      </c>
      <c r="J112" s="275">
        <f>IFERROR(I112/F112,0)</f>
        <v>0.65</v>
      </c>
      <c r="K112" s="250" t="n"/>
      <c r="L112" s="276" t="inlineStr">
        <is>
          <t>Cierre via loka.py | updated 17:50 | updated 21:09</t>
        </is>
      </c>
      <c r="M112" s="323" t="n"/>
      <c r="N112" s="324" t="n"/>
      <c r="O112" s="325" t="n"/>
      <c r="P112" s="326" t="n"/>
      <c r="Q112" s="324" t="n"/>
      <c r="R112" s="428">
        <f>IFERROR(D112*$T$7,0)</f>
        <v>0.0</v>
      </c>
      <c r="S112" s="324" t="n"/>
      <c r="T112" s="324" t="n"/>
      <c r="U112" s="428" t="n">
        <v>0</v>
      </c>
      <c r="V112" s="428" t="n">
        <v>0</v>
      </c>
      <c r="W112" s="324" t="n"/>
      <c r="X112" s="324" t="n"/>
      <c r="Y112" s="428" t="n">
        <v>1870</v>
      </c>
      <c r="Z112" s="428" t="n">
        <v>35.53</v>
      </c>
      <c r="AA112" s="324" t="n"/>
      <c r="AB112" s="324" t="n"/>
    </row>
    <row r="113" ht="16.5" customHeight="1" s="331">
      <c r="B113" s="427" t="n">
        <v>46275</v>
      </c>
      <c r="C113" s="255" t="inlineStr">
        <is>
          <t>Thu</t>
        </is>
      </c>
      <c r="D113" s="256" t="n">
        <v>0</v>
      </c>
      <c r="E113" s="49" t="n">
        <v>1685</v>
      </c>
      <c r="F113" s="50">
        <f>IFERROR(D113+E113+G113+U113+Y113,0)</f>
        <v>3805.0</v>
      </c>
      <c r="G113" s="257" t="n">
        <v>120</v>
      </c>
      <c r="H113" s="258">
        <f>SUMIFS('💸 Expenses'!$F$8:$F$5000,'💸 Expenses'!$B$8:$B$5000,"&gt;="&amp;B113,'💸 Expenses'!$B$8:$B$5000,"&lt;"&amp;(B113+1))</f>
        <v>1659.0</v>
      </c>
      <c r="I113" s="259">
        <f>IFERROR(F113-H113,0)</f>
        <v>2146.0</v>
      </c>
      <c r="J113" s="260">
        <f>IFERROR(I113/F113,0)</f>
        <v>0.563995</v>
      </c>
      <c r="K113" s="254" t="n"/>
      <c r="L113" s="261" t="inlineStr">
        <is>
          <t>Cierre via loka.py | updated 17:29</t>
        </is>
      </c>
      <c r="M113" s="291" t="n"/>
      <c r="N113" s="292" t="n"/>
      <c r="O113" s="293" t="n"/>
      <c r="P113" s="294" t="n"/>
      <c r="Q113" s="292" t="n"/>
      <c r="R113" s="443">
        <f>IFERROR(D113*$T$7,0)</f>
        <v>0.0</v>
      </c>
      <c r="S113" s="292" t="n"/>
      <c r="T113" s="292" t="n"/>
      <c r="U113" s="443" t="n">
        <v>0</v>
      </c>
      <c r="V113" s="443" t="n">
        <v>0</v>
      </c>
      <c r="W113" s="292" t="n"/>
      <c r="X113" s="292" t="n"/>
      <c r="Y113" s="443" t="n">
        <v>2000</v>
      </c>
      <c r="Z113" s="443" t="n">
        <v>38</v>
      </c>
      <c r="AA113" s="292" t="n"/>
      <c r="AB113" s="292" t="n"/>
    </row>
    <row r="114" ht="16.5" customHeight="1" s="331">
      <c r="B114" s="427" t="n">
        <v>46276</v>
      </c>
      <c r="C114" s="270" t="inlineStr">
        <is>
          <t>Fri</t>
        </is>
      </c>
      <c r="D114" s="271" t="n">
        <v>0</v>
      </c>
      <c r="E114" s="37" t="n">
        <v>820</v>
      </c>
      <c r="F114" s="38">
        <f>IFERROR(D114+E114+G114+U114+Y114,0)</f>
        <v>3345.0</v>
      </c>
      <c r="G114" s="272" t="n">
        <v>1010</v>
      </c>
      <c r="H114" s="273">
        <f>SUMIFS('💸 Expenses'!$F$8:$F$5000,'💸 Expenses'!$B$8:$B$5000,"&gt;="&amp;B114,'💸 Expenses'!$B$8:$B$5000,"&lt;"&amp;(B114+1))</f>
        <v>45.0</v>
      </c>
      <c r="I114" s="274">
        <f>IFERROR(F114-H114,0)</f>
        <v>3300.0</v>
      </c>
      <c r="J114" s="275">
        <f>IFERROR(I114/F114,0)</f>
        <v>0.986547</v>
      </c>
      <c r="K114" s="250" t="n"/>
      <c r="L114" s="276" t="inlineStr">
        <is>
          <t>Cierre via loka.py</t>
        </is>
      </c>
      <c r="M114" s="323" t="n"/>
      <c r="N114" s="324" t="n"/>
      <c r="O114" s="325" t="n"/>
      <c r="P114" s="326" t="n"/>
      <c r="Q114" s="324" t="n"/>
      <c r="R114" s="428">
        <f>IFERROR(D114*$T$7,0)</f>
        <v>0.0</v>
      </c>
      <c r="S114" s="324" t="n"/>
      <c r="T114" s="324" t="n"/>
      <c r="U114" s="428" t="n">
        <v>0</v>
      </c>
      <c r="V114" s="428" t="n">
        <v>0</v>
      </c>
      <c r="W114" s="324" t="n"/>
      <c r="X114" s="324" t="n"/>
      <c r="Y114" s="428" t="n">
        <v>1515</v>
      </c>
      <c r="Z114" s="428" t="n">
        <v>28.79</v>
      </c>
      <c r="AA114" s="324" t="n"/>
      <c r="AB114" s="324" t="n"/>
    </row>
    <row r="115" ht="16.5" customHeight="1" s="331">
      <c r="B115" s="427" t="n">
        <v>46277</v>
      </c>
      <c r="C115" s="255" t="inlineStr">
        <is>
          <t>Sat</t>
        </is>
      </c>
      <c r="D115" s="256" t="n">
        <v>585</v>
      </c>
      <c r="E115" s="49" t="n">
        <v>1835</v>
      </c>
      <c r="F115" s="50">
        <f>IFERROR(D115+E115+G115+U115+Y115,0)</f>
        <v>2420.0</v>
      </c>
      <c r="G115" s="257" t="n">
        <v>0</v>
      </c>
      <c r="H115" s="258">
        <f>SUMIFS('💸 Expenses'!$F$8:$F$5000,'💸 Expenses'!$B$8:$B$5000,"&gt;="&amp;B115,'💸 Expenses'!$B$8:$B$5000,"&lt;"&amp;(B115+1))</f>
        <v>8813.0</v>
      </c>
      <c r="I115" s="259">
        <f>IFERROR(F115-H115,0)</f>
        <v>-6393.0</v>
      </c>
      <c r="J115" s="260">
        <f>IFERROR(I115/F115,0)</f>
        <v>-2.641736</v>
      </c>
      <c r="K115" s="254" t="n"/>
      <c r="L115" s="261" t="inlineStr">
        <is>
          <t>Cierre via loka.py</t>
        </is>
      </c>
      <c r="M115" s="291" t="n"/>
      <c r="N115" s="292" t="n"/>
      <c r="O115" s="293" t="n"/>
      <c r="P115" s="294" t="n"/>
      <c r="Q115" s="292" t="n"/>
      <c r="R115" s="443">
        <f>IFERROR(D115*$T$7,0)</f>
        <v>23.75</v>
      </c>
      <c r="S115" s="292" t="n"/>
      <c r="T115" s="292" t="n"/>
      <c r="U115" s="443" t="n">
        <v>0</v>
      </c>
      <c r="V115" s="443" t="n">
        <v>0</v>
      </c>
      <c r="W115" s="292" t="n"/>
      <c r="X115" s="292" t="n"/>
      <c r="Y115" s="443" t="n">
        <v>0</v>
      </c>
      <c r="Z115" s="443" t="n">
        <v>0</v>
      </c>
      <c r="AA115" s="292" t="n"/>
      <c r="AB115" s="292" t="n"/>
    </row>
    <row r="116" ht="16.5" customHeight="1" s="331">
      <c r="B116" s="427" t="n">
        <v>46279</v>
      </c>
      <c r="C116" s="270" t="inlineStr">
        <is>
          <t>Mon</t>
        </is>
      </c>
      <c r="D116" s="271" t="n">
        <v>1950</v>
      </c>
      <c r="E116" s="37" t="n">
        <v>2090</v>
      </c>
      <c r="F116" s="38">
        <f>IFERROR(D116+E116+G116+U116+Y116,0)</f>
        <v>4170.0</v>
      </c>
      <c r="G116" s="272" t="n">
        <v>130</v>
      </c>
      <c r="H116" s="273">
        <f>SUMIFS('💸 Expenses'!$F$8:$F$5000,'💸 Expenses'!$B$8:$B$5000,"&gt;="&amp;B116,'💸 Expenses'!$B$8:$B$5000,"&lt;"&amp;(B116+1))</f>
        <v>660.0</v>
      </c>
      <c r="I116" s="274">
        <f>IFERROR(F116-H116,0)</f>
        <v>3510.0</v>
      </c>
      <c r="J116" s="275">
        <f>IFERROR(I116/F116,0)</f>
        <v>0.841727</v>
      </c>
      <c r="K116" s="250" t="n"/>
      <c r="L116" s="276" t="inlineStr">
        <is>
          <t>Cierre via loka.py</t>
        </is>
      </c>
      <c r="M116" s="323" t="n"/>
      <c r="N116" s="324" t="n"/>
      <c r="O116" s="325" t="n"/>
      <c r="P116" s="326" t="n"/>
      <c r="Q116" s="324" t="n"/>
      <c r="R116" s="428">
        <f>IFERROR(D116*$T$7,0)</f>
        <v>79.17</v>
      </c>
      <c r="S116" s="324" t="n"/>
      <c r="T116" s="324" t="n"/>
      <c r="U116" s="428" t="n">
        <v>0</v>
      </c>
      <c r="V116" s="428" t="n">
        <v>0</v>
      </c>
      <c r="W116" s="324" t="n"/>
      <c r="X116" s="324" t="n"/>
      <c r="Y116" s="428" t="n">
        <v>0</v>
      </c>
      <c r="Z116" s="428" t="n">
        <v>0</v>
      </c>
      <c r="AA116" s="324" t="n"/>
      <c r="AB116" s="324" t="n"/>
    </row>
    <row r="117" ht="16.5" customHeight="1" s="331">
      <c r="B117" s="427" t="n">
        <v>46282</v>
      </c>
      <c r="C117" s="255" t="inlineStr">
        <is>
          <t>Thu</t>
        </is>
      </c>
      <c r="D117" s="256" t="n">
        <v>2875</v>
      </c>
      <c r="E117" s="49" t="n">
        <v>1000</v>
      </c>
      <c r="F117" s="50">
        <f>IFERROR(D117+E117+G117+U117+Y117,0)</f>
        <v>20031.0</v>
      </c>
      <c r="G117" s="257" t="n">
        <v>16156</v>
      </c>
      <c r="H117" s="258">
        <f>SUMIFS('💸 Expenses'!$F$8:$F$5000,'💸 Expenses'!$B$8:$B$5000,"&gt;="&amp;B117,'💸 Expenses'!$B$8:$B$5000,"&lt;"&amp;(B117+1))</f>
        <v>2794.0</v>
      </c>
      <c r="I117" s="259">
        <f>IFERROR(F117-H117,0)</f>
        <v>17237.0</v>
      </c>
      <c r="J117" s="260">
        <f>IFERROR(I117/F117,0)</f>
        <v>0.860516</v>
      </c>
      <c r="K117" s="254" t="n"/>
      <c r="L117" s="261" t="inlineStr">
        <is>
          <t>Cierre via loka.py | updated 20:08</t>
        </is>
      </c>
      <c r="M117" s="291" t="n"/>
      <c r="N117" s="292" t="n"/>
      <c r="O117" s="293" t="n"/>
      <c r="P117" s="294" t="n"/>
      <c r="Q117" s="292" t="n"/>
      <c r="R117" s="443">
        <f>IFERROR(D117*$T$7,0)</f>
        <v>116.72</v>
      </c>
      <c r="S117" s="292" t="n"/>
      <c r="T117" s="292" t="n"/>
      <c r="U117" s="443" t="n">
        <v>0</v>
      </c>
      <c r="V117" s="443" t="n">
        <v>0</v>
      </c>
      <c r="W117" s="292" t="n"/>
      <c r="X117" s="292" t="n"/>
      <c r="Y117" s="443" t="n">
        <v>0</v>
      </c>
      <c r="Z117" s="443" t="n">
        <v>0</v>
      </c>
      <c r="AA117" s="292" t="n"/>
      <c r="AB117" s="292" t="n"/>
    </row>
    <row r="118" ht="16.5" customHeight="1" s="331">
      <c r="B118" s="427" t="n">
        <v>46283</v>
      </c>
      <c r="C118" s="270" t="inlineStr">
        <is>
          <t>Fri</t>
        </is>
      </c>
      <c r="D118" s="271" t="n">
        <v>1225</v>
      </c>
      <c r="E118" s="37" t="n">
        <v>1100</v>
      </c>
      <c r="F118" s="38">
        <f>IFERROR(D118+E118+G118+U118+Y118,0)</f>
        <v>2325.0</v>
      </c>
      <c r="G118" s="272" t="n">
        <v>0</v>
      </c>
      <c r="H118" s="273">
        <f>SUMIFS('💸 Expenses'!$F$8:$F$5000,'💸 Expenses'!$B$8:$B$5000,"&gt;="&amp;B118,'💸 Expenses'!$B$8:$B$5000,"&lt;"&amp;(B118+1))</f>
        <v>1979.0</v>
      </c>
      <c r="I118" s="274">
        <f>IFERROR(F118-H118,0)</f>
        <v>346.0</v>
      </c>
      <c r="J118" s="275">
        <f>IFERROR(I118/F118,0)</f>
        <v>0.148817</v>
      </c>
      <c r="K118" s="250" t="n"/>
      <c r="L118" s="276" t="inlineStr">
        <is>
          <t>Cierre via loka.py</t>
        </is>
      </c>
      <c r="M118" s="323" t="n"/>
      <c r="N118" s="324" t="n"/>
      <c r="O118" s="325" t="n"/>
      <c r="P118" s="326" t="n"/>
      <c r="Q118" s="324" t="n"/>
      <c r="R118" s="428">
        <f>IFERROR(D118*$T$7,0)</f>
        <v>49.73</v>
      </c>
      <c r="S118" s="324" t="n"/>
      <c r="T118" s="324" t="n"/>
      <c r="U118" s="428" t="n">
        <v>0</v>
      </c>
      <c r="V118" s="428" t="n">
        <v>0</v>
      </c>
      <c r="W118" s="324" t="n"/>
      <c r="X118" s="324" t="n"/>
      <c r="Y118" s="428" t="n">
        <v>0</v>
      </c>
      <c r="Z118" s="428" t="n">
        <v>0</v>
      </c>
      <c r="AA118" s="324" t="n"/>
      <c r="AB118" s="324" t="n"/>
    </row>
    <row r="119" ht="16.5" customHeight="1" s="331">
      <c r="B119" s="427" t="n">
        <v>46284</v>
      </c>
      <c r="C119" s="255" t="inlineStr">
        <is>
          <t>Sat</t>
        </is>
      </c>
      <c r="D119" s="256" t="n">
        <v>625</v>
      </c>
      <c r="E119" s="49" t="n">
        <v>1335</v>
      </c>
      <c r="F119" s="50">
        <f>IFERROR(D119+E119+G119+U119+Y119,0)</f>
        <v>1960.0</v>
      </c>
      <c r="G119" s="257" t="n">
        <v>0</v>
      </c>
      <c r="H119" s="258">
        <f>SUMIFS('💸 Expenses'!$F$8:$F$5000,'💸 Expenses'!$B$8:$B$5000,"&gt;="&amp;B119,'💸 Expenses'!$B$8:$B$5000,"&lt;"&amp;(B119+1))</f>
        <v>4626.0</v>
      </c>
      <c r="I119" s="259">
        <f>IFERROR(F119-H119,0)</f>
        <v>-2666.0</v>
      </c>
      <c r="J119" s="260">
        <f>IFERROR(I119/F119,0)</f>
        <v>-1.360204</v>
      </c>
      <c r="K119" s="254" t="n"/>
      <c r="L119" s="261" t="inlineStr">
        <is>
          <t>Cierre via loka.py</t>
        </is>
      </c>
      <c r="M119" s="291" t="n"/>
      <c r="N119" s="292" t="n"/>
      <c r="O119" s="293" t="n"/>
      <c r="P119" s="294" t="n"/>
      <c r="Q119" s="292" t="n"/>
      <c r="R119" s="443">
        <f>IFERROR(D119*$T$7,0)</f>
        <v>25.38</v>
      </c>
      <c r="S119" s="292" t="n"/>
      <c r="T119" s="292" t="n"/>
      <c r="U119" s="443" t="n">
        <v>0</v>
      </c>
      <c r="V119" s="443" t="n">
        <v>0</v>
      </c>
      <c r="W119" s="292" t="n"/>
      <c r="X119" s="292" t="n"/>
      <c r="Y119" s="443" t="n">
        <v>0</v>
      </c>
      <c r="Z119" s="443" t="n">
        <v>0</v>
      </c>
      <c r="AA119" s="292" t="n"/>
      <c r="AB119" s="292" t="n"/>
    </row>
    <row r="120" ht="16.5" customHeight="1" s="331">
      <c r="B120" s="427" t="n">
        <v>46286</v>
      </c>
      <c r="C120" s="270" t="inlineStr">
        <is>
          <t>Mon</t>
        </is>
      </c>
      <c r="D120" s="271" t="n">
        <v>2860</v>
      </c>
      <c r="E120" s="37" t="n">
        <v>1680</v>
      </c>
      <c r="F120" s="38">
        <f>IFERROR(D120+E120+G120+U120+Y120,0)</f>
        <v>4800.0</v>
      </c>
      <c r="G120" s="272" t="n">
        <v>260</v>
      </c>
      <c r="H120" s="273">
        <f>SUMIFS('💸 Expenses'!$F$8:$F$5000,'💸 Expenses'!$B$8:$B$5000,"&gt;="&amp;B120,'💸 Expenses'!$B$8:$B$5000,"&lt;"&amp;(B120+1))</f>
        <v>3883.0</v>
      </c>
      <c r="I120" s="274">
        <f>IFERROR(F120-H120,0)</f>
        <v>917.0</v>
      </c>
      <c r="J120" s="275">
        <f>IFERROR(I120/F120,0)</f>
        <v>0.191042</v>
      </c>
      <c r="K120" s="250" t="n"/>
      <c r="L120" s="276" t="inlineStr">
        <is>
          <t>Cierre via loka.py | updated 21:05</t>
        </is>
      </c>
      <c r="M120" s="323" t="n"/>
      <c r="N120" s="324" t="n"/>
      <c r="O120" s="325" t="n"/>
      <c r="P120" s="326" t="n"/>
      <c r="Q120" s="324" t="n"/>
      <c r="R120" s="428">
        <f>IFERROR(D120*$T$7,0)</f>
        <v>116.12</v>
      </c>
      <c r="S120" s="324" t="n"/>
      <c r="T120" s="324" t="n"/>
      <c r="U120" s="428" t="n">
        <v>0</v>
      </c>
      <c r="V120" s="428" t="n">
        <v>0</v>
      </c>
      <c r="W120" s="324" t="n"/>
      <c r="X120" s="324" t="n"/>
      <c r="Y120" s="428" t="n">
        <v>0</v>
      </c>
      <c r="Z120" s="428" t="n">
        <v>0</v>
      </c>
      <c r="AA120" s="324" t="n"/>
      <c r="AB120" s="324" t="n"/>
    </row>
    <row r="121" ht="16.5" customHeight="1" s="331">
      <c r="B121" s="427" t="n">
        <v>46287</v>
      </c>
      <c r="C121" s="255" t="inlineStr">
        <is>
          <t>Tue</t>
        </is>
      </c>
      <c r="D121" s="256" t="n">
        <v>1575</v>
      </c>
      <c r="E121" s="49" t="n">
        <v>1515</v>
      </c>
      <c r="F121" s="50">
        <f>IFERROR(D121+E121+G121+U121+Y121,0)</f>
        <v>3090.0</v>
      </c>
      <c r="G121" s="257" t="n">
        <v>0</v>
      </c>
      <c r="H121" s="258">
        <f>SUMIFS('💸 Expenses'!$F$8:$F$5000,'💸 Expenses'!$B$8:$B$5000,"&gt;="&amp;B121,'💸 Expenses'!$B$8:$B$5000,"&lt;"&amp;(B121+1))</f>
        <v>18980.0</v>
      </c>
      <c r="I121" s="259">
        <f>IFERROR(F121-H121,0)</f>
        <v>-15890.0</v>
      </c>
      <c r="J121" s="260">
        <f>IFERROR(I121/F121,0)</f>
        <v>-5.142395</v>
      </c>
      <c r="K121" s="254" t="n"/>
      <c r="L121" s="261" t="inlineStr">
        <is>
          <t>Cierre via loka.py</t>
        </is>
      </c>
      <c r="M121" s="291" t="n"/>
      <c r="N121" s="292" t="n"/>
      <c r="O121" s="293" t="n"/>
      <c r="P121" s="294" t="n"/>
      <c r="Q121" s="292" t="n"/>
      <c r="R121" s="443">
        <f>IFERROR(D121*$T$7,0)</f>
        <v>63.94</v>
      </c>
      <c r="S121" s="292" t="n"/>
      <c r="T121" s="292" t="n"/>
      <c r="U121" s="443" t="n">
        <v>0</v>
      </c>
      <c r="V121" s="443" t="n">
        <v>0</v>
      </c>
      <c r="W121" s="292" t="n"/>
      <c r="X121" s="292" t="n"/>
      <c r="Y121" s="443" t="n">
        <v>0</v>
      </c>
      <c r="Z121" s="443" t="n">
        <v>0</v>
      </c>
      <c r="AA121" s="292" t="n"/>
      <c r="AB121" s="292" t="n"/>
    </row>
    <row r="122" ht="16.5" customHeight="1" s="331">
      <c r="B122" s="427" t="n">
        <v>46288</v>
      </c>
      <c r="C122" s="270" t="inlineStr">
        <is>
          <t>Wed</t>
        </is>
      </c>
      <c r="D122" s="271" t="n">
        <v>3585</v>
      </c>
      <c r="E122" s="37" t="n">
        <v>1360</v>
      </c>
      <c r="F122" s="38">
        <f>IFERROR(D122+E122+G122+U122+Y122,0)</f>
        <v>4945.0</v>
      </c>
      <c r="G122" s="272" t="n">
        <v>0</v>
      </c>
      <c r="H122" s="273">
        <f>SUMIFS('💸 Expenses'!$F$8:$F$5000,'💸 Expenses'!$B$8:$B$5000,"&gt;="&amp;B122,'💸 Expenses'!$B$8:$B$5000,"&lt;"&amp;(B122+1))</f>
        <v>5375.0</v>
      </c>
      <c r="I122" s="274">
        <f>IFERROR(F122-H122,0)</f>
        <v>-430.0</v>
      </c>
      <c r="J122" s="275">
        <f>IFERROR(I122/F122,0)</f>
        <v>-0.086957</v>
      </c>
      <c r="K122" s="250" t="n"/>
      <c r="L122" s="276" t="inlineStr">
        <is>
          <t>Cierre via loka.py</t>
        </is>
      </c>
      <c r="M122" s="323" t="n"/>
      <c r="N122" s="324" t="n"/>
      <c r="O122" s="325" t="n"/>
      <c r="P122" s="326" t="n"/>
      <c r="Q122" s="324" t="n"/>
      <c r="R122" s="428">
        <f>IFERROR(D122*$T$7,0)</f>
        <v>145.55</v>
      </c>
      <c r="S122" s="324" t="n"/>
      <c r="T122" s="324" t="n"/>
      <c r="U122" s="428" t="n">
        <v>0</v>
      </c>
      <c r="V122" s="428" t="n">
        <v>0</v>
      </c>
      <c r="W122" s="324" t="n"/>
      <c r="X122" s="324" t="n"/>
      <c r="Y122" s="428" t="n">
        <v>0</v>
      </c>
      <c r="Z122" s="428" t="n">
        <v>0</v>
      </c>
      <c r="AA122" s="324" t="n"/>
      <c r="AB122" s="324" t="n"/>
    </row>
    <row r="123" ht="16.5" customHeight="1" s="331">
      <c r="B123" s="427" t="n">
        <v>46289</v>
      </c>
      <c r="C123" s="255" t="inlineStr">
        <is>
          <t>Thu</t>
        </is>
      </c>
      <c r="D123" s="256" t="n">
        <v>2490</v>
      </c>
      <c r="E123" s="49" t="n">
        <v>850</v>
      </c>
      <c r="F123" s="50">
        <f>IFERROR(D123+E123+G123+U123+Y123,0)</f>
        <v>3340.0</v>
      </c>
      <c r="G123" s="257" t="n">
        <v>0</v>
      </c>
      <c r="H123" s="258">
        <f>SUMIFS('💸 Expenses'!$F$8:$F$5000,'💸 Expenses'!$B$8:$B$5000,"&gt;="&amp;B123,'💸 Expenses'!$B$8:$B$5000,"&lt;"&amp;(B123+1))</f>
        <v>2465.0</v>
      </c>
      <c r="I123" s="259">
        <f>IFERROR(F123-H123,0)</f>
        <v>875.0</v>
      </c>
      <c r="J123" s="260">
        <f>IFERROR(I123/F123,0)</f>
        <v>0.261976</v>
      </c>
      <c r="K123" s="254" t="n"/>
      <c r="L123" s="261" t="inlineStr">
        <is>
          <t>Cierre via loka.py</t>
        </is>
      </c>
      <c r="M123" s="291" t="n"/>
      <c r="N123" s="292" t="n"/>
      <c r="O123" s="293" t="n"/>
      <c r="P123" s="294" t="n"/>
      <c r="Q123" s="292" t="n"/>
      <c r="R123" s="443">
        <f>IFERROR(D123*$T$7,0)</f>
        <v>101.09</v>
      </c>
      <c r="S123" s="292" t="n"/>
      <c r="T123" s="292" t="n"/>
      <c r="U123" s="443" t="n">
        <v>0</v>
      </c>
      <c r="V123" s="443" t="n">
        <v>0</v>
      </c>
      <c r="W123" s="292" t="n"/>
      <c r="X123" s="292" t="n"/>
      <c r="Y123" s="443" t="n">
        <v>0</v>
      </c>
      <c r="Z123" s="443" t="n">
        <v>0</v>
      </c>
      <c r="AA123" s="292" t="n"/>
      <c r="AB123" s="292" t="n"/>
    </row>
    <row r="124" ht="16.5" customHeight="1" s="331">
      <c r="B124" s="427" t="n">
        <v>46290</v>
      </c>
      <c r="C124" s="270" t="inlineStr">
        <is>
          <t>Fri</t>
        </is>
      </c>
      <c r="D124" s="271" t="n">
        <v>1250</v>
      </c>
      <c r="E124" s="37" t="n">
        <v>2120</v>
      </c>
      <c r="F124" s="38">
        <f>IFERROR(D124+E124+G124+U124+Y124,0)</f>
        <v>3370.0</v>
      </c>
      <c r="G124" s="272" t="n">
        <v>0</v>
      </c>
      <c r="H124" s="273">
        <f>SUMIFS('💸 Expenses'!$F$8:$F$5000,'💸 Expenses'!$B$8:$B$5000,"&gt;="&amp;B124,'💸 Expenses'!$B$8:$B$5000,"&lt;"&amp;(B124+1))</f>
        <v>1240.0</v>
      </c>
      <c r="I124" s="274">
        <f>IFERROR(F124-H124,0)</f>
        <v>2130.0</v>
      </c>
      <c r="J124" s="275">
        <f>IFERROR(I124/F124,0)</f>
        <v>0.632047</v>
      </c>
      <c r="K124" s="250" t="n"/>
      <c r="L124" s="276" t="inlineStr">
        <is>
          <t>Cierre via loka.py</t>
        </is>
      </c>
      <c r="M124" s="323" t="n"/>
      <c r="N124" s="324" t="n"/>
      <c r="O124" s="325" t="n"/>
      <c r="P124" s="326" t="n"/>
      <c r="Q124" s="324" t="n"/>
      <c r="R124" s="428">
        <f>IFERROR(D124*$T$7,0)</f>
        <v>50.75</v>
      </c>
      <c r="S124" s="324" t="n"/>
      <c r="T124" s="324" t="n"/>
      <c r="U124" s="428" t="n">
        <v>0</v>
      </c>
      <c r="V124" s="428" t="n">
        <v>0</v>
      </c>
      <c r="W124" s="324" t="n"/>
      <c r="X124" s="324" t="n"/>
      <c r="Y124" s="428" t="n">
        <v>0</v>
      </c>
      <c r="Z124" s="428" t="n">
        <v>0</v>
      </c>
      <c r="AA124" s="324" t="n"/>
      <c r="AB124" s="324" t="n"/>
    </row>
    <row r="125" ht="16.5" customHeight="1" s="331">
      <c r="B125" s="427" t="n">
        <v>46291</v>
      </c>
      <c r="C125" s="255" t="inlineStr">
        <is>
          <t>Sat</t>
        </is>
      </c>
      <c r="D125" s="256" t="n">
        <v>1700</v>
      </c>
      <c r="E125" s="49" t="n">
        <v>1010</v>
      </c>
      <c r="F125" s="50">
        <f>IFERROR(D125+E125+G125+U125+Y125,0)</f>
        <v>2710.0</v>
      </c>
      <c r="G125" s="257" t="n">
        <v>0</v>
      </c>
      <c r="H125" s="258">
        <f>SUMIFS('💸 Expenses'!$F$8:$F$5000,'💸 Expenses'!$B$8:$B$5000,"&gt;="&amp;B125,'💸 Expenses'!$B$8:$B$5000,"&lt;"&amp;(B125+1))</f>
        <v>9382.0</v>
      </c>
      <c r="I125" s="259">
        <f>IFERROR(F125-H125,0)</f>
        <v>-6672.0</v>
      </c>
      <c r="J125" s="260">
        <f>IFERROR(I125/F125,0)</f>
        <v>-2.461993</v>
      </c>
      <c r="K125" s="254" t="n"/>
      <c r="L125" s="261" t="inlineStr">
        <is>
          <t>Cierre via loka.py</t>
        </is>
      </c>
      <c r="M125" s="291" t="n"/>
      <c r="N125" s="292" t="n"/>
      <c r="O125" s="293" t="n"/>
      <c r="P125" s="294" t="n"/>
      <c r="Q125" s="292" t="n"/>
      <c r="R125" s="443">
        <f>IFERROR(D125*$T$7,0)</f>
        <v>69.02</v>
      </c>
      <c r="S125" s="292" t="n"/>
      <c r="T125" s="292" t="n"/>
      <c r="U125" s="443" t="n">
        <v>0</v>
      </c>
      <c r="V125" s="443" t="n">
        <v>0</v>
      </c>
      <c r="W125" s="292" t="n"/>
      <c r="X125" s="292" t="n"/>
      <c r="Y125" s="443" t="n">
        <v>0</v>
      </c>
      <c r="Z125" s="443" t="n">
        <v>0</v>
      </c>
      <c r="AA125" s="292" t="n"/>
      <c r="AB125" s="292" t="n"/>
    </row>
    <row r="126" ht="16.5" customHeight="1" s="331">
      <c r="B126" s="427" t="n">
        <v>46293</v>
      </c>
      <c r="C126" s="270" t="inlineStr">
        <is>
          <t>Mon</t>
        </is>
      </c>
      <c r="D126" s="271" t="n">
        <v>1850</v>
      </c>
      <c r="E126" s="37" t="n">
        <v>1720</v>
      </c>
      <c r="F126" s="38">
        <f>IFERROR(D126+E126+G126+U126+Y126,0)</f>
        <v>3570.0</v>
      </c>
      <c r="G126" s="272" t="n">
        <v>0</v>
      </c>
      <c r="H126" s="273">
        <f>SUMIFS('💸 Expenses'!$F$8:$F$5000,'💸 Expenses'!$B$8:$B$5000,"&gt;="&amp;B126,'💸 Expenses'!$B$8:$B$5000,"&lt;"&amp;(B126+1))</f>
        <v>713.0</v>
      </c>
      <c r="I126" s="274">
        <f>IFERROR(F126-H126,0)</f>
        <v>2857.0</v>
      </c>
      <c r="J126" s="275">
        <f>IFERROR(I126/F126,0)</f>
        <v>0.80028</v>
      </c>
      <c r="K126" s="250" t="n"/>
      <c r="L126" s="276" t="inlineStr">
        <is>
          <t>Cierre via loka.py</t>
        </is>
      </c>
      <c r="M126" s="323" t="n"/>
      <c r="N126" s="324" t="n"/>
      <c r="O126" s="325" t="n"/>
      <c r="P126" s="326" t="n"/>
      <c r="Q126" s="324" t="n"/>
      <c r="R126" s="428">
        <f>IFERROR(D126*$T$7,0)</f>
        <v>75.11</v>
      </c>
      <c r="S126" s="324" t="n"/>
      <c r="T126" s="324" t="n"/>
      <c r="U126" s="428" t="n">
        <v>0</v>
      </c>
      <c r="V126" s="428" t="n">
        <v>0</v>
      </c>
      <c r="W126" s="324" t="n"/>
      <c r="X126" s="324" t="n"/>
      <c r="Y126" s="428" t="n">
        <v>0</v>
      </c>
      <c r="Z126" s="428" t="n">
        <v>0</v>
      </c>
      <c r="AA126" s="324" t="n"/>
      <c r="AB126" s="324" t="n"/>
    </row>
    <row r="127" ht="16.5" customHeight="1" s="331">
      <c r="B127" s="427" t="n">
        <v>46294</v>
      </c>
      <c r="C127" s="255" t="inlineStr">
        <is>
          <t>Tue</t>
        </is>
      </c>
      <c r="D127" s="256" t="n">
        <v>1715</v>
      </c>
      <c r="E127" s="49" t="n">
        <v>1605</v>
      </c>
      <c r="F127" s="50">
        <f>IFERROR(D127+E127+G127+U127+Y127,0)</f>
        <v>3752.0</v>
      </c>
      <c r="G127" s="257" t="n">
        <v>432</v>
      </c>
      <c r="H127" s="258">
        <f>SUMIFS('💸 Expenses'!$F$8:$F$5000,'💸 Expenses'!$B$8:$B$5000,"&gt;="&amp;B127,'💸 Expenses'!$B$8:$B$5000,"&lt;"&amp;(B127+1))</f>
        <v>399.0</v>
      </c>
      <c r="I127" s="259">
        <f>IFERROR(F127-H127,0)</f>
        <v>3353.0</v>
      </c>
      <c r="J127" s="260">
        <f>IFERROR(I127/F127,0)</f>
        <v>0.893657</v>
      </c>
      <c r="K127" s="254" t="n"/>
      <c r="L127" s="261" t="inlineStr">
        <is>
          <t>Cierre via loka.py | updated 18:04</t>
        </is>
      </c>
      <c r="M127" s="291" t="n"/>
      <c r="N127" s="292" t="n"/>
      <c r="O127" s="293" t="n"/>
      <c r="P127" s="294" t="n"/>
      <c r="Q127" s="292" t="n"/>
      <c r="R127" s="443">
        <f>IFERROR(D127*$T$7,0)</f>
        <v>69.63</v>
      </c>
      <c r="S127" s="292" t="n"/>
      <c r="T127" s="292" t="n"/>
      <c r="U127" s="443" t="n">
        <v>0</v>
      </c>
      <c r="V127" s="443" t="n">
        <v>0</v>
      </c>
      <c r="W127" s="292" t="n"/>
      <c r="X127" s="292" t="n"/>
      <c r="Y127" s="443" t="n">
        <v>0</v>
      </c>
      <c r="Z127" s="443" t="n">
        <v>0</v>
      </c>
      <c r="AA127" s="292" t="n"/>
      <c r="AB127" s="292" t="n"/>
    </row>
    <row r="128" ht="16.5" customHeight="1" s="331">
      <c r="B128" s="427" t="n">
        <v>46295</v>
      </c>
      <c r="C128" s="270" t="inlineStr">
        <is>
          <t>Wed</t>
        </is>
      </c>
      <c r="D128" s="271" t="n">
        <v>2215</v>
      </c>
      <c r="E128" s="37" t="n">
        <v>1075</v>
      </c>
      <c r="F128" s="38">
        <f>IFERROR(D128+E128+G128+U128+Y128,0)</f>
        <v>3820.0</v>
      </c>
      <c r="G128" s="272" t="n">
        <v>530</v>
      </c>
      <c r="H128" s="273">
        <f>SUMIFS('💸 Expenses'!$F$8:$F$5000,'💸 Expenses'!$B$8:$B$5000,"&gt;="&amp;B128,'💸 Expenses'!$B$8:$B$5000,"&lt;"&amp;(B128+1))</f>
        <v>1535.0</v>
      </c>
      <c r="I128" s="274">
        <f>IFERROR(F128-H128,0)</f>
        <v>2285.0</v>
      </c>
      <c r="J128" s="275">
        <f>IFERROR(I128/F128,0)</f>
        <v>0.598168</v>
      </c>
      <c r="K128" s="250" t="n"/>
      <c r="L128" s="276" t="inlineStr">
        <is>
          <t>Cierre via loka.py</t>
        </is>
      </c>
      <c r="M128" s="323" t="n"/>
      <c r="N128" s="324" t="n"/>
      <c r="O128" s="325" t="n"/>
      <c r="P128" s="326" t="n"/>
      <c r="Q128" s="324" t="n"/>
      <c r="R128" s="428">
        <f>IFERROR(D128*$T$7,0)</f>
        <v>89.93</v>
      </c>
      <c r="S128" s="324" t="n"/>
      <c r="T128" s="324" t="n"/>
      <c r="U128" s="428" t="n">
        <v>0</v>
      </c>
      <c r="V128" s="428" t="n">
        <v>0</v>
      </c>
      <c r="W128" s="324" t="n"/>
      <c r="X128" s="324" t="n"/>
      <c r="Y128" s="428" t="n">
        <v>0</v>
      </c>
      <c r="Z128" s="428" t="n">
        <v>0</v>
      </c>
      <c r="AA128" s="324" t="n"/>
      <c r="AB128" s="324" t="n"/>
    </row>
    <row r="129" ht="16.5" customHeight="1" s="331">
      <c r="B129" s="427" t="n">
        <v>46296</v>
      </c>
      <c r="C129" s="255" t="inlineStr">
        <is>
          <t>Thu</t>
        </is>
      </c>
      <c r="D129" s="256" t="n">
        <v>1350</v>
      </c>
      <c r="E129" s="49" t="n">
        <v>940</v>
      </c>
      <c r="F129" s="50">
        <f>IFERROR(D129+E129+G129+U129+Y129,0)</f>
        <v>2420.0</v>
      </c>
      <c r="G129" s="257" t="n">
        <v>130</v>
      </c>
      <c r="H129" s="258">
        <f>SUMIFS('💸 Expenses'!$F$8:$F$5000,'💸 Expenses'!$B$8:$B$5000,"&gt;="&amp;B129,'💸 Expenses'!$B$8:$B$5000,"&lt;"&amp;(B129+1))</f>
        <v>747.0</v>
      </c>
      <c r="I129" s="259">
        <f>IFERROR(F129-H129,0)</f>
        <v>1673.0</v>
      </c>
      <c r="J129" s="260">
        <f>IFERROR(I129/F129,0)</f>
        <v>0.691322</v>
      </c>
      <c r="K129" s="254" t="n"/>
      <c r="L129" s="261" t="inlineStr">
        <is>
          <t>Cierre via loka.py</t>
        </is>
      </c>
      <c r="M129" s="291" t="n"/>
      <c r="N129" s="292" t="n"/>
      <c r="O129" s="293" t="n"/>
      <c r="P129" s="294" t="n"/>
      <c r="Q129" s="292" t="n"/>
      <c r="R129" s="443">
        <f>IFERROR(D129*$T$7,0)</f>
        <v>54.81</v>
      </c>
      <c r="S129" s="292" t="n"/>
      <c r="T129" s="292" t="n"/>
      <c r="U129" s="443" t="n">
        <v>0</v>
      </c>
      <c r="V129" s="443" t="n">
        <v>0</v>
      </c>
      <c r="W129" s="292" t="n"/>
      <c r="X129" s="292" t="n"/>
      <c r="Y129" s="443" t="n">
        <v>0</v>
      </c>
      <c r="Z129" s="443" t="n">
        <v>0</v>
      </c>
      <c r="AA129" s="292" t="n"/>
      <c r="AB129" s="292" t="n"/>
    </row>
    <row r="130" ht="16.5" customHeight="1" s="331">
      <c r="B130" s="427" t="n">
        <v>46297</v>
      </c>
      <c r="C130" s="270" t="inlineStr">
        <is>
          <t>Fri</t>
        </is>
      </c>
      <c r="D130" s="271" t="n">
        <v>3420</v>
      </c>
      <c r="E130" s="37" t="n">
        <v>2915</v>
      </c>
      <c r="F130" s="38">
        <f>IFERROR(D130+E130+G130+U130+Y130,0)</f>
        <v>6335.0</v>
      </c>
      <c r="G130" s="272" t="n">
        <v>0</v>
      </c>
      <c r="H130" s="273">
        <f>SUMIFS('💸 Expenses'!$F$8:$F$5000,'💸 Expenses'!$B$8:$B$5000,"&gt;="&amp;B130,'💸 Expenses'!$B$8:$B$5000,"&lt;"&amp;(B130+1))</f>
        <v>5818.0</v>
      </c>
      <c r="I130" s="274">
        <f>IFERROR(F130-H130,0)</f>
        <v>517.0</v>
      </c>
      <c r="J130" s="275">
        <f>IFERROR(I130/F130,0)</f>
        <v>0.08161</v>
      </c>
      <c r="K130" s="250" t="n"/>
      <c r="L130" s="276" t="inlineStr">
        <is>
          <t>Cierre via loka.py</t>
        </is>
      </c>
      <c r="M130" s="323" t="n"/>
      <c r="N130" s="324" t="n"/>
      <c r="O130" s="325" t="n"/>
      <c r="P130" s="326" t="n"/>
      <c r="Q130" s="324" t="n"/>
      <c r="R130" s="428">
        <f>IFERROR(D130*$T$7,0)</f>
        <v>138.85</v>
      </c>
      <c r="S130" s="324" t="n"/>
      <c r="T130" s="324" t="n"/>
      <c r="U130" s="428" t="n">
        <v>0</v>
      </c>
      <c r="V130" s="428" t="n">
        <v>0</v>
      </c>
      <c r="W130" s="324" t="n"/>
      <c r="X130" s="324" t="n"/>
      <c r="Y130" s="428" t="n">
        <v>0</v>
      </c>
      <c r="Z130" s="428" t="n">
        <v>0</v>
      </c>
      <c r="AA130" s="324" t="n"/>
      <c r="AB130" s="324" t="n"/>
    </row>
    <row r="131" ht="16.5" customHeight="1" s="331">
      <c r="B131" s="427" t="n">
        <v>46300</v>
      </c>
      <c r="C131" s="255" t="inlineStr">
        <is>
          <t>Mon</t>
        </is>
      </c>
      <c r="D131" s="256" t="n">
        <v>2042</v>
      </c>
      <c r="E131" s="49" t="n">
        <v>2573</v>
      </c>
      <c r="F131" s="50">
        <f>IFERROR(D131+E131+G131+U131+Y131,0)</f>
        <v>5580.0</v>
      </c>
      <c r="G131" s="257" t="n">
        <v>965</v>
      </c>
      <c r="H131" s="258">
        <f>SUMIFS('💸 Expenses'!$F$8:$F$5000,'💸 Expenses'!$B$8:$B$5000,"&gt;="&amp;B131,'💸 Expenses'!$B$8:$B$5000,"&lt;"&amp;(B131+1))</f>
        <v>29005.68</v>
      </c>
      <c r="I131" s="259">
        <f>IFERROR(F131-H131,0)</f>
        <v>-23425.68</v>
      </c>
      <c r="J131" s="260">
        <f>IFERROR(I131/F131,0)</f>
        <v>-4.198151</v>
      </c>
      <c r="K131" s="254" t="n"/>
      <c r="L131" s="261" t="inlineStr">
        <is>
          <t>Cierre via loka.py</t>
        </is>
      </c>
      <c r="M131" s="291" t="n"/>
      <c r="N131" s="292" t="n"/>
      <c r="O131" s="293" t="n"/>
      <c r="P131" s="294" t="n"/>
      <c r="Q131" s="292" t="n"/>
      <c r="R131" s="443">
        <f>IFERROR(D131*$T$7,0)</f>
        <v>82.91</v>
      </c>
      <c r="S131" s="292" t="n"/>
      <c r="T131" s="292" t="n"/>
      <c r="U131" s="443" t="n">
        <v>0</v>
      </c>
      <c r="V131" s="443" t="n">
        <v>0</v>
      </c>
      <c r="W131" s="292" t="n"/>
      <c r="X131" s="292" t="n"/>
      <c r="Y131" s="443" t="n">
        <v>0</v>
      </c>
      <c r="Z131" s="443" t="n">
        <v>0</v>
      </c>
      <c r="AA131" s="292" t="n"/>
      <c r="AB131" s="292" t="n"/>
    </row>
    <row r="132" ht="16.5" customHeight="1" s="331">
      <c r="B132" s="427" t="n">
        <v>46301</v>
      </c>
      <c r="C132" s="270" t="inlineStr">
        <is>
          <t>Tue</t>
        </is>
      </c>
      <c r="D132" s="271" t="n">
        <v>1285</v>
      </c>
      <c r="E132" s="37" t="n">
        <v>2200</v>
      </c>
      <c r="F132" s="38">
        <f>IFERROR(D132+E132+G132+U132+Y132,0)</f>
        <v>4325.0</v>
      </c>
      <c r="G132" s="272" t="n">
        <v>840</v>
      </c>
      <c r="H132" s="273">
        <f>SUMIFS('💸 Expenses'!$F$8:$F$5000,'💸 Expenses'!$B$8:$B$5000,"&gt;="&amp;B132,'💸 Expenses'!$B$8:$B$5000,"&lt;"&amp;(B132+1))</f>
        <v>5081.0</v>
      </c>
      <c r="I132" s="274">
        <f>IFERROR(F132-H132,0)</f>
        <v>-756.0</v>
      </c>
      <c r="J132" s="275">
        <f>IFERROR(I132/F132,0)</f>
        <v>-0.174798</v>
      </c>
      <c r="K132" s="250" t="n"/>
      <c r="L132" s="276" t="inlineStr">
        <is>
          <t>Cierre via loka.py</t>
        </is>
      </c>
      <c r="M132" s="323" t="n"/>
      <c r="N132" s="324" t="n"/>
      <c r="O132" s="325" t="n"/>
      <c r="P132" s="326" t="n"/>
      <c r="Q132" s="324" t="n"/>
      <c r="R132" s="428">
        <f>IFERROR(D132*$T$7,0)</f>
        <v>52.17</v>
      </c>
      <c r="S132" s="324" t="n"/>
      <c r="T132" s="324" t="n"/>
      <c r="U132" s="428" t="n">
        <v>0</v>
      </c>
      <c r="V132" s="428" t="n">
        <v>0</v>
      </c>
      <c r="W132" s="324" t="n"/>
      <c r="X132" s="324" t="n"/>
      <c r="Y132" s="428" t="n">
        <v>0</v>
      </c>
      <c r="Z132" s="428" t="n">
        <v>0</v>
      </c>
      <c r="AA132" s="324" t="n"/>
      <c r="AB132" s="324" t="n"/>
    </row>
    <row r="133" ht="16.5" customHeight="1" s="331">
      <c r="B133" s="427" t="n">
        <v>46302</v>
      </c>
      <c r="C133" s="255" t="inlineStr">
        <is>
          <t>Wed</t>
        </is>
      </c>
      <c r="D133" s="256" t="n">
        <v>360</v>
      </c>
      <c r="E133" s="49" t="n">
        <v>1095</v>
      </c>
      <c r="F133" s="50">
        <f>IFERROR(D133+E133+G133+U133+Y133,0)</f>
        <v>1455.0</v>
      </c>
      <c r="G133" s="257" t="n">
        <v>0</v>
      </c>
      <c r="H133" s="258">
        <f>SUMIFS('💸 Expenses'!$F$8:$F$5000,'💸 Expenses'!$B$8:$B$5000,"&gt;="&amp;B133,'💸 Expenses'!$B$8:$B$5000,"&lt;"&amp;(B133+1))</f>
        <v>1085.0</v>
      </c>
      <c r="I133" s="259">
        <f>IFERROR(F133-H133,0)</f>
        <v>370.0</v>
      </c>
      <c r="J133" s="260">
        <f>IFERROR(I133/F133,0)</f>
        <v>0.254296</v>
      </c>
      <c r="K133" s="254" t="n"/>
      <c r="L133" s="261" t="inlineStr">
        <is>
          <t>Cierre via loka.py</t>
        </is>
      </c>
      <c r="M133" s="291" t="n"/>
      <c r="N133" s="292" t="n"/>
      <c r="O133" s="293" t="n"/>
      <c r="P133" s="294" t="n"/>
      <c r="Q133" s="292" t="n"/>
      <c r="R133" s="443">
        <f>IFERROR(D133*$T$7,0)</f>
        <v>14.62</v>
      </c>
      <c r="S133" s="292" t="n"/>
      <c r="T133" s="292" t="n"/>
      <c r="U133" s="443" t="n">
        <v>0</v>
      </c>
      <c r="V133" s="443" t="n">
        <v>0</v>
      </c>
      <c r="W133" s="292" t="n"/>
      <c r="X133" s="292" t="n"/>
      <c r="Y133" s="443" t="n">
        <v>0</v>
      </c>
      <c r="Z133" s="443" t="n">
        <v>0</v>
      </c>
      <c r="AA133" s="292" t="n"/>
      <c r="AB133" s="292" t="n"/>
    </row>
    <row r="134" ht="16.5" customHeight="1" s="331">
      <c r="B134" s="427" t="n">
        <v>46303</v>
      </c>
      <c r="C134" s="270" t="inlineStr">
        <is>
          <t>Thu</t>
        </is>
      </c>
      <c r="D134" s="271" t="n">
        <v>1565</v>
      </c>
      <c r="E134" s="37" t="n">
        <v>1015</v>
      </c>
      <c r="F134" s="38">
        <f>IFERROR(D134+E134+G134+U134+Y134,0)</f>
        <v>2665.0</v>
      </c>
      <c r="G134" s="272" t="n">
        <v>85</v>
      </c>
      <c r="H134" s="273">
        <f>SUMIFS('💸 Expenses'!$F$8:$F$5000,'💸 Expenses'!$B$8:$B$5000,"&gt;="&amp;B134,'💸 Expenses'!$B$8:$B$5000,"&lt;"&amp;(B134+1))</f>
        <v>296.0</v>
      </c>
      <c r="I134" s="274">
        <f>IFERROR(F134-H134,0)</f>
        <v>2369.0</v>
      </c>
      <c r="J134" s="275">
        <f>IFERROR(I134/F134,0)</f>
        <v>0.888931</v>
      </c>
      <c r="K134" s="250" t="n"/>
      <c r="L134" s="276" t="inlineStr">
        <is>
          <t>Cierre via loka.py</t>
        </is>
      </c>
      <c r="M134" s="323" t="n"/>
      <c r="N134" s="324" t="n"/>
      <c r="O134" s="325" t="n"/>
      <c r="P134" s="326" t="n"/>
      <c r="Q134" s="324" t="n"/>
      <c r="R134" s="428">
        <f>IFERROR(D134*$T$7,0)</f>
        <v>63.54</v>
      </c>
      <c r="S134" s="324" t="n"/>
      <c r="T134" s="324" t="n"/>
      <c r="U134" s="428" t="n">
        <v>0</v>
      </c>
      <c r="V134" s="428" t="n">
        <v>0</v>
      </c>
      <c r="W134" s="324" t="n"/>
      <c r="X134" s="324" t="n"/>
      <c r="Y134" s="428" t="n">
        <v>0</v>
      </c>
      <c r="Z134" s="428" t="n">
        <v>0</v>
      </c>
      <c r="AA134" s="324" t="n"/>
      <c r="AB134" s="324" t="n"/>
    </row>
    <row r="135" ht="16.5" customHeight="1" s="331">
      <c r="B135" s="427" t="n">
        <v>46304</v>
      </c>
      <c r="C135" s="255" t="inlineStr">
        <is>
          <t>Fri</t>
        </is>
      </c>
      <c r="D135" s="256" t="n">
        <v>2871</v>
      </c>
      <c r="E135" s="49" t="n">
        <v>1479</v>
      </c>
      <c r="F135" s="50">
        <f>IFERROR(D135+E135+G135+U135+Y135,0)</f>
        <v>4480.0</v>
      </c>
      <c r="G135" s="257" t="n">
        <v>130</v>
      </c>
      <c r="H135" s="258">
        <f>SUMIFS('💸 Expenses'!$F$8:$F$5000,'💸 Expenses'!$B$8:$B$5000,"&gt;="&amp;B135,'💸 Expenses'!$B$8:$B$5000,"&lt;"&amp;(B135+1))</f>
        <v>1460.0</v>
      </c>
      <c r="I135" s="259">
        <f>IFERROR(F135-H135,0)</f>
        <v>3020.0</v>
      </c>
      <c r="J135" s="260">
        <f>IFERROR(I135/F135,0)</f>
        <v>0.674107</v>
      </c>
      <c r="K135" s="254" t="n"/>
      <c r="L135" s="261" t="inlineStr">
        <is>
          <t>Cierre via loka.py</t>
        </is>
      </c>
      <c r="M135" s="291" t="n"/>
      <c r="N135" s="292" t="n"/>
      <c r="O135" s="293" t="n"/>
      <c r="P135" s="294" t="n"/>
      <c r="Q135" s="292" t="n"/>
      <c r="R135" s="443">
        <f>IFERROR(D135*$T$7,0)</f>
        <v>116.56</v>
      </c>
      <c r="S135" s="292" t="n"/>
      <c r="T135" s="292" t="n"/>
      <c r="U135" s="443" t="n">
        <v>0</v>
      </c>
      <c r="V135" s="443" t="n">
        <v>0</v>
      </c>
      <c r="W135" s="292" t="n"/>
      <c r="X135" s="292" t="n"/>
      <c r="Y135" s="443" t="n">
        <v>0</v>
      </c>
      <c r="Z135" s="443" t="n">
        <v>0</v>
      </c>
      <c r="AA135" s="292" t="n"/>
      <c r="AB135" s="292" t="n"/>
    </row>
    <row r="136" ht="16.5" customHeight="1" s="331">
      <c r="B136" s="427" t="n">
        <v>46305</v>
      </c>
      <c r="C136" s="270" t="inlineStr">
        <is>
          <t>Sat</t>
        </is>
      </c>
      <c r="D136" s="271" t="n">
        <v>1140</v>
      </c>
      <c r="E136" s="37" t="n">
        <v>1900</v>
      </c>
      <c r="F136" s="38">
        <f>IFERROR(D136+E136+G136+U136+Y136,0)</f>
        <v>3260.0</v>
      </c>
      <c r="G136" s="272" t="n">
        <v>220</v>
      </c>
      <c r="H136" s="273">
        <f>SUMIFS('💸 Expenses'!$F$8:$F$5000,'💸 Expenses'!$B$8:$B$5000,"&gt;="&amp;B136,'💸 Expenses'!$B$8:$B$5000,"&lt;"&amp;(B136+1))</f>
        <v>13069.0</v>
      </c>
      <c r="I136" s="274">
        <f>IFERROR(F136-H136,0)</f>
        <v>-9809.0</v>
      </c>
      <c r="J136" s="275">
        <f>IFERROR(I136/F136,0)</f>
        <v>-3.008896</v>
      </c>
      <c r="K136" s="250" t="n"/>
      <c r="L136" s="276" t="inlineStr">
        <is>
          <t>Cierre via loka.py</t>
        </is>
      </c>
      <c r="M136" s="323" t="n"/>
      <c r="N136" s="324" t="n"/>
      <c r="O136" s="325" t="n"/>
      <c r="P136" s="326" t="n"/>
      <c r="Q136" s="324" t="n"/>
      <c r="R136" s="428">
        <f>IFERROR(D136*$T$7,0)</f>
        <v>46.28</v>
      </c>
      <c r="S136" s="324" t="n"/>
      <c r="T136" s="324" t="n"/>
      <c r="U136" s="428" t="n">
        <v>0</v>
      </c>
      <c r="V136" s="428" t="n">
        <v>0</v>
      </c>
      <c r="W136" s="324" t="n"/>
      <c r="X136" s="324" t="n"/>
      <c r="Y136" s="428" t="n">
        <v>0</v>
      </c>
      <c r="Z136" s="428" t="n">
        <v>0</v>
      </c>
      <c r="AA136" s="324" t="n"/>
      <c r="AB136" s="324" t="n"/>
    </row>
    <row r="137" ht="16.5" customHeight="1" s="331">
      <c r="B137" s="427" t="n">
        <v>46307</v>
      </c>
      <c r="C137" s="255" t="inlineStr">
        <is>
          <t>Mon</t>
        </is>
      </c>
      <c r="D137" s="256" t="n">
        <v>1990</v>
      </c>
      <c r="E137" s="49" t="n">
        <v>2855</v>
      </c>
      <c r="F137" s="50">
        <f>IFERROR(D137+E137+G137+U137+Y137,0)</f>
        <v>4930.0</v>
      </c>
      <c r="G137" s="257" t="n">
        <v>85</v>
      </c>
      <c r="H137" s="258">
        <f>SUMIFS('💸 Expenses'!$F$8:$F$5000,'💸 Expenses'!$B$8:$B$5000,"&gt;="&amp;B137,'💸 Expenses'!$B$8:$B$5000,"&lt;"&amp;(B137+1))</f>
        <v>3040.0</v>
      </c>
      <c r="I137" s="259">
        <f>IFERROR(F137-H137,0)</f>
        <v>1890.0</v>
      </c>
      <c r="J137" s="260">
        <f>IFERROR(I137/F137,0)</f>
        <v>0.383367</v>
      </c>
      <c r="K137" s="254" t="n"/>
      <c r="L137" s="261" t="inlineStr">
        <is>
          <t>Cierre via loka.py</t>
        </is>
      </c>
      <c r="M137" s="291" t="n"/>
      <c r="N137" s="292" t="n"/>
      <c r="O137" s="293" t="n"/>
      <c r="P137" s="294" t="n"/>
      <c r="Q137" s="292" t="n"/>
      <c r="R137" s="443">
        <f>IFERROR(D137*$T$7,0)</f>
        <v>80.79</v>
      </c>
      <c r="S137" s="292" t="n"/>
      <c r="T137" s="292" t="n"/>
      <c r="U137" s="443" t="n">
        <v>0</v>
      </c>
      <c r="V137" s="443" t="n">
        <v>0</v>
      </c>
      <c r="W137" s="292" t="n"/>
      <c r="X137" s="292" t="n"/>
      <c r="Y137" s="443" t="n">
        <v>0</v>
      </c>
      <c r="Z137" s="443" t="n">
        <v>0</v>
      </c>
      <c r="AA137" s="292" t="n"/>
      <c r="AB137" s="292" t="n"/>
    </row>
    <row r="138" ht="16.5" customHeight="1" s="331">
      <c r="B138" s="427" t="n">
        <v>46308</v>
      </c>
      <c r="C138" s="270" t="inlineStr">
        <is>
          <t>Tue</t>
        </is>
      </c>
      <c r="D138" s="271" t="n">
        <v>2525</v>
      </c>
      <c r="E138" s="37" t="n">
        <v>1790</v>
      </c>
      <c r="F138" s="38">
        <f>IFERROR(D138+E138+G138+U138+Y138,0)</f>
        <v>4435.0</v>
      </c>
      <c r="G138" s="272" t="n">
        <v>120</v>
      </c>
      <c r="H138" s="273">
        <f>SUMIFS('💸 Expenses'!$F$8:$F$5000,'💸 Expenses'!$B$8:$B$5000,"&gt;="&amp;B138,'💸 Expenses'!$B$8:$B$5000,"&lt;"&amp;(B138+1))</f>
        <v>1389.0</v>
      </c>
      <c r="I138" s="274">
        <f>IFERROR(F138-H138,0)</f>
        <v>3046.0</v>
      </c>
      <c r="J138" s="275">
        <f>IFERROR(I138/F138,0)</f>
        <v>0.686809</v>
      </c>
      <c r="K138" s="250" t="n"/>
      <c r="L138" s="276" t="inlineStr">
        <is>
          <t>Cierre via loka.py</t>
        </is>
      </c>
      <c r="M138" s="323" t="n"/>
      <c r="N138" s="324" t="n"/>
      <c r="O138" s="325" t="n"/>
      <c r="P138" s="326" t="n"/>
      <c r="Q138" s="324" t="n"/>
      <c r="R138" s="428">
        <f>IFERROR(D138*$T$7,0)</f>
        <v>102.51</v>
      </c>
      <c r="S138" s="324" t="n"/>
      <c r="T138" s="324" t="n"/>
      <c r="U138" s="428" t="n">
        <v>0</v>
      </c>
      <c r="V138" s="428" t="n">
        <v>0</v>
      </c>
      <c r="W138" s="324" t="n"/>
      <c r="X138" s="324" t="n"/>
      <c r="Y138" s="428" t="n">
        <v>0</v>
      </c>
      <c r="Z138" s="428" t="n">
        <v>0</v>
      </c>
      <c r="AA138" s="324" t="n"/>
      <c r="AB138" s="324" t="n"/>
    </row>
    <row r="139" ht="16.5" customHeight="1" s="331">
      <c r="B139" s="427" t="n">
        <v>46309</v>
      </c>
      <c r="C139" s="255" t="inlineStr">
        <is>
          <t>Wed</t>
        </is>
      </c>
      <c r="D139" s="256" t="n">
        <v>925</v>
      </c>
      <c r="E139" s="49" t="n">
        <v>1345</v>
      </c>
      <c r="F139" s="50">
        <f>IFERROR(D139+E139+G139+U139+Y139,0)</f>
        <v>2270.0</v>
      </c>
      <c r="G139" s="257" t="n">
        <v>0</v>
      </c>
      <c r="H139" s="258">
        <f>SUMIFS('💸 Expenses'!$F$8:$F$5000,'💸 Expenses'!$B$8:$B$5000,"&gt;="&amp;B139,'💸 Expenses'!$B$8:$B$5000,"&lt;"&amp;(B139+1))</f>
        <v>481.0</v>
      </c>
      <c r="I139" s="259">
        <f>IFERROR(F139-H139,0)</f>
        <v>1789.0</v>
      </c>
      <c r="J139" s="260">
        <f>IFERROR(I139/F139,0)</f>
        <v>0.788106</v>
      </c>
      <c r="K139" s="254" t="n"/>
      <c r="L139" s="261" t="inlineStr">
        <is>
          <t>Cierre via loka.py</t>
        </is>
      </c>
      <c r="M139" s="291" t="n"/>
      <c r="N139" s="292" t="n"/>
      <c r="O139" s="293" t="n"/>
      <c r="P139" s="294" t="n"/>
      <c r="Q139" s="292" t="n"/>
      <c r="R139" s="443">
        <f>IFERROR(D139*$T$7,0)</f>
        <v>37.55</v>
      </c>
      <c r="S139" s="292" t="n"/>
      <c r="T139" s="292" t="n"/>
      <c r="U139" s="443" t="n">
        <v>0</v>
      </c>
      <c r="V139" s="443" t="n">
        <v>0</v>
      </c>
      <c r="W139" s="292" t="n"/>
      <c r="X139" s="292" t="n"/>
      <c r="Y139" s="443" t="n">
        <v>0</v>
      </c>
      <c r="Z139" s="443" t="n">
        <v>0</v>
      </c>
      <c r="AA139" s="292" t="n"/>
      <c r="AB139" s="292" t="n"/>
    </row>
    <row r="140" ht="16.5" customHeight="1" s="331">
      <c r="B140" s="427" t="n">
        <v>46310</v>
      </c>
      <c r="C140" s="270" t="inlineStr">
        <is>
          <t>Thu</t>
        </is>
      </c>
      <c r="D140" s="271" t="n">
        <v>2625</v>
      </c>
      <c r="E140" s="37" t="n">
        <v>1350</v>
      </c>
      <c r="F140" s="38">
        <f>IFERROR(D140+E140+G140+U140+Y140,0)</f>
        <v>3975.0</v>
      </c>
      <c r="G140" s="272" t="n">
        <v>0</v>
      </c>
      <c r="H140" s="273">
        <f>SUMIFS('💸 Expenses'!$F$8:$F$5000,'💸 Expenses'!$B$8:$B$5000,"&gt;="&amp;B140,'💸 Expenses'!$B$8:$B$5000,"&lt;"&amp;(B140+1))</f>
        <v>2075.0</v>
      </c>
      <c r="I140" s="274">
        <f>IFERROR(F140-H140,0)</f>
        <v>1900.0</v>
      </c>
      <c r="J140" s="275">
        <f>IFERROR(I140/F140,0)</f>
        <v>0.477987</v>
      </c>
      <c r="K140" s="250" t="n"/>
      <c r="L140" s="276" t="inlineStr">
        <is>
          <t>Cierre via loka.py</t>
        </is>
      </c>
      <c r="M140" s="323" t="n"/>
      <c r="N140" s="324" t="n"/>
      <c r="O140" s="325" t="n"/>
      <c r="P140" s="326" t="n"/>
      <c r="Q140" s="324" t="n"/>
      <c r="R140" s="428">
        <f>IFERROR(D140*$T$7,0)</f>
        <v>106.57</v>
      </c>
      <c r="S140" s="324" t="n"/>
      <c r="T140" s="324" t="n"/>
      <c r="U140" s="428" t="n">
        <v>0</v>
      </c>
      <c r="V140" s="428" t="n">
        <v>0</v>
      </c>
      <c r="W140" s="324" t="n"/>
      <c r="X140" s="324" t="n"/>
      <c r="Y140" s="428" t="n">
        <v>0</v>
      </c>
      <c r="Z140" s="428" t="n">
        <v>0</v>
      </c>
      <c r="AA140" s="324" t="n"/>
      <c r="AB140" s="324" t="n"/>
    </row>
    <row r="141" ht="16.5" customHeight="1" s="331">
      <c r="B141" s="427" t="n">
        <v>46311</v>
      </c>
      <c r="C141" s="255" t="inlineStr">
        <is>
          <t>Fri</t>
        </is>
      </c>
      <c r="D141" s="256" t="n">
        <v>2145</v>
      </c>
      <c r="E141" s="49" t="n">
        <v>3680</v>
      </c>
      <c r="F141" s="50">
        <f>IFERROR(D141+E141+G141+U141+Y141,0)</f>
        <v>5825.0</v>
      </c>
      <c r="G141" s="257" t="n">
        <v>0</v>
      </c>
      <c r="H141" s="258">
        <f>SUMIFS('💸 Expenses'!$F$8:$F$5000,'💸 Expenses'!$B$8:$B$5000,"&gt;="&amp;B141,'💸 Expenses'!$B$8:$B$5000,"&lt;"&amp;(B141+1))</f>
        <v>1420.0</v>
      </c>
      <c r="I141" s="259">
        <f>IFERROR(F141-H141,0)</f>
        <v>4405.0</v>
      </c>
      <c r="J141" s="260">
        <f>IFERROR(I141/F141,0)</f>
        <v>0.756223</v>
      </c>
      <c r="K141" s="254" t="n"/>
      <c r="L141" s="261" t="inlineStr">
        <is>
          <t>Cierre via loka.py</t>
        </is>
      </c>
      <c r="M141" s="291" t="n"/>
      <c r="N141" s="292" t="n"/>
      <c r="O141" s="293" t="n"/>
      <c r="P141" s="294" t="n"/>
      <c r="Q141" s="292" t="n"/>
      <c r="R141" s="443">
        <f>IFERROR(D141*$T$7,0)</f>
        <v>87.09</v>
      </c>
      <c r="S141" s="292" t="n"/>
      <c r="T141" s="292" t="n"/>
      <c r="U141" s="443" t="n">
        <v>0</v>
      </c>
      <c r="V141" s="443" t="n">
        <v>0</v>
      </c>
      <c r="W141" s="292" t="n"/>
      <c r="X141" s="292" t="n"/>
      <c r="Y141" s="443" t="n">
        <v>0</v>
      </c>
      <c r="Z141" s="443" t="n">
        <v>0</v>
      </c>
      <c r="AA141" s="292" t="n"/>
      <c r="AB141" s="292" t="n"/>
    </row>
    <row r="142" ht="16.5" customHeight="1" s="331">
      <c r="B142" s="427" t="n">
        <v>46312</v>
      </c>
      <c r="C142" s="270" t="inlineStr">
        <is>
          <t>Sat</t>
        </is>
      </c>
      <c r="D142" s="271" t="n">
        <v>2425</v>
      </c>
      <c r="E142" s="37" t="n">
        <v>2090</v>
      </c>
      <c r="F142" s="38">
        <f>IFERROR(D142+E142+G142+U142+Y142,0)</f>
        <v>4515.0</v>
      </c>
      <c r="G142" s="272" t="n">
        <v>0</v>
      </c>
      <c r="H142" s="273">
        <f>SUMIFS('💸 Expenses'!$F$8:$F$5000,'💸 Expenses'!$B$8:$B$5000,"&gt;="&amp;B142,'💸 Expenses'!$B$8:$B$5000,"&lt;"&amp;(B142+1))</f>
        <v>7037.0</v>
      </c>
      <c r="I142" s="274">
        <f>IFERROR(F142-H142,0)</f>
        <v>-2522.0</v>
      </c>
      <c r="J142" s="275">
        <f>IFERROR(I142/F142,0)</f>
        <v>-0.558583</v>
      </c>
      <c r="K142" s="250" t="n"/>
      <c r="L142" s="276" t="inlineStr">
        <is>
          <t>Cierre via loka.py</t>
        </is>
      </c>
      <c r="M142" s="323" t="n"/>
      <c r="N142" s="324" t="n"/>
      <c r="O142" s="325" t="n"/>
      <c r="P142" s="326" t="n"/>
      <c r="Q142" s="324" t="n"/>
      <c r="R142" s="428">
        <f>IFERROR(D142*$T$7,0)</f>
        <v>98.45</v>
      </c>
      <c r="S142" s="324" t="n"/>
      <c r="T142" s="324" t="n"/>
      <c r="U142" s="428" t="n">
        <v>0</v>
      </c>
      <c r="V142" s="428" t="n">
        <v>0</v>
      </c>
      <c r="W142" s="324" t="n"/>
      <c r="X142" s="324" t="n"/>
      <c r="Y142" s="428" t="n">
        <v>0</v>
      </c>
      <c r="Z142" s="428" t="n">
        <v>0</v>
      </c>
      <c r="AA142" s="324" t="n"/>
      <c r="AB142" s="324" t="n"/>
    </row>
    <row r="143" ht="16.5" customHeight="1" s="331">
      <c r="B143" s="427" t="n">
        <v>46314</v>
      </c>
      <c r="C143" s="255" t="inlineStr">
        <is>
          <t>Mon</t>
        </is>
      </c>
      <c r="D143" s="256" t="n">
        <v>3035</v>
      </c>
      <c r="E143" s="49" t="n">
        <v>2650</v>
      </c>
      <c r="F143" s="50">
        <f>IFERROR(D143+E143+G143+U143+Y143,0)</f>
        <v>5685.0</v>
      </c>
      <c r="G143" s="257" t="n">
        <v>0</v>
      </c>
      <c r="H143" s="258">
        <f>SUMIFS('💸 Expenses'!$F$8:$F$5000,'💸 Expenses'!$B$8:$B$5000,"&gt;="&amp;B143,'💸 Expenses'!$B$8:$B$5000,"&lt;"&amp;(B143+1))</f>
        <v>1402.0</v>
      </c>
      <c r="I143" s="259">
        <f>IFERROR(F143-H143,0)</f>
        <v>4283.0</v>
      </c>
      <c r="J143" s="260">
        <f>IFERROR(I143/F143,0)</f>
        <v>0.753386</v>
      </c>
      <c r="K143" s="254" t="n"/>
      <c r="L143" s="261" t="inlineStr">
        <is>
          <t>Cierre via loka.py</t>
        </is>
      </c>
      <c r="M143" s="291" t="n"/>
      <c r="N143" s="292" t="n"/>
      <c r="O143" s="293" t="n"/>
      <c r="P143" s="294" t="n"/>
      <c r="Q143" s="292" t="n"/>
      <c r="R143" s="443">
        <f>IFERROR(D143*$T$7,0)</f>
        <v>123.22</v>
      </c>
      <c r="S143" s="292" t="n"/>
      <c r="T143" s="292" t="n"/>
      <c r="U143" s="443" t="n">
        <v>0</v>
      </c>
      <c r="V143" s="443" t="n">
        <v>0</v>
      </c>
      <c r="W143" s="292" t="n"/>
      <c r="X143" s="292" t="n"/>
      <c r="Y143" s="443" t="n">
        <v>0</v>
      </c>
      <c r="Z143" s="443" t="n">
        <v>0</v>
      </c>
      <c r="AA143" s="292" t="n"/>
      <c r="AB143" s="292" t="n"/>
    </row>
    <row r="144" ht="16.5" customHeight="1" s="331">
      <c r="B144" s="427" t="n">
        <v>46315</v>
      </c>
      <c r="C144" s="270" t="inlineStr">
        <is>
          <t>Tue</t>
        </is>
      </c>
      <c r="D144" s="271" t="n">
        <v>2565</v>
      </c>
      <c r="E144" s="37" t="n">
        <v>1830</v>
      </c>
      <c r="F144" s="38">
        <f>IFERROR(D144+E144+G144+U144+Y144,0)</f>
        <v>4395.0</v>
      </c>
      <c r="G144" s="272" t="n">
        <v>0</v>
      </c>
      <c r="H144" s="273">
        <f>SUMIFS('💸 Expenses'!$F$8:$F$5000,'💸 Expenses'!$B$8:$B$5000,"&gt;="&amp;B144,'💸 Expenses'!$B$8:$B$5000,"&lt;"&amp;(B144+1))</f>
        <v>11580.0</v>
      </c>
      <c r="I144" s="274">
        <f>IFERROR(F144-H144,0)</f>
        <v>-7185.0</v>
      </c>
      <c r="J144" s="275">
        <f>IFERROR(I144/F144,0)</f>
        <v>-1.634812</v>
      </c>
      <c r="K144" s="250" t="n"/>
      <c r="L144" s="276" t="inlineStr">
        <is>
          <t>Cierre via loka.py</t>
        </is>
      </c>
      <c r="M144" s="323" t="n"/>
      <c r="N144" s="324" t="n"/>
      <c r="O144" s="325" t="n"/>
      <c r="P144" s="326" t="n"/>
      <c r="Q144" s="324" t="n"/>
      <c r="R144" s="428">
        <f>IFERROR(D144*$T$7,0)</f>
        <v>104.14</v>
      </c>
      <c r="S144" s="324" t="n"/>
      <c r="T144" s="324" t="n"/>
      <c r="U144" s="428" t="n">
        <v>0</v>
      </c>
      <c r="V144" s="428" t="n">
        <v>0</v>
      </c>
      <c r="W144" s="324" t="n"/>
      <c r="X144" s="324" t="n"/>
      <c r="Y144" s="428" t="n">
        <v>0</v>
      </c>
      <c r="Z144" s="428" t="n">
        <v>0</v>
      </c>
      <c r="AA144" s="324" t="n"/>
      <c r="AB144" s="324" t="n"/>
    </row>
    <row r="145" ht="16.5" customHeight="1" s="331">
      <c r="B145" s="427" t="n">
        <v>46316</v>
      </c>
      <c r="C145" s="255" t="inlineStr">
        <is>
          <t>Wed</t>
        </is>
      </c>
      <c r="D145" s="256" t="n">
        <v>2665</v>
      </c>
      <c r="E145" s="49" t="n">
        <v>2285</v>
      </c>
      <c r="F145" s="50">
        <f>IFERROR(D145+E145+G145+U145+Y145,0)</f>
        <v>4950.0</v>
      </c>
      <c r="G145" s="257" t="n">
        <v>0</v>
      </c>
      <c r="H145" s="258">
        <f>SUMIFS('💸 Expenses'!$F$8:$F$5000,'💸 Expenses'!$B$8:$B$5000,"&gt;="&amp;B145,'💸 Expenses'!$B$8:$B$5000,"&lt;"&amp;(B145+1))</f>
        <v>3501.0</v>
      </c>
      <c r="I145" s="259">
        <f>IFERROR(F145-H145,0)</f>
        <v>1449.0</v>
      </c>
      <c r="J145" s="260">
        <f>IFERROR(I145/F145,0)</f>
        <v>0.292727</v>
      </c>
      <c r="K145" s="254" t="n"/>
      <c r="L145" s="261" t="inlineStr">
        <is>
          <t>Cierre via loka.py</t>
        </is>
      </c>
      <c r="M145" s="291" t="n"/>
      <c r="N145" s="292" t="n"/>
      <c r="O145" s="293" t="n"/>
      <c r="P145" s="294" t="n"/>
      <c r="Q145" s="292" t="n"/>
      <c r="R145" s="443">
        <f>IFERROR(D145*$T$7,0)</f>
        <v>108.2</v>
      </c>
      <c r="S145" s="292" t="n"/>
      <c r="T145" s="292" t="n"/>
      <c r="U145" s="443" t="n">
        <v>0</v>
      </c>
      <c r="V145" s="443" t="n">
        <v>0</v>
      </c>
      <c r="W145" s="292" t="n"/>
      <c r="X145" s="292" t="n"/>
      <c r="Y145" s="443" t="n">
        <v>0</v>
      </c>
      <c r="Z145" s="443" t="n">
        <v>0</v>
      </c>
      <c r="AA145" s="292" t="n"/>
      <c r="AB145" s="292" t="n"/>
    </row>
    <row r="146" ht="16.5" customHeight="1" s="331">
      <c r="B146" s="427" t="n">
        <v>46317</v>
      </c>
      <c r="C146" s="270" t="inlineStr">
        <is>
          <t>Thu</t>
        </is>
      </c>
      <c r="D146" s="271" t="n">
        <v>1895</v>
      </c>
      <c r="E146" s="37" t="n">
        <v>1365</v>
      </c>
      <c r="F146" s="38">
        <f>IFERROR(D146+E146+G146+U146+Y146,0)</f>
        <v>4690.0</v>
      </c>
      <c r="G146" s="272" t="n">
        <v>0</v>
      </c>
      <c r="H146" s="273">
        <f>SUMIFS('💸 Expenses'!$F$8:$F$5000,'💸 Expenses'!$B$8:$B$5000,"&gt;="&amp;B146,'💸 Expenses'!$B$8:$B$5000,"&lt;"&amp;(B146+1))</f>
        <v>1294.0</v>
      </c>
      <c r="I146" s="274">
        <f>IFERROR(F146-H146,0)</f>
        <v>3396.0</v>
      </c>
      <c r="J146" s="275">
        <f>IFERROR(I146/F146,0)</f>
        <v>0.724094</v>
      </c>
      <c r="K146" s="250" t="n"/>
      <c r="L146" s="276" t="inlineStr">
        <is>
          <t>Cierre via loka.py</t>
        </is>
      </c>
      <c r="M146" s="323" t="n"/>
      <c r="N146" s="324" t="n"/>
      <c r="O146" s="325" t="n"/>
      <c r="P146" s="326" t="n"/>
      <c r="Q146" s="324" t="n"/>
      <c r="R146" s="428">
        <f>IFERROR(D146*$T$7,0)</f>
        <v>76.94</v>
      </c>
      <c r="S146" s="324" t="n"/>
      <c r="T146" s="324" t="n"/>
      <c r="U146" s="428" t="n">
        <v>0</v>
      </c>
      <c r="V146" s="428" t="n">
        <v>0</v>
      </c>
      <c r="W146" s="324" t="n"/>
      <c r="X146" s="324" t="n"/>
      <c r="Y146" s="428" t="n">
        <v>1430</v>
      </c>
      <c r="Z146" s="428" t="n">
        <v>27.17</v>
      </c>
      <c r="AA146" s="324" t="n"/>
      <c r="AB146" s="324" t="n"/>
    </row>
    <row r="147" ht="16.5" customHeight="1" s="331">
      <c r="B147" s="427" t="n">
        <v>46318</v>
      </c>
      <c r="C147" s="255" t="inlineStr">
        <is>
          <t>Fri</t>
        </is>
      </c>
      <c r="D147" s="256" t="n">
        <v>2155</v>
      </c>
      <c r="E147" s="49" t="n">
        <v>2455</v>
      </c>
      <c r="F147" s="50">
        <f>IFERROR(D147+E147+G147+U147+Y147,0)</f>
        <v>7170.0</v>
      </c>
      <c r="G147" s="257" t="n">
        <v>0</v>
      </c>
      <c r="H147" s="258">
        <f>SUMIFS('💸 Expenses'!$F$8:$F$5000,'💸 Expenses'!$B$8:$B$5000,"&gt;="&amp;B147,'💸 Expenses'!$B$8:$B$5000,"&lt;"&amp;(B147+1))</f>
        <v>2619.0</v>
      </c>
      <c r="I147" s="259">
        <f>IFERROR(F147-H147,0)</f>
        <v>4551.0</v>
      </c>
      <c r="J147" s="260">
        <f>IFERROR(I147/F147,0)</f>
        <v>0.634728</v>
      </c>
      <c r="K147" s="254" t="n"/>
      <c r="L147" s="261" t="inlineStr">
        <is>
          <t>Cierre via loka.py</t>
        </is>
      </c>
      <c r="M147" s="291" t="n"/>
      <c r="N147" s="292" t="n"/>
      <c r="O147" s="293" t="n"/>
      <c r="P147" s="294" t="n"/>
      <c r="Q147" s="292" t="n"/>
      <c r="R147" s="443">
        <f>IFERROR(D147*$T$7,0)</f>
        <v>87.49</v>
      </c>
      <c r="S147" s="292" t="n"/>
      <c r="T147" s="292" t="n"/>
      <c r="U147" s="443" t="n">
        <v>0</v>
      </c>
      <c r="V147" s="443" t="n">
        <v>0</v>
      </c>
      <c r="W147" s="292" t="n"/>
      <c r="X147" s="292" t="n"/>
      <c r="Y147" s="443" t="n">
        <v>2560</v>
      </c>
      <c r="Z147" s="443" t="n">
        <v>48.64</v>
      </c>
      <c r="AA147" s="292" t="n"/>
      <c r="AB147" s="292" t="n"/>
    </row>
    <row r="148" ht="16.5" customHeight="1" s="331">
      <c r="B148" s="427" t="n">
        <v>46319</v>
      </c>
      <c r="C148" s="270" t="inlineStr">
        <is>
          <t>Sat</t>
        </is>
      </c>
      <c r="D148" s="271" t="n">
        <v>1425</v>
      </c>
      <c r="E148" s="37" t="n">
        <v>1120</v>
      </c>
      <c r="F148" s="38">
        <f>IFERROR(D148+E148+G148+U148+Y148,0)</f>
        <v>2900.0</v>
      </c>
      <c r="G148" s="272" t="n">
        <v>355</v>
      </c>
      <c r="H148" s="273">
        <f>SUMIFS('💸 Expenses'!$F$8:$F$5000,'💸 Expenses'!$B$8:$B$5000,"&gt;="&amp;B148,'💸 Expenses'!$B$8:$B$5000,"&lt;"&amp;(B148+1))</f>
        <v>10022.0</v>
      </c>
      <c r="I148" s="274">
        <f>IFERROR(F148-H148,0)</f>
        <v>-7122.0</v>
      </c>
      <c r="J148" s="275">
        <f>IFERROR(I148/F148,0)</f>
        <v>-2.455862</v>
      </c>
      <c r="K148" s="250" t="n"/>
      <c r="L148" s="276" t="inlineStr">
        <is>
          <t>Cierre via loka.py</t>
        </is>
      </c>
      <c r="M148" s="323" t="n"/>
      <c r="N148" s="324" t="n"/>
      <c r="O148" s="325" t="n"/>
      <c r="P148" s="326" t="n"/>
      <c r="Q148" s="324" t="n"/>
      <c r="R148" s="428">
        <f>IFERROR(D148*$T$7,0)</f>
        <v>57.85</v>
      </c>
      <c r="S148" s="324" t="n"/>
      <c r="T148" s="324" t="n"/>
      <c r="U148" s="428" t="n">
        <v>0</v>
      </c>
      <c r="V148" s="428" t="n">
        <v>0</v>
      </c>
      <c r="W148" s="324" t="n"/>
      <c r="X148" s="324" t="n"/>
      <c r="Y148" s="428" t="n">
        <v>0</v>
      </c>
      <c r="Z148" s="428" t="n">
        <v>0</v>
      </c>
      <c r="AA148" s="324" t="n"/>
      <c r="AB148" s="324" t="n"/>
    </row>
    <row r="149" ht="16.5" customHeight="1" s="331">
      <c r="B149" s="427" t="n">
        <v>46321</v>
      </c>
      <c r="C149" s="255" t="inlineStr">
        <is>
          <t>Mon</t>
        </is>
      </c>
      <c r="D149" s="256" t="n">
        <v>2210</v>
      </c>
      <c r="E149" s="49" t="n">
        <v>1760</v>
      </c>
      <c r="F149" s="50">
        <f>IFERROR(D149+E149+G149+U149+Y149,0)</f>
        <v>4179.0</v>
      </c>
      <c r="G149" s="257" t="n">
        <v>209</v>
      </c>
      <c r="H149" s="258">
        <f>SUMIFS('💸 Expenses'!$F$8:$F$5000,'💸 Expenses'!$B$8:$B$5000,"&gt;="&amp;B149,'💸 Expenses'!$B$8:$B$5000,"&lt;"&amp;(B149+1))</f>
        <v>2279.0</v>
      </c>
      <c r="I149" s="259">
        <f>IFERROR(F149-H149,0)</f>
        <v>1900.0</v>
      </c>
      <c r="J149" s="260">
        <f>IFERROR(I149/F149,0)</f>
        <v>0.454654</v>
      </c>
      <c r="K149" s="254" t="n"/>
      <c r="L149" s="261" t="inlineStr">
        <is>
          <t>Cierre via loka.py</t>
        </is>
      </c>
      <c r="M149" s="291" t="n"/>
      <c r="N149" s="292" t="n"/>
      <c r="O149" s="293" t="n"/>
      <c r="P149" s="294" t="n"/>
      <c r="Q149" s="292" t="n"/>
      <c r="R149" s="443">
        <f>IFERROR(D149*$T$7,0)</f>
        <v>89.73</v>
      </c>
      <c r="S149" s="292" t="n"/>
      <c r="T149" s="292" t="n"/>
      <c r="U149" s="443" t="n">
        <v>0</v>
      </c>
      <c r="V149" s="443" t="n">
        <v>0</v>
      </c>
      <c r="W149" s="292" t="n"/>
      <c r="X149" s="292" t="n"/>
      <c r="Y149" s="443" t="n">
        <v>0</v>
      </c>
      <c r="Z149" s="443" t="n">
        <v>0</v>
      </c>
      <c r="AA149" s="292" t="n"/>
      <c r="AB149" s="292" t="n"/>
    </row>
    <row r="150" ht="16.5" customHeight="1" s="331">
      <c r="B150" s="427" t="n">
        <v>46322</v>
      </c>
      <c r="C150" s="270" t="inlineStr">
        <is>
          <t>Tue</t>
        </is>
      </c>
      <c r="D150" s="271" t="n">
        <v>260</v>
      </c>
      <c r="E150" s="37" t="n">
        <v>1295</v>
      </c>
      <c r="F150" s="38">
        <f>IFERROR(D150+E150+G150+U150+Y150,0)</f>
        <v>3135.0</v>
      </c>
      <c r="G150" s="272" t="n">
        <v>0</v>
      </c>
      <c r="H150" s="273">
        <f>SUMIFS('💸 Expenses'!$F$8:$F$5000,'💸 Expenses'!$B$8:$B$5000,"&gt;="&amp;B150,'💸 Expenses'!$B$8:$B$5000,"&lt;"&amp;(B150+1))</f>
        <v>45.0</v>
      </c>
      <c r="I150" s="274">
        <f>IFERROR(F150-H150,0)</f>
        <v>3090.0</v>
      </c>
      <c r="J150" s="275">
        <f>IFERROR(I150/F150,0)</f>
        <v>0.985646</v>
      </c>
      <c r="K150" s="250" t="n"/>
      <c r="L150" s="276" t="inlineStr">
        <is>
          <t>Cierre via loka.py</t>
        </is>
      </c>
      <c r="M150" s="323" t="n"/>
      <c r="N150" s="324" t="n"/>
      <c r="O150" s="325" t="n"/>
      <c r="P150" s="326" t="n"/>
      <c r="Q150" s="324" t="n"/>
      <c r="R150" s="428">
        <f>IFERROR(D150*$T$7,0)</f>
        <v>10.56</v>
      </c>
      <c r="S150" s="324" t="n"/>
      <c r="T150" s="324" t="n"/>
      <c r="U150" s="428" t="n">
        <v>0</v>
      </c>
      <c r="V150" s="428" t="n">
        <v>0</v>
      </c>
      <c r="W150" s="324" t="n"/>
      <c r="X150" s="324" t="n"/>
      <c r="Y150" s="428" t="n">
        <v>1580</v>
      </c>
      <c r="Z150" s="428" t="n">
        <v>30.02</v>
      </c>
      <c r="AA150" s="324" t="n"/>
      <c r="AB150" s="324" t="n"/>
    </row>
    <row r="151" ht="16.5" customHeight="1" s="331">
      <c r="B151" s="427" t="n">
        <v>46323</v>
      </c>
      <c r="C151" s="255" t="inlineStr">
        <is>
          <t>Wed</t>
        </is>
      </c>
      <c r="D151" s="256" t="n">
        <v>490</v>
      </c>
      <c r="E151" s="49" t="n">
        <v>2340</v>
      </c>
      <c r="F151" s="50">
        <f>IFERROR(D151+E151+G151+U151+Y151,0)</f>
        <v>4365.0</v>
      </c>
      <c r="G151" s="257" t="n">
        <v>0</v>
      </c>
      <c r="H151" s="258">
        <f>SUMIFS('💸 Expenses'!$F$8:$F$5000,'💸 Expenses'!$B$8:$B$5000,"&gt;="&amp;B151,'💸 Expenses'!$B$8:$B$5000,"&lt;"&amp;(B151+1))</f>
        <v>4199.0</v>
      </c>
      <c r="I151" s="259">
        <f>IFERROR(F151-H151,0)</f>
        <v>166.0</v>
      </c>
      <c r="J151" s="260">
        <f>IFERROR(I151/F151,0)</f>
        <v>0.03803</v>
      </c>
      <c r="K151" s="254" t="n"/>
      <c r="L151" s="261" t="inlineStr">
        <is>
          <t>Cierre via loka.py</t>
        </is>
      </c>
      <c r="M151" s="291" t="n"/>
      <c r="N151" s="292" t="n"/>
      <c r="O151" s="293" t="n"/>
      <c r="P151" s="294" t="n"/>
      <c r="Q151" s="292" t="n"/>
      <c r="R151" s="443">
        <f>IFERROR(D151*$T$7,0)</f>
        <v>19.89</v>
      </c>
      <c r="S151" s="292" t="n"/>
      <c r="T151" s="292" t="n"/>
      <c r="U151" s="443" t="n">
        <v>0</v>
      </c>
      <c r="V151" s="443" t="n">
        <v>0</v>
      </c>
      <c r="W151" s="292" t="n"/>
      <c r="X151" s="292" t="n"/>
      <c r="Y151" s="443" t="n">
        <v>1535</v>
      </c>
      <c r="Z151" s="443" t="n">
        <v>29.16</v>
      </c>
      <c r="AA151" s="292" t="n"/>
      <c r="AB151" s="292" t="n"/>
    </row>
    <row r="152" ht="16.5" customHeight="1" s="331">
      <c r="B152" s="427" t="n">
        <v>46324</v>
      </c>
      <c r="C152" s="270" t="inlineStr">
        <is>
          <t>Thu</t>
        </is>
      </c>
      <c r="D152" s="271" t="n">
        <v>120</v>
      </c>
      <c r="E152" s="37" t="n">
        <v>2115</v>
      </c>
      <c r="F152" s="38">
        <f>IFERROR(D152+E152+G152+U152+Y152,0)</f>
        <v>3730.0</v>
      </c>
      <c r="G152" s="272" t="n">
        <v>100</v>
      </c>
      <c r="H152" s="273">
        <f>SUMIFS('💸 Expenses'!$F$8:$F$5000,'💸 Expenses'!$B$8:$B$5000,"&gt;="&amp;B152,'💸 Expenses'!$B$8:$B$5000,"&lt;"&amp;(B152+1))</f>
        <v>1622.0</v>
      </c>
      <c r="I152" s="274">
        <f>IFERROR(F152-H152,0)</f>
        <v>2108.0</v>
      </c>
      <c r="J152" s="275">
        <f>IFERROR(I152/F152,0)</f>
        <v>0.565147</v>
      </c>
      <c r="K152" s="250" t="n"/>
      <c r="L152" s="276" t="inlineStr">
        <is>
          <t>Cierre via loka.py</t>
        </is>
      </c>
      <c r="M152" s="323" t="n"/>
      <c r="N152" s="324" t="n"/>
      <c r="O152" s="325" t="n"/>
      <c r="P152" s="326" t="n"/>
      <c r="Q152" s="324" t="n"/>
      <c r="R152" s="428">
        <f>IFERROR(D152*$T$7,0)</f>
        <v>4.87</v>
      </c>
      <c r="S152" s="324" t="n"/>
      <c r="T152" s="324" t="n"/>
      <c r="U152" s="428" t="n">
        <v>0</v>
      </c>
      <c r="V152" s="428" t="n">
        <v>0</v>
      </c>
      <c r="W152" s="324" t="n"/>
      <c r="X152" s="324" t="n"/>
      <c r="Y152" s="428" t="n">
        <v>1395</v>
      </c>
      <c r="Z152" s="428" t="n">
        <v>26.5</v>
      </c>
      <c r="AA152" s="324" t="n"/>
      <c r="AB152" s="32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930"/>
  <sheetViews>
    <sheetView showGridLines="0" tabSelected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  <row r="727">
      <c r="B727" s="429" t="n">
        <v>46269</v>
      </c>
      <c r="C727" s="297" t="inlineStr">
        <is>
          <t>Rent</t>
        </is>
      </c>
      <c r="D727" s="298" t="inlineStr">
        <is>
          <t>No Bill</t>
        </is>
      </c>
      <c r="E727" s="297" t="inlineStr">
        <is>
          <t>Rent</t>
        </is>
      </c>
      <c r="F727" s="299" t="n">
        <v>19066.68</v>
      </c>
      <c r="G727" s="300" t="inlineStr">
        <is>
          <t>Capital</t>
        </is>
      </c>
      <c r="H727" s="300" t="inlineStr">
        <is>
          <t>Transfer</t>
        </is>
      </c>
      <c r="I727" s="301" t="inlineStr">
        <is>
          <t>✅ Paid</t>
        </is>
      </c>
      <c r="J727" s="423" t="inlineStr">
        <is>
          <t>Paid from Capital</t>
        </is>
      </c>
    </row>
    <row r="728">
      <c r="B728" s="429" t="n">
        <v>46269</v>
      </c>
      <c r="C728" s="297" t="inlineStr">
        <is>
          <t>Pollo</t>
        </is>
      </c>
      <c r="D728" s="298" t="inlineStr">
        <is>
          <t>No bill</t>
        </is>
      </c>
      <c r="E728" s="297" t="inlineStr">
        <is>
          <t>Ingredients - Meat</t>
        </is>
      </c>
      <c r="F728" s="299" t="n">
        <v>117</v>
      </c>
      <c r="G728" s="300" t="inlineStr">
        <is>
          <t>Restaurant</t>
        </is>
      </c>
      <c r="H728" s="300" t="inlineStr">
        <is>
          <t>Cash</t>
        </is>
      </c>
      <c r="I728" s="301" t="inlineStr">
        <is>
          <t>✅ Paid</t>
        </is>
      </c>
      <c r="J728" s="423" t="inlineStr">
        <is>
          <t>No receipt; cash</t>
        </is>
      </c>
    </row>
    <row r="729">
      <c r="B729" s="429" t="n">
        <v>46269</v>
      </c>
      <c r="C729" s="297" t="inlineStr">
        <is>
          <t>Mayonesa</t>
        </is>
      </c>
      <c r="D729" s="298" t="inlineStr">
        <is>
          <t>No bill</t>
        </is>
      </c>
      <c r="E729" s="297" t="inlineStr">
        <is>
          <t>Ingredients - Other</t>
        </is>
      </c>
      <c r="F729" s="299" t="n">
        <v>227</v>
      </c>
      <c r="G729" s="300" t="inlineStr">
        <is>
          <t>Restaurant</t>
        </is>
      </c>
      <c r="H729" s="300" t="inlineStr">
        <is>
          <t>Cash</t>
        </is>
      </c>
      <c r="I729" s="301" t="inlineStr">
        <is>
          <t>✅ Paid</t>
        </is>
      </c>
      <c r="J729" s="423" t="inlineStr">
        <is>
          <t>No receipt; cash</t>
        </is>
      </c>
    </row>
    <row r="730">
      <c r="B730" s="429" t="n">
        <v>46269</v>
      </c>
      <c r="C730" s="297" t="inlineStr">
        <is>
          <t>Abastos</t>
        </is>
      </c>
      <c r="D730" s="298" t="inlineStr">
        <is>
          <t>Central de Abastos</t>
        </is>
      </c>
      <c r="E730" s="297" t="inlineStr">
        <is>
          <t>Ingredients - Vegetables</t>
        </is>
      </c>
      <c r="F730" s="299" t="n">
        <v>125</v>
      </c>
      <c r="G730" s="300" t="inlineStr">
        <is>
          <t>Restaurant</t>
        </is>
      </c>
      <c r="H730" s="300" t="inlineStr">
        <is>
          <t>Cash</t>
        </is>
      </c>
      <c r="I730" s="301" t="inlineStr">
        <is>
          <t>✅ Paid</t>
        </is>
      </c>
      <c r="J730" s="423" t="inlineStr">
        <is>
          <t>No receipt; cash</t>
        </is>
      </c>
    </row>
    <row r="731">
      <c r="B731" s="429" t="n">
        <v>46269</v>
      </c>
      <c r="C731" s="297" t="inlineStr">
        <is>
          <t>Basicos</t>
        </is>
      </c>
      <c r="D731" s="298" t="inlineStr">
        <is>
          <t>No bill</t>
        </is>
      </c>
      <c r="E731" s="297" t="inlineStr">
        <is>
          <t>Supermarket/General</t>
        </is>
      </c>
      <c r="F731" s="299" t="n">
        <v>346</v>
      </c>
      <c r="G731" s="300" t="inlineStr">
        <is>
          <t>Restaurant</t>
        </is>
      </c>
      <c r="H731" s="300" t="inlineStr">
        <is>
          <t>Cash</t>
        </is>
      </c>
      <c r="I731" s="301" t="inlineStr">
        <is>
          <t>✅ Paid</t>
        </is>
      </c>
      <c r="J731" s="423" t="inlineStr">
        <is>
          <t>No receipt; cash</t>
        </is>
      </c>
    </row>
    <row r="732">
      <c r="B732" s="429" t="n">
        <v>46270</v>
      </c>
      <c r="C732" s="297" t="inlineStr">
        <is>
          <t>Armando - salary</t>
        </is>
      </c>
      <c r="D732" s="298" t="inlineStr">
        <is>
          <t>Payroll</t>
        </is>
      </c>
      <c r="E732" s="297" t="inlineStr">
        <is>
          <t>Staff - Salary</t>
        </is>
      </c>
      <c r="F732" s="299" t="n">
        <v>2200</v>
      </c>
      <c r="G732" s="300" t="inlineStr">
        <is>
          <t>Restaurant</t>
        </is>
      </c>
      <c r="H732" s="300" t="inlineStr">
        <is>
          <t>Cash</t>
        </is>
      </c>
      <c r="I732" s="301" t="inlineStr">
        <is>
          <t>✅ Paid</t>
        </is>
      </c>
      <c r="J732" s="423" t="inlineStr">
        <is>
          <t>Weekly salary</t>
        </is>
      </c>
    </row>
    <row r="733">
      <c r="B733" s="429" t="n">
        <v>46270</v>
      </c>
      <c r="C733" s="297" t="inlineStr">
        <is>
          <t>Duvi - salary</t>
        </is>
      </c>
      <c r="D733" s="298" t="inlineStr">
        <is>
          <t>Payroll</t>
        </is>
      </c>
      <c r="E733" s="297" t="inlineStr">
        <is>
          <t>Staff - Salary</t>
        </is>
      </c>
      <c r="F733" s="299" t="n">
        <v>1460</v>
      </c>
      <c r="G733" s="300" t="inlineStr">
        <is>
          <t>Restaurant</t>
        </is>
      </c>
      <c r="H733" s="300" t="inlineStr">
        <is>
          <t>Cash</t>
        </is>
      </c>
      <c r="I733" s="301" t="inlineStr">
        <is>
          <t>✅ Paid</t>
        </is>
      </c>
      <c r="J733" s="423" t="inlineStr">
        <is>
          <t>Weekly salary</t>
        </is>
      </c>
    </row>
    <row r="734">
      <c r="B734" s="429" t="n">
        <v>46270</v>
      </c>
      <c r="C734" s="297" t="inlineStr">
        <is>
          <t>Jhon - salary</t>
        </is>
      </c>
      <c r="D734" s="298" t="inlineStr">
        <is>
          <t>Payroll</t>
        </is>
      </c>
      <c r="E734" s="297" t="inlineStr">
        <is>
          <t>Staff - Salary</t>
        </is>
      </c>
      <c r="F734" s="299" t="n">
        <v>3750</v>
      </c>
      <c r="G734" s="300" t="inlineStr">
        <is>
          <t>Restaurant</t>
        </is>
      </c>
      <c r="H734" s="300" t="inlineStr">
        <is>
          <t>Cash</t>
        </is>
      </c>
      <c r="I734" s="301" t="inlineStr">
        <is>
          <t>✅ Paid</t>
        </is>
      </c>
      <c r="J734" s="423" t="inlineStr">
        <is>
          <t>Weekly salary</t>
        </is>
      </c>
    </row>
    <row r="735">
      <c r="B735" s="429" t="n">
        <v>46270</v>
      </c>
      <c r="C735" s="297" t="inlineStr">
        <is>
          <t>Vegetables</t>
        </is>
      </c>
      <c r="D735" s="298" t="inlineStr">
        <is>
          <t>No bill</t>
        </is>
      </c>
      <c r="E735" s="297" t="inlineStr">
        <is>
          <t>Ingredients - Vegetables</t>
        </is>
      </c>
      <c r="F735" s="299" t="n">
        <v>1380</v>
      </c>
      <c r="G735" s="300" t="inlineStr">
        <is>
          <t>Restaurant</t>
        </is>
      </c>
      <c r="H735" s="300" t="inlineStr">
        <is>
          <t>Cash</t>
        </is>
      </c>
      <c r="I735" s="301" t="inlineStr">
        <is>
          <t>✅ Paid</t>
        </is>
      </c>
      <c r="J735" s="423" t="inlineStr">
        <is>
          <t>No receipt; cash</t>
        </is>
      </c>
    </row>
    <row r="736">
      <c r="B736" s="429" t="n">
        <v>46270</v>
      </c>
      <c r="C736" s="297" t="inlineStr">
        <is>
          <t>Chedraui</t>
        </is>
      </c>
      <c r="D736" s="298" t="inlineStr">
        <is>
          <t>Chedraui</t>
        </is>
      </c>
      <c r="E736" s="297" t="inlineStr">
        <is>
          <t>Supermarket/General</t>
        </is>
      </c>
      <c r="F736" s="299" t="n">
        <v>303</v>
      </c>
      <c r="G736" s="300" t="inlineStr">
        <is>
          <t>Restaurant</t>
        </is>
      </c>
      <c r="H736" s="300" t="inlineStr">
        <is>
          <t>Cash</t>
        </is>
      </c>
      <c r="I736" s="301" t="inlineStr">
        <is>
          <t>✅ Paid</t>
        </is>
      </c>
      <c r="J736" s="423" t="inlineStr">
        <is>
          <t>No receipt; cash</t>
        </is>
      </c>
    </row>
    <row r="737">
      <c r="B737" s="429" t="n">
        <v>46270</v>
      </c>
      <c r="C737" s="297" t="inlineStr">
        <is>
          <t>Jamon</t>
        </is>
      </c>
      <c r="D737" s="298" t="inlineStr">
        <is>
          <t>No bill</t>
        </is>
      </c>
      <c r="E737" s="297" t="inlineStr">
        <is>
          <t>Ingredients - Meat</t>
        </is>
      </c>
      <c r="F737" s="299" t="n">
        <v>89</v>
      </c>
      <c r="G737" s="300" t="inlineStr">
        <is>
          <t>Restaurant</t>
        </is>
      </c>
      <c r="H737" s="300" t="inlineStr">
        <is>
          <t>Cash</t>
        </is>
      </c>
      <c r="I737" s="301" t="inlineStr">
        <is>
          <t>✅ Paid</t>
        </is>
      </c>
      <c r="J737" s="423" t="inlineStr">
        <is>
          <t>No receipt; cash</t>
        </is>
      </c>
    </row>
    <row r="738">
      <c r="B738" s="429" t="n">
        <v>46272</v>
      </c>
      <c r="C738" s="297" t="inlineStr">
        <is>
          <t>Lechugas</t>
        </is>
      </c>
      <c r="D738" s="298" t="inlineStr">
        <is>
          <t>No bill</t>
        </is>
      </c>
      <c r="E738" s="297" t="inlineStr">
        <is>
          <t>Ingredients - Vegetables</t>
        </is>
      </c>
      <c r="F738" s="299" t="n">
        <v>60</v>
      </c>
      <c r="G738" s="300" t="inlineStr">
        <is>
          <t>Restaurant</t>
        </is>
      </c>
      <c r="H738" s="300" t="inlineStr">
        <is>
          <t>Cash</t>
        </is>
      </c>
      <c r="I738" s="301" t="inlineStr">
        <is>
          <t>✅ Paid</t>
        </is>
      </c>
      <c r="J738" s="423" t="inlineStr">
        <is>
          <t>No receipt; cash</t>
        </is>
      </c>
    </row>
    <row r="739">
      <c r="B739" s="429" t="n">
        <v>46272</v>
      </c>
      <c r="C739" s="297" t="inlineStr">
        <is>
          <t>Vegetales</t>
        </is>
      </c>
      <c r="D739" s="298" t="inlineStr">
        <is>
          <t>No bill</t>
        </is>
      </c>
      <c r="E739" s="297" t="inlineStr">
        <is>
          <t>Ingredients - Vegetables</t>
        </is>
      </c>
      <c r="F739" s="299" t="n">
        <v>200</v>
      </c>
      <c r="G739" s="300" t="inlineStr">
        <is>
          <t>Restaurant</t>
        </is>
      </c>
      <c r="H739" s="300" t="inlineStr">
        <is>
          <t>Cash</t>
        </is>
      </c>
      <c r="I739" s="301" t="inlineStr">
        <is>
          <t>✅ Paid</t>
        </is>
      </c>
      <c r="J739" s="423" t="inlineStr">
        <is>
          <t>No receipt; cash</t>
        </is>
      </c>
    </row>
    <row r="740">
      <c r="B740" s="429" t="n">
        <v>46272</v>
      </c>
      <c r="C740" s="297" t="inlineStr">
        <is>
          <t>Carne</t>
        </is>
      </c>
      <c r="D740" s="298" t="inlineStr">
        <is>
          <t>No bill</t>
        </is>
      </c>
      <c r="E740" s="297" t="inlineStr">
        <is>
          <t>Ingredients - Meat</t>
        </is>
      </c>
      <c r="F740" s="299" t="n">
        <v>3327</v>
      </c>
      <c r="G740" s="300" t="inlineStr">
        <is>
          <t>Restaurant</t>
        </is>
      </c>
      <c r="H740" s="300" t="inlineStr">
        <is>
          <t>Cash</t>
        </is>
      </c>
      <c r="I740" s="301" t="inlineStr">
        <is>
          <t>✅ Paid</t>
        </is>
      </c>
      <c r="J740" s="423" t="inlineStr">
        <is>
          <t>No receipt; cash</t>
        </is>
      </c>
    </row>
    <row r="741">
      <c r="B741" s="429" t="n">
        <v>46272</v>
      </c>
      <c r="C741" s="297" t="inlineStr">
        <is>
          <t>Caramelo</t>
        </is>
      </c>
      <c r="D741" s="298" t="inlineStr">
        <is>
          <t>No bill</t>
        </is>
      </c>
      <c r="E741" s="297" t="inlineStr">
        <is>
          <t>Ingredients - Other</t>
        </is>
      </c>
      <c r="F741" s="299" t="n">
        <v>95</v>
      </c>
      <c r="G741" s="300" t="inlineStr">
        <is>
          <t>Restaurant</t>
        </is>
      </c>
      <c r="H741" s="300" t="inlineStr">
        <is>
          <t>Cash</t>
        </is>
      </c>
      <c r="I741" s="301" t="inlineStr">
        <is>
          <t>✅ Paid</t>
        </is>
      </c>
      <c r="J741" s="423" t="inlineStr">
        <is>
          <t>No receipt; cash</t>
        </is>
      </c>
    </row>
    <row r="742">
      <c r="B742" s="429" t="n">
        <v>46272</v>
      </c>
      <c r="C742" s="297" t="inlineStr">
        <is>
          <t>Guimar</t>
        </is>
      </c>
      <c r="D742" s="298" t="inlineStr">
        <is>
          <t>Guimar Polietilenos</t>
        </is>
      </c>
      <c r="E742" s="297" t="inlineStr">
        <is>
          <t>Packaging/Disposables</t>
        </is>
      </c>
      <c r="F742" s="299" t="n">
        <v>24</v>
      </c>
      <c r="G742" s="300" t="inlineStr">
        <is>
          <t>Restaurant</t>
        </is>
      </c>
      <c r="H742" s="300" t="inlineStr">
        <is>
          <t>Cash</t>
        </is>
      </c>
      <c r="I742" s="301" t="inlineStr">
        <is>
          <t>✅ Paid</t>
        </is>
      </c>
      <c r="J742" s="423" t="inlineStr">
        <is>
          <t>No receipt; cash</t>
        </is>
      </c>
    </row>
    <row r="743">
      <c r="B743" s="429" t="n">
        <v>46272</v>
      </c>
      <c r="C743" s="297" t="inlineStr">
        <is>
          <t>Carne</t>
        </is>
      </c>
      <c r="D743" s="298" t="inlineStr">
        <is>
          <t>No bill</t>
        </is>
      </c>
      <c r="E743" s="297" t="inlineStr">
        <is>
          <t>Ingredients - Meat</t>
        </is>
      </c>
      <c r="F743" s="299" t="n">
        <v>498</v>
      </c>
      <c r="G743" s="300" t="inlineStr">
        <is>
          <t>Restaurant</t>
        </is>
      </c>
      <c r="H743" s="300" t="inlineStr">
        <is>
          <t>Cash</t>
        </is>
      </c>
      <c r="I743" s="301" t="inlineStr">
        <is>
          <t>✅ Paid</t>
        </is>
      </c>
      <c r="J743" s="423" t="inlineStr">
        <is>
          <t>No receipt; cash</t>
        </is>
      </c>
    </row>
    <row r="744">
      <c r="B744" s="429" t="n">
        <v>46272</v>
      </c>
      <c r="C744" s="297" t="inlineStr">
        <is>
          <t>Jamon</t>
        </is>
      </c>
      <c r="D744" s="298" t="inlineStr">
        <is>
          <t>No bill</t>
        </is>
      </c>
      <c r="E744" s="297" t="inlineStr">
        <is>
          <t>Ingredients - Meat</t>
        </is>
      </c>
      <c r="F744" s="299" t="n">
        <v>176</v>
      </c>
      <c r="G744" s="300" t="inlineStr">
        <is>
          <t>Restaurant</t>
        </is>
      </c>
      <c r="H744" s="300" t="inlineStr">
        <is>
          <t>Cash</t>
        </is>
      </c>
      <c r="I744" s="301" t="inlineStr">
        <is>
          <t>✅ Paid</t>
        </is>
      </c>
      <c r="J744" s="423" t="inlineStr">
        <is>
          <t>No receipt; cash</t>
        </is>
      </c>
    </row>
    <row r="745">
      <c r="B745" s="429" t="n">
        <v>46272</v>
      </c>
      <c r="C745" s="297" t="inlineStr">
        <is>
          <t>Pollo</t>
        </is>
      </c>
      <c r="D745" s="298" t="inlineStr">
        <is>
          <t>No bill</t>
        </is>
      </c>
      <c r="E745" s="297" t="inlineStr">
        <is>
          <t>Ingredients - Meat</t>
        </is>
      </c>
      <c r="F745" s="299" t="n">
        <v>925</v>
      </c>
      <c r="G745" s="300" t="inlineStr">
        <is>
          <t>Restaurant</t>
        </is>
      </c>
      <c r="H745" s="300" t="inlineStr">
        <is>
          <t>Cash</t>
        </is>
      </c>
      <c r="I745" s="301" t="inlineStr">
        <is>
          <t>✅ Paid</t>
        </is>
      </c>
      <c r="J745" s="423" t="inlineStr">
        <is>
          <t>No receipt; cash</t>
        </is>
      </c>
    </row>
    <row r="746">
      <c r="B746" s="429" t="n">
        <v>46272</v>
      </c>
      <c r="C746" s="297" t="inlineStr">
        <is>
          <t>Electric Issue</t>
        </is>
      </c>
      <c r="D746" s="298" t="inlineStr">
        <is>
          <t>No bill</t>
        </is>
      </c>
      <c r="E746" s="297" t="inlineStr">
        <is>
          <t>Maintenance</t>
        </is>
      </c>
      <c r="F746" s="299" t="n">
        <v>600</v>
      </c>
      <c r="G746" s="300" t="inlineStr">
        <is>
          <t>Restaurant</t>
        </is>
      </c>
      <c r="H746" s="300" t="inlineStr">
        <is>
          <t>Cash</t>
        </is>
      </c>
      <c r="I746" s="301" t="inlineStr">
        <is>
          <t>✅ Paid</t>
        </is>
      </c>
      <c r="J746" s="423" t="inlineStr">
        <is>
          <t>No receipt; cash. Electrical repair (confirmed 18-Sep)</t>
        </is>
      </c>
    </row>
    <row r="747">
      <c r="B747" s="429" t="n">
        <v>46272</v>
      </c>
      <c r="C747" s="297" t="inlineStr">
        <is>
          <t>Oxxo Arroz</t>
        </is>
      </c>
      <c r="D747" s="298" t="inlineStr">
        <is>
          <t>OXXO</t>
        </is>
      </c>
      <c r="E747" s="297" t="inlineStr">
        <is>
          <t>Ingredients - Pantry</t>
        </is>
      </c>
      <c r="F747" s="299" t="n">
        <v>260</v>
      </c>
      <c r="G747" s="300" t="inlineStr">
        <is>
          <t>Restaurant</t>
        </is>
      </c>
      <c r="H747" s="300" t="inlineStr">
        <is>
          <t>Cash</t>
        </is>
      </c>
      <c r="I747" s="301" t="inlineStr">
        <is>
          <t>✅ Paid</t>
        </is>
      </c>
      <c r="J747" s="423" t="inlineStr">
        <is>
          <t>No receipt; cash</t>
        </is>
      </c>
    </row>
    <row r="748">
      <c r="B748" s="429" t="n">
        <v>46272</v>
      </c>
      <c r="C748" s="297" t="inlineStr">
        <is>
          <t>Wallmart</t>
        </is>
      </c>
      <c r="D748" s="298" t="inlineStr">
        <is>
          <t>No bill</t>
        </is>
      </c>
      <c r="E748" s="297" t="inlineStr">
        <is>
          <t>Supplies/Other</t>
        </is>
      </c>
      <c r="F748" s="299" t="n">
        <v>123</v>
      </c>
      <c r="G748" s="300" t="inlineStr">
        <is>
          <t>Lohith</t>
        </is>
      </c>
      <c r="H748" s="300" t="inlineStr">
        <is>
          <t>Cash</t>
        </is>
      </c>
      <c r="I748" s="301" t="inlineStr">
        <is>
          <t>✅ Paid</t>
        </is>
      </c>
      <c r="J748" s="423" t="inlineStr">
        <is>
          <t>Pagado por Lohith (bolsillo); reembolsable via Owner Ledger</t>
        </is>
      </c>
    </row>
    <row r="749">
      <c r="B749" s="429" t="n">
        <v>46273</v>
      </c>
      <c r="C749" s="297" t="inlineStr">
        <is>
          <t>Vegetables</t>
        </is>
      </c>
      <c r="D749" s="298" t="inlineStr">
        <is>
          <t>No bill</t>
        </is>
      </c>
      <c r="E749" s="297" t="inlineStr">
        <is>
          <t>Ingredients - Vegetables</t>
        </is>
      </c>
      <c r="F749" s="299" t="n">
        <v>324</v>
      </c>
      <c r="G749" s="300" t="inlineStr">
        <is>
          <t>Restaurant</t>
        </is>
      </c>
      <c r="H749" s="300" t="inlineStr">
        <is>
          <t>Cash</t>
        </is>
      </c>
      <c r="I749" s="301" t="inlineStr">
        <is>
          <t>✅ Paid</t>
        </is>
      </c>
      <c r="J749" s="423" t="inlineStr">
        <is>
          <t>No receipt; cash</t>
        </is>
      </c>
    </row>
    <row r="750">
      <c r="B750" s="429" t="n">
        <v>46273</v>
      </c>
      <c r="C750" s="297" t="inlineStr">
        <is>
          <t>Molino Soya</t>
        </is>
      </c>
      <c r="D750" s="298" t="inlineStr">
        <is>
          <t>No bill</t>
        </is>
      </c>
      <c r="E750" s="297" t="inlineStr">
        <is>
          <t>Supermarket/General</t>
        </is>
      </c>
      <c r="F750" s="299" t="n">
        <v>55</v>
      </c>
      <c r="G750" s="300" t="inlineStr">
        <is>
          <t>Restaurant</t>
        </is>
      </c>
      <c r="H750" s="300" t="inlineStr">
        <is>
          <t>Cash</t>
        </is>
      </c>
      <c r="I750" s="301" t="inlineStr">
        <is>
          <t>✅ Paid</t>
        </is>
      </c>
      <c r="J750" s="423" t="inlineStr">
        <is>
          <t>No receipt; cash</t>
        </is>
      </c>
    </row>
    <row r="751">
      <c r="B751" s="429" t="n">
        <v>46273</v>
      </c>
      <c r="C751" s="297" t="inlineStr">
        <is>
          <t>La Comer</t>
        </is>
      </c>
      <c r="D751" s="298" t="inlineStr">
        <is>
          <t>No bill</t>
        </is>
      </c>
      <c r="E751" s="297" t="inlineStr">
        <is>
          <t>Supermarket/General</t>
        </is>
      </c>
      <c r="F751" s="299" t="n">
        <v>132</v>
      </c>
      <c r="G751" s="300" t="inlineStr">
        <is>
          <t>Restaurant</t>
        </is>
      </c>
      <c r="H751" s="300" t="inlineStr">
        <is>
          <t>Cash</t>
        </is>
      </c>
      <c r="I751" s="301" t="inlineStr">
        <is>
          <t>✅ Paid</t>
        </is>
      </c>
      <c r="J751" s="423" t="inlineStr">
        <is>
          <t>No receipt; cash</t>
        </is>
      </c>
    </row>
    <row r="752">
      <c r="B752" s="429" t="n">
        <v>46273</v>
      </c>
      <c r="C752" s="297" t="inlineStr">
        <is>
          <t>Guimar</t>
        </is>
      </c>
      <c r="D752" s="298" t="inlineStr">
        <is>
          <t>Guimar Polietilenos</t>
        </is>
      </c>
      <c r="E752" s="297" t="inlineStr">
        <is>
          <t>Packaging/Disposables</t>
        </is>
      </c>
      <c r="F752" s="299" t="n">
        <v>429</v>
      </c>
      <c r="G752" s="300" t="inlineStr">
        <is>
          <t>Restaurant</t>
        </is>
      </c>
      <c r="H752" s="300" t="inlineStr">
        <is>
          <t>Cash</t>
        </is>
      </c>
      <c r="I752" s="301" t="inlineStr">
        <is>
          <t>✅ Paid</t>
        </is>
      </c>
      <c r="J752" s="423" t="inlineStr">
        <is>
          <t>No receipt; cash</t>
        </is>
      </c>
    </row>
    <row r="753">
      <c r="B753" s="429" t="n">
        <v>46273</v>
      </c>
      <c r="C753" s="297" t="inlineStr">
        <is>
          <t>3B Jugo</t>
        </is>
      </c>
      <c r="D753" s="298" t="inlineStr">
        <is>
          <t>Tres B</t>
        </is>
      </c>
      <c r="E753" s="297" t="inlineStr">
        <is>
          <t>Supermarket/General</t>
        </is>
      </c>
      <c r="F753" s="299" t="n">
        <v>1040</v>
      </c>
      <c r="G753" s="300" t="inlineStr">
        <is>
          <t>Restaurant</t>
        </is>
      </c>
      <c r="H753" s="300" t="inlineStr">
        <is>
          <t>Cash</t>
        </is>
      </c>
      <c r="I753" s="301" t="inlineStr">
        <is>
          <t>✅ Paid</t>
        </is>
      </c>
      <c r="J753" s="423" t="inlineStr">
        <is>
          <t>No receipt; cash</t>
        </is>
      </c>
    </row>
    <row r="754">
      <c r="B754" s="429" t="n">
        <v>46274</v>
      </c>
      <c r="C754" s="297" t="inlineStr">
        <is>
          <t>Avia</t>
        </is>
      </c>
      <c r="D754" s="298" t="inlineStr">
        <is>
          <t>No bill</t>
        </is>
      </c>
      <c r="E754" s="297" t="inlineStr">
        <is>
          <t>Ingredients - Beverages</t>
        </is>
      </c>
      <c r="F754" s="299" t="n">
        <v>450</v>
      </c>
      <c r="G754" s="300" t="inlineStr">
        <is>
          <t>Restaurant</t>
        </is>
      </c>
      <c r="H754" s="300" t="inlineStr">
        <is>
          <t>Cash</t>
        </is>
      </c>
      <c r="I754" s="301" t="inlineStr">
        <is>
          <t>✅ Paid</t>
        </is>
      </c>
      <c r="J754" s="423" t="inlineStr">
        <is>
          <t>No receipt; cash</t>
        </is>
      </c>
    </row>
    <row r="755">
      <c r="B755" s="429" t="n">
        <v>46274</v>
      </c>
      <c r="C755" s="297" t="inlineStr">
        <is>
          <t>Carne</t>
        </is>
      </c>
      <c r="D755" s="298" t="inlineStr">
        <is>
          <t>No bill</t>
        </is>
      </c>
      <c r="E755" s="297" t="inlineStr">
        <is>
          <t>Ingredients - Meat</t>
        </is>
      </c>
      <c r="F755" s="299" t="n">
        <v>634</v>
      </c>
      <c r="G755" s="300" t="inlineStr">
        <is>
          <t>Restaurant</t>
        </is>
      </c>
      <c r="H755" s="300" t="inlineStr">
        <is>
          <t>Cash</t>
        </is>
      </c>
      <c r="I755" s="301" t="inlineStr">
        <is>
          <t>✅ Paid</t>
        </is>
      </c>
      <c r="J755" s="423" t="inlineStr">
        <is>
          <t>No receipt; cash</t>
        </is>
      </c>
    </row>
    <row r="756">
      <c r="B756" s="429" t="n">
        <v>46274</v>
      </c>
      <c r="C756" s="297" t="inlineStr">
        <is>
          <t>Oxxo</t>
        </is>
      </c>
      <c r="D756" s="298" t="inlineStr">
        <is>
          <t>OXXO</t>
        </is>
      </c>
      <c r="E756" s="297" t="inlineStr">
        <is>
          <t>Ingredients - Pantry</t>
        </is>
      </c>
      <c r="F756" s="299" t="n">
        <v>22</v>
      </c>
      <c r="G756" s="300" t="inlineStr">
        <is>
          <t>Restaurant</t>
        </is>
      </c>
      <c r="H756" s="300" t="inlineStr">
        <is>
          <t>Cash</t>
        </is>
      </c>
      <c r="I756" s="301" t="inlineStr">
        <is>
          <t>✅ Paid</t>
        </is>
      </c>
      <c r="J756" s="423" t="inlineStr">
        <is>
          <t>No receipt; cash</t>
        </is>
      </c>
    </row>
    <row r="757">
      <c r="B757" s="429" t="n">
        <v>46275</v>
      </c>
      <c r="C757" s="297" t="inlineStr">
        <is>
          <t>Pan Reales</t>
        </is>
      </c>
      <c r="D757" s="298" t="inlineStr">
        <is>
          <t>Pan Reales</t>
        </is>
      </c>
      <c r="E757" s="297" t="inlineStr">
        <is>
          <t>Ingredients - Bread</t>
        </is>
      </c>
      <c r="F757" s="299" t="n">
        <v>621</v>
      </c>
      <c r="G757" s="300" t="inlineStr">
        <is>
          <t>Restaurant</t>
        </is>
      </c>
      <c r="H757" s="300" t="inlineStr">
        <is>
          <t>Cash</t>
        </is>
      </c>
      <c r="I757" s="301" t="inlineStr">
        <is>
          <t>✅ Paid</t>
        </is>
      </c>
      <c r="J757" s="423" t="inlineStr">
        <is>
          <t>No receipt; cash</t>
        </is>
      </c>
    </row>
    <row r="758">
      <c r="B758" s="429" t="n">
        <v>46275</v>
      </c>
      <c r="C758" s="297" t="inlineStr">
        <is>
          <t>Oxxo</t>
        </is>
      </c>
      <c r="D758" s="298" t="inlineStr">
        <is>
          <t>OXXO</t>
        </is>
      </c>
      <c r="E758" s="297" t="inlineStr">
        <is>
          <t>Ingredients - Pantry</t>
        </is>
      </c>
      <c r="F758" s="299" t="n">
        <v>32</v>
      </c>
      <c r="G758" s="300" t="inlineStr">
        <is>
          <t>Restaurant</t>
        </is>
      </c>
      <c r="H758" s="300" t="inlineStr">
        <is>
          <t>Cash</t>
        </is>
      </c>
      <c r="I758" s="301" t="inlineStr">
        <is>
          <t>✅ Paid</t>
        </is>
      </c>
      <c r="J758" s="423" t="inlineStr">
        <is>
          <t>No receipt; cash</t>
        </is>
      </c>
    </row>
    <row r="759">
      <c r="B759" s="429" t="n">
        <v>46275</v>
      </c>
      <c r="C759" s="297" t="inlineStr">
        <is>
          <t>Pescado</t>
        </is>
      </c>
      <c r="D759" s="298" t="inlineStr">
        <is>
          <t>No bill</t>
        </is>
      </c>
      <c r="E759" s="297" t="inlineStr">
        <is>
          <t>Ingredients - Meat &amp; Fish</t>
        </is>
      </c>
      <c r="F759" s="299" t="n">
        <v>317</v>
      </c>
      <c r="G759" s="300" t="inlineStr">
        <is>
          <t>Restaurant</t>
        </is>
      </c>
      <c r="H759" s="300" t="inlineStr">
        <is>
          <t>Cash</t>
        </is>
      </c>
      <c r="I759" s="301" t="inlineStr">
        <is>
          <t>✅ Paid</t>
        </is>
      </c>
      <c r="J759" s="423" t="inlineStr">
        <is>
          <t>No receipt; cash</t>
        </is>
      </c>
    </row>
    <row r="760">
      <c r="B760" s="429" t="n">
        <v>46275</v>
      </c>
      <c r="C760" s="297" t="inlineStr">
        <is>
          <t>Carne</t>
        </is>
      </c>
      <c r="D760" s="298" t="inlineStr">
        <is>
          <t>No bill</t>
        </is>
      </c>
      <c r="E760" s="297" t="inlineStr">
        <is>
          <t>Ingredients - Meat</t>
        </is>
      </c>
      <c r="F760" s="299" t="n">
        <v>495</v>
      </c>
      <c r="G760" s="300" t="inlineStr">
        <is>
          <t>Restaurant</t>
        </is>
      </c>
      <c r="H760" s="300" t="inlineStr">
        <is>
          <t>Cash</t>
        </is>
      </c>
      <c r="I760" s="301" t="inlineStr">
        <is>
          <t>✅ Paid</t>
        </is>
      </c>
      <c r="J760" s="423" t="inlineStr">
        <is>
          <t>No receipt; cash</t>
        </is>
      </c>
    </row>
    <row r="761">
      <c r="B761" s="429" t="n">
        <v>46275</v>
      </c>
      <c r="C761" s="297" t="inlineStr">
        <is>
          <t>Tomato</t>
        </is>
      </c>
      <c r="D761" s="298" t="inlineStr">
        <is>
          <t>No bill</t>
        </is>
      </c>
      <c r="E761" s="297" t="inlineStr">
        <is>
          <t>Ingredients - Vegetables</t>
        </is>
      </c>
      <c r="F761" s="299" t="n">
        <v>60</v>
      </c>
      <c r="G761" s="300" t="inlineStr">
        <is>
          <t>Restaurant</t>
        </is>
      </c>
      <c r="H761" s="300" t="inlineStr">
        <is>
          <t>Cash</t>
        </is>
      </c>
      <c r="I761" s="301" t="inlineStr">
        <is>
          <t>✅ Paid</t>
        </is>
      </c>
      <c r="J761" s="423" t="inlineStr">
        <is>
          <t>No receipt; cash</t>
        </is>
      </c>
    </row>
    <row r="762">
      <c r="B762" s="429" t="n">
        <v>46275</v>
      </c>
      <c r="C762" s="297" t="inlineStr">
        <is>
          <t>Lechuga</t>
        </is>
      </c>
      <c r="D762" s="298" t="inlineStr">
        <is>
          <t>No bill</t>
        </is>
      </c>
      <c r="E762" s="297" t="inlineStr">
        <is>
          <t>Ingredients - Vegetables</t>
        </is>
      </c>
      <c r="F762" s="299" t="n">
        <v>50</v>
      </c>
      <c r="G762" s="300" t="inlineStr">
        <is>
          <t>Restaurant</t>
        </is>
      </c>
      <c r="H762" s="300" t="inlineStr">
        <is>
          <t>Cash</t>
        </is>
      </c>
      <c r="I762" s="301" t="inlineStr">
        <is>
          <t>✅ Paid</t>
        </is>
      </c>
      <c r="J762" s="423" t="inlineStr">
        <is>
          <t>No receipt; cash</t>
        </is>
      </c>
    </row>
    <row r="763">
      <c r="B763" s="429" t="n">
        <v>46275</v>
      </c>
      <c r="C763" s="297" t="inlineStr">
        <is>
          <t>Chedraui</t>
        </is>
      </c>
      <c r="D763" s="298" t="inlineStr">
        <is>
          <t>Chedraui</t>
        </is>
      </c>
      <c r="E763" s="297" t="inlineStr">
        <is>
          <t>Supermarket/General</t>
        </is>
      </c>
      <c r="F763" s="299" t="n">
        <v>84</v>
      </c>
      <c r="G763" s="300" t="inlineStr">
        <is>
          <t>Restaurant</t>
        </is>
      </c>
      <c r="H763" s="300" t="inlineStr">
        <is>
          <t>Cash</t>
        </is>
      </c>
      <c r="I763" s="301" t="inlineStr">
        <is>
          <t>✅ Paid</t>
        </is>
      </c>
      <c r="J763" s="423" t="inlineStr">
        <is>
          <t>No receipt; cash</t>
        </is>
      </c>
    </row>
    <row r="764">
      <c r="B764" s="429" t="n">
        <v>46276</v>
      </c>
      <c r="C764" s="297" t="inlineStr">
        <is>
          <t>Agua Natural</t>
        </is>
      </c>
      <c r="D764" s="298" t="inlineStr">
        <is>
          <t>No bill</t>
        </is>
      </c>
      <c r="E764" s="297" t="inlineStr">
        <is>
          <t>Ingredients - Beverages</t>
        </is>
      </c>
      <c r="F764" s="299" t="n">
        <v>45</v>
      </c>
      <c r="G764" s="300" t="inlineStr">
        <is>
          <t>Restaurant</t>
        </is>
      </c>
      <c r="H764" s="300" t="inlineStr">
        <is>
          <t>Cash</t>
        </is>
      </c>
      <c r="I764" s="301" t="inlineStr">
        <is>
          <t>✅ Paid</t>
        </is>
      </c>
      <c r="J764" s="423" t="inlineStr">
        <is>
          <t>No receipt; cash</t>
        </is>
      </c>
    </row>
    <row r="765">
      <c r="B765" s="429" t="n">
        <v>46277</v>
      </c>
      <c r="C765" s="297" t="inlineStr">
        <is>
          <t>Carne</t>
        </is>
      </c>
      <c r="D765" s="298" t="inlineStr">
        <is>
          <t>No bill</t>
        </is>
      </c>
      <c r="E765" s="297" t="inlineStr">
        <is>
          <t>Ingredients - Meat</t>
        </is>
      </c>
      <c r="F765" s="299" t="n">
        <v>300</v>
      </c>
      <c r="G765" s="300" t="inlineStr">
        <is>
          <t>Restaurant</t>
        </is>
      </c>
      <c r="H765" s="300" t="inlineStr">
        <is>
          <t>Cash</t>
        </is>
      </c>
      <c r="I765" s="301" t="inlineStr">
        <is>
          <t>✅ Paid</t>
        </is>
      </c>
      <c r="J765" s="423" t="inlineStr">
        <is>
          <t>No receipt; cash</t>
        </is>
      </c>
    </row>
    <row r="766">
      <c r="B766" s="429" t="n">
        <v>46277</v>
      </c>
      <c r="C766" s="297" t="inlineStr">
        <is>
          <t>Vegetales</t>
        </is>
      </c>
      <c r="D766" s="298" t="inlineStr">
        <is>
          <t>No bill</t>
        </is>
      </c>
      <c r="E766" s="297" t="inlineStr">
        <is>
          <t>Ingredients - Vegetables</t>
        </is>
      </c>
      <c r="F766" s="299" t="n">
        <v>950</v>
      </c>
      <c r="G766" s="300" t="inlineStr">
        <is>
          <t>Restaurant</t>
        </is>
      </c>
      <c r="H766" s="300" t="inlineStr">
        <is>
          <t>Cash</t>
        </is>
      </c>
      <c r="I766" s="301" t="inlineStr">
        <is>
          <t>✅ Paid</t>
        </is>
      </c>
      <c r="J766" s="423" t="inlineStr">
        <is>
          <t>No receipt; cash</t>
        </is>
      </c>
    </row>
    <row r="767">
      <c r="B767" s="429" t="n">
        <v>46277</v>
      </c>
      <c r="C767" s="297" t="inlineStr">
        <is>
          <t>Chedraui</t>
        </is>
      </c>
      <c r="D767" s="298" t="inlineStr">
        <is>
          <t>Chedraui</t>
        </is>
      </c>
      <c r="E767" s="297" t="inlineStr">
        <is>
          <t>Supermarket/General</t>
        </is>
      </c>
      <c r="F767" s="299" t="n">
        <v>153</v>
      </c>
      <c r="G767" s="300" t="inlineStr">
        <is>
          <t>Restaurant</t>
        </is>
      </c>
      <c r="H767" s="300" t="inlineStr">
        <is>
          <t>Cash</t>
        </is>
      </c>
      <c r="I767" s="301" t="inlineStr">
        <is>
          <t>✅ Paid</t>
        </is>
      </c>
      <c r="J767" s="423" t="inlineStr">
        <is>
          <t>No receipt; cash</t>
        </is>
      </c>
    </row>
    <row r="768">
      <c r="B768" s="429" t="n">
        <v>46277</v>
      </c>
      <c r="C768" s="297" t="inlineStr">
        <is>
          <t>Duvi - salary</t>
        </is>
      </c>
      <c r="D768" s="298" t="inlineStr">
        <is>
          <t>Payroll</t>
        </is>
      </c>
      <c r="E768" s="297" t="inlineStr">
        <is>
          <t>Staff - Salary</t>
        </is>
      </c>
      <c r="F768" s="299" t="n">
        <v>1460</v>
      </c>
      <c r="G768" s="300" t="inlineStr">
        <is>
          <t>Restaurant</t>
        </is>
      </c>
      <c r="H768" s="300" t="inlineStr">
        <is>
          <t>Cash</t>
        </is>
      </c>
      <c r="I768" s="301" t="inlineStr">
        <is>
          <t>✅ Paid</t>
        </is>
      </c>
      <c r="J768" s="423" t="inlineStr">
        <is>
          <t>Weekly salary</t>
        </is>
      </c>
    </row>
    <row r="769">
      <c r="B769" s="429" t="n">
        <v>46277</v>
      </c>
      <c r="C769" s="297" t="inlineStr">
        <is>
          <t>Armando - salary</t>
        </is>
      </c>
      <c r="D769" s="298" t="inlineStr">
        <is>
          <t>Payroll</t>
        </is>
      </c>
      <c r="E769" s="297" t="inlineStr">
        <is>
          <t>Staff - Salary</t>
        </is>
      </c>
      <c r="F769" s="299" t="n">
        <v>2200</v>
      </c>
      <c r="G769" s="300" t="inlineStr">
        <is>
          <t>Restaurant</t>
        </is>
      </c>
      <c r="H769" s="300" t="inlineStr">
        <is>
          <t>Cash</t>
        </is>
      </c>
      <c r="I769" s="301" t="inlineStr">
        <is>
          <t>✅ Paid</t>
        </is>
      </c>
      <c r="J769" s="423" t="inlineStr">
        <is>
          <t>Weekly salary</t>
        </is>
      </c>
    </row>
    <row r="770">
      <c r="B770" s="429" t="n">
        <v>46277</v>
      </c>
      <c r="C770" s="297" t="inlineStr">
        <is>
          <t>Jhon - salary</t>
        </is>
      </c>
      <c r="D770" s="298" t="inlineStr">
        <is>
          <t>Payroll</t>
        </is>
      </c>
      <c r="E770" s="297" t="inlineStr">
        <is>
          <t>Staff - Salary</t>
        </is>
      </c>
      <c r="F770" s="299" t="n">
        <v>3750</v>
      </c>
      <c r="G770" s="300" t="inlineStr">
        <is>
          <t>Restaurant</t>
        </is>
      </c>
      <c r="H770" s="300" t="inlineStr">
        <is>
          <t>Cash</t>
        </is>
      </c>
      <c r="I770" s="301" t="inlineStr">
        <is>
          <t>✅ Paid</t>
        </is>
      </c>
      <c r="J770" s="423" t="inlineStr">
        <is>
          <t>Weekly salary</t>
        </is>
      </c>
    </row>
    <row r="771">
      <c r="B771" s="429" t="n">
        <v>46279</v>
      </c>
      <c r="C771" s="297" t="inlineStr">
        <is>
          <t>Queso Panela</t>
        </is>
      </c>
      <c r="D771" s="298" t="inlineStr">
        <is>
          <t>No bill</t>
        </is>
      </c>
      <c r="E771" s="297" t="inlineStr">
        <is>
          <t>Ingredients - Dairy</t>
        </is>
      </c>
      <c r="F771" s="299" t="n">
        <v>590</v>
      </c>
      <c r="G771" s="300" t="inlineStr">
        <is>
          <t>Restaurant</t>
        </is>
      </c>
      <c r="H771" s="300" t="inlineStr">
        <is>
          <t>Cash</t>
        </is>
      </c>
      <c r="I771" s="301" t="inlineStr">
        <is>
          <t>✅ Paid</t>
        </is>
      </c>
      <c r="J771" s="423" t="inlineStr">
        <is>
          <t>No receipt; cash</t>
        </is>
      </c>
    </row>
    <row r="772">
      <c r="B772" s="429" t="n">
        <v>46279</v>
      </c>
      <c r="C772" s="297" t="inlineStr">
        <is>
          <t>oxxo</t>
        </is>
      </c>
      <c r="D772" s="298" t="inlineStr">
        <is>
          <t>OXXO</t>
        </is>
      </c>
      <c r="E772" s="297" t="inlineStr">
        <is>
          <t>Ingredients - Pantry</t>
        </is>
      </c>
      <c r="F772" s="299" t="n">
        <v>70</v>
      </c>
      <c r="G772" s="300" t="inlineStr">
        <is>
          <t>Restaurant</t>
        </is>
      </c>
      <c r="H772" s="300" t="inlineStr">
        <is>
          <t>Cash</t>
        </is>
      </c>
      <c r="I772" s="301" t="inlineStr">
        <is>
          <t>✅ Paid</t>
        </is>
      </c>
      <c r="J772" s="423" t="inlineStr">
        <is>
          <t>No receipt; cash</t>
        </is>
      </c>
    </row>
    <row r="773">
      <c r="B773" s="429" t="n">
        <v>46282</v>
      </c>
      <c r="C773" s="297" t="inlineStr">
        <is>
          <t>Sams Club</t>
        </is>
      </c>
      <c r="D773" s="298" t="inlineStr">
        <is>
          <t>Sam's Club</t>
        </is>
      </c>
      <c r="E773" s="297" t="inlineStr">
        <is>
          <t>Supermarket/General</t>
        </is>
      </c>
      <c r="F773" s="299" t="n">
        <v>713</v>
      </c>
      <c r="G773" s="300" t="inlineStr">
        <is>
          <t>Restaurant</t>
        </is>
      </c>
      <c r="H773" s="300" t="inlineStr">
        <is>
          <t>Cash</t>
        </is>
      </c>
      <c r="I773" s="301" t="inlineStr">
        <is>
          <t>✅ Paid</t>
        </is>
      </c>
      <c r="J773" s="423" t="inlineStr">
        <is>
          <t>No receipt; cash</t>
        </is>
      </c>
    </row>
    <row r="774">
      <c r="B774" s="429" t="n">
        <v>46282</v>
      </c>
      <c r="C774" s="297" t="inlineStr">
        <is>
          <t>Pollo</t>
        </is>
      </c>
      <c r="D774" s="298" t="inlineStr">
        <is>
          <t>No bill</t>
        </is>
      </c>
      <c r="E774" s="297" t="inlineStr">
        <is>
          <t>Ingredients - Meat</t>
        </is>
      </c>
      <c r="F774" s="299" t="n">
        <v>977</v>
      </c>
      <c r="G774" s="300" t="inlineStr">
        <is>
          <t>Lohith</t>
        </is>
      </c>
      <c r="H774" s="300" t="inlineStr">
        <is>
          <t>Cash</t>
        </is>
      </c>
      <c r="I774" s="301" t="inlineStr">
        <is>
          <t>✅ Paid</t>
        </is>
      </c>
      <c r="J774" s="423" t="inlineStr">
        <is>
          <t>Pagado por Lohith (bolsillo); reembolsable via Owner Ledger</t>
        </is>
      </c>
    </row>
    <row r="775">
      <c r="B775" s="429" t="n">
        <v>46282</v>
      </c>
      <c r="C775" s="297" t="inlineStr">
        <is>
          <t>Marker Vidrio</t>
        </is>
      </c>
      <c r="D775" s="298" t="inlineStr">
        <is>
          <t>No bill</t>
        </is>
      </c>
      <c r="E775" s="297" t="inlineStr">
        <is>
          <t>Office Supplies</t>
        </is>
      </c>
      <c r="F775" s="299" t="n">
        <v>392</v>
      </c>
      <c r="G775" s="300" t="inlineStr">
        <is>
          <t>Restaurant</t>
        </is>
      </c>
      <c r="H775" s="300" t="inlineStr">
        <is>
          <t>Cash</t>
        </is>
      </c>
      <c r="I775" s="301" t="inlineStr">
        <is>
          <t>✅ Paid</t>
        </is>
      </c>
      <c r="J775" s="423" t="inlineStr">
        <is>
          <t>No receipt; cash</t>
        </is>
      </c>
    </row>
    <row r="776">
      <c r="B776" s="429" t="n">
        <v>46282</v>
      </c>
      <c r="C776" s="297" t="inlineStr">
        <is>
          <t>3B</t>
        </is>
      </c>
      <c r="D776" s="298" t="inlineStr">
        <is>
          <t>Tres B</t>
        </is>
      </c>
      <c r="E776" s="297" t="inlineStr">
        <is>
          <t>Supermarket/General</t>
        </is>
      </c>
      <c r="F776" s="299" t="n">
        <v>529</v>
      </c>
      <c r="G776" s="300" t="inlineStr">
        <is>
          <t>Restaurant</t>
        </is>
      </c>
      <c r="H776" s="300" t="inlineStr">
        <is>
          <t>Cash</t>
        </is>
      </c>
      <c r="I776" s="301" t="inlineStr">
        <is>
          <t>✅ Paid</t>
        </is>
      </c>
      <c r="J776" s="423" t="inlineStr">
        <is>
          <t>No receipt; cash</t>
        </is>
      </c>
    </row>
    <row r="777">
      <c r="B777" s="429" t="n">
        <v>46282</v>
      </c>
      <c r="C777" s="297" t="inlineStr">
        <is>
          <t>Pollo</t>
        </is>
      </c>
      <c r="D777" s="298" t="inlineStr">
        <is>
          <t>No bill</t>
        </is>
      </c>
      <c r="E777" s="297" t="inlineStr">
        <is>
          <t>Ingredients - Meat</t>
        </is>
      </c>
      <c r="F777" s="299" t="n">
        <v>183</v>
      </c>
      <c r="G777" s="300" t="inlineStr">
        <is>
          <t>Lohith</t>
        </is>
      </c>
      <c r="H777" s="300" t="inlineStr">
        <is>
          <t>Cash</t>
        </is>
      </c>
      <c r="I777" s="301" t="inlineStr">
        <is>
          <t>✅ Paid</t>
        </is>
      </c>
      <c r="J777" s="423" t="inlineStr">
        <is>
          <t>Pagado por Lohith (bolsillo); reembolsable via Owner Ledger</t>
        </is>
      </c>
    </row>
    <row r="778">
      <c r="B778" s="429" t="n">
        <v>46283</v>
      </c>
      <c r="C778" s="297" t="inlineStr">
        <is>
          <t>Vegetables</t>
        </is>
      </c>
      <c r="D778" s="298" t="inlineStr">
        <is>
          <t>No bill</t>
        </is>
      </c>
      <c r="E778" s="297" t="inlineStr">
        <is>
          <t>Ingredients - Vegetables</t>
        </is>
      </c>
      <c r="F778" s="299" t="n">
        <v>72</v>
      </c>
      <c r="G778" s="300" t="inlineStr">
        <is>
          <t>Restaurant</t>
        </is>
      </c>
      <c r="H778" s="300" t="inlineStr">
        <is>
          <t>Cash</t>
        </is>
      </c>
      <c r="I778" s="301" t="inlineStr">
        <is>
          <t>✅ Paid</t>
        </is>
      </c>
      <c r="J778" s="423" t="inlineStr">
        <is>
          <t>No receipt; cash</t>
        </is>
      </c>
    </row>
    <row r="779">
      <c r="B779" s="429" t="n">
        <v>46283</v>
      </c>
      <c r="C779" s="297" t="inlineStr">
        <is>
          <t>Carne</t>
        </is>
      </c>
      <c r="D779" s="298" t="inlineStr">
        <is>
          <t>No bill</t>
        </is>
      </c>
      <c r="E779" s="297" t="inlineStr">
        <is>
          <t>Ingredients - Meat</t>
        </is>
      </c>
      <c r="F779" s="299" t="n">
        <v>1109</v>
      </c>
      <c r="G779" s="300" t="inlineStr">
        <is>
          <t>Restaurant</t>
        </is>
      </c>
      <c r="H779" s="300" t="inlineStr">
        <is>
          <t>Cash</t>
        </is>
      </c>
      <c r="I779" s="301" t="inlineStr">
        <is>
          <t>✅ Paid</t>
        </is>
      </c>
      <c r="J779" s="423" t="inlineStr">
        <is>
          <t>No receipt; cash</t>
        </is>
      </c>
    </row>
    <row r="780">
      <c r="B780" s="429" t="n">
        <v>46283</v>
      </c>
      <c r="C780" s="297" t="inlineStr">
        <is>
          <t>Chedraui</t>
        </is>
      </c>
      <c r="D780" s="298" t="inlineStr">
        <is>
          <t>Chedraui</t>
        </is>
      </c>
      <c r="E780" s="297" t="inlineStr">
        <is>
          <t>Supermarket/General</t>
        </is>
      </c>
      <c r="F780" s="299" t="n">
        <v>449</v>
      </c>
      <c r="G780" s="300" t="inlineStr">
        <is>
          <t>Restaurant</t>
        </is>
      </c>
      <c r="H780" s="300" t="inlineStr">
        <is>
          <t>Cash</t>
        </is>
      </c>
      <c r="I780" s="301" t="inlineStr">
        <is>
          <t>✅ Paid</t>
        </is>
      </c>
      <c r="J780" s="423" t="inlineStr">
        <is>
          <t>No receipt; cash</t>
        </is>
      </c>
    </row>
    <row r="781">
      <c r="B781" s="429" t="n">
        <v>46283</v>
      </c>
      <c r="C781" s="297" t="inlineStr">
        <is>
          <t>Internet</t>
        </is>
      </c>
      <c r="D781" s="298" t="inlineStr">
        <is>
          <t>No bill</t>
        </is>
      </c>
      <c r="E781" s="297" t="inlineStr">
        <is>
          <t>Utilities/Internet</t>
        </is>
      </c>
      <c r="F781" s="299" t="n">
        <v>349</v>
      </c>
      <c r="G781" s="300" t="inlineStr">
        <is>
          <t>Lohith</t>
        </is>
      </c>
      <c r="H781" s="300" t="inlineStr">
        <is>
          <t>Cash</t>
        </is>
      </c>
      <c r="I781" s="301" t="inlineStr">
        <is>
          <t>✅ Paid</t>
        </is>
      </c>
      <c r="J781" s="423" t="inlineStr">
        <is>
          <t>Pagado por Lohith (bolsillo); reembolsable via Owner Ledger</t>
        </is>
      </c>
    </row>
    <row r="782">
      <c r="B782" s="429" t="n">
        <v>46269</v>
      </c>
      <c r="C782" s="297" t="inlineStr">
        <is>
          <t>Guimar desechables</t>
        </is>
      </c>
      <c r="D782" s="298" t="inlineStr">
        <is>
          <t>Guimar Polietilenos</t>
        </is>
      </c>
      <c r="E782" s="297" t="inlineStr">
        <is>
          <t>Packaging/Disposables</t>
        </is>
      </c>
      <c r="F782" s="299" t="n">
        <v>226</v>
      </c>
      <c r="G782" s="300" t="inlineStr">
        <is>
          <t>Restaurant</t>
        </is>
      </c>
      <c r="H782" s="300" t="inlineStr">
        <is>
          <t>Cash</t>
        </is>
      </c>
      <c r="I782" s="301" t="inlineStr">
        <is>
          <t>✅ Paid</t>
        </is>
      </c>
      <c r="J782" s="423" t="inlineStr">
        <is>
          <t>No receipt; cash. Typed as 'Guimar 2333w' on 04-Sep and dropped by eod.py; confirmed $226 by Reddy 18-Sep</t>
        </is>
      </c>
    </row>
    <row r="783">
      <c r="B783" s="429" t="n">
        <v>46284</v>
      </c>
      <c r="C783" s="297" t="inlineStr">
        <is>
          <t>Jhon - salary</t>
        </is>
      </c>
      <c r="D783" s="298" t="inlineStr">
        <is>
          <t>Payroll</t>
        </is>
      </c>
      <c r="E783" s="297" t="inlineStr">
        <is>
          <t>Staff - Salary</t>
        </is>
      </c>
      <c r="F783" s="299" t="n">
        <v>3750</v>
      </c>
      <c r="G783" s="300" t="inlineStr">
        <is>
          <t>Restaurant</t>
        </is>
      </c>
      <c r="H783" s="300" t="inlineStr">
        <is>
          <t>Cash</t>
        </is>
      </c>
      <c r="I783" s="301" t="inlineStr">
        <is>
          <t>✅ Paid</t>
        </is>
      </c>
      <c r="J783" s="423" t="inlineStr">
        <is>
          <t>Weekly salary</t>
        </is>
      </c>
    </row>
    <row r="784">
      <c r="B784" s="429" t="n">
        <v>46284</v>
      </c>
      <c r="C784" s="297" t="inlineStr">
        <is>
          <t>Duvi - salary</t>
        </is>
      </c>
      <c r="D784" s="298" t="inlineStr">
        <is>
          <t>Payroll</t>
        </is>
      </c>
      <c r="E784" s="297" t="inlineStr">
        <is>
          <t>Staff - Salary</t>
        </is>
      </c>
      <c r="F784" s="299" t="n">
        <v>876</v>
      </c>
      <c r="G784" s="300" t="inlineStr">
        <is>
          <t>Restaurant</t>
        </is>
      </c>
      <c r="H784" s="300" t="inlineStr">
        <is>
          <t>Cash</t>
        </is>
      </c>
      <c r="I784" s="301" t="inlineStr">
        <is>
          <t>✅ Paid</t>
        </is>
      </c>
      <c r="J784" s="423" t="inlineStr">
        <is>
          <t>Weekly salary</t>
        </is>
      </c>
    </row>
    <row r="785">
      <c r="B785" s="429" t="n">
        <v>46286</v>
      </c>
      <c r="C785" s="297" t="inlineStr">
        <is>
          <t>Vegetables</t>
        </is>
      </c>
      <c r="D785" s="298" t="inlineStr">
        <is>
          <t>No bill</t>
        </is>
      </c>
      <c r="E785" s="297" t="inlineStr">
        <is>
          <t>Ingredients - Vegetables</t>
        </is>
      </c>
      <c r="F785" s="299" t="n">
        <v>1833</v>
      </c>
      <c r="G785" s="300" t="inlineStr">
        <is>
          <t>Restaurant</t>
        </is>
      </c>
      <c r="H785" s="300" t="inlineStr">
        <is>
          <t>Cash</t>
        </is>
      </c>
      <c r="I785" s="301" t="inlineStr">
        <is>
          <t>✅ Paid</t>
        </is>
      </c>
      <c r="J785" s="423" t="inlineStr">
        <is>
          <t>No receipt; cash</t>
        </is>
      </c>
    </row>
    <row r="786">
      <c r="B786" s="429" t="n">
        <v>46286</v>
      </c>
      <c r="C786" s="297" t="inlineStr">
        <is>
          <t>Jamon</t>
        </is>
      </c>
      <c r="D786" s="298" t="inlineStr">
        <is>
          <t>No bill</t>
        </is>
      </c>
      <c r="E786" s="297" t="inlineStr">
        <is>
          <t>Ingredients - Meat</t>
        </is>
      </c>
      <c r="F786" s="299" t="n">
        <v>267</v>
      </c>
      <c r="G786" s="300" t="inlineStr">
        <is>
          <t>Restaurant</t>
        </is>
      </c>
      <c r="H786" s="300" t="inlineStr">
        <is>
          <t>Cash</t>
        </is>
      </c>
      <c r="I786" s="301" t="inlineStr">
        <is>
          <t>✅ Paid</t>
        </is>
      </c>
      <c r="J786" s="423" t="inlineStr">
        <is>
          <t>No receipt; cash</t>
        </is>
      </c>
    </row>
    <row r="787">
      <c r="B787" s="429" t="n">
        <v>46286</v>
      </c>
      <c r="C787" s="297" t="inlineStr">
        <is>
          <t>Carne</t>
        </is>
      </c>
      <c r="D787" s="298" t="inlineStr">
        <is>
          <t>No bill</t>
        </is>
      </c>
      <c r="E787" s="297" t="inlineStr">
        <is>
          <t>Ingredients - Meat</t>
        </is>
      </c>
      <c r="F787" s="299" t="n">
        <v>812</v>
      </c>
      <c r="G787" s="300" t="inlineStr">
        <is>
          <t>Restaurant</t>
        </is>
      </c>
      <c r="H787" s="300" t="inlineStr">
        <is>
          <t>Cash</t>
        </is>
      </c>
      <c r="I787" s="301" t="inlineStr">
        <is>
          <t>✅ Paid</t>
        </is>
      </c>
      <c r="J787" s="423" t="inlineStr">
        <is>
          <t>No receipt; cash</t>
        </is>
      </c>
    </row>
    <row r="788">
      <c r="B788" s="429" t="n">
        <v>46286</v>
      </c>
      <c r="C788" s="297" t="inlineStr">
        <is>
          <t>Queso</t>
        </is>
      </c>
      <c r="D788" s="298" t="inlineStr">
        <is>
          <t>No bill</t>
        </is>
      </c>
      <c r="E788" s="297" t="inlineStr">
        <is>
          <t>Ingredients - Dairy</t>
        </is>
      </c>
      <c r="F788" s="299" t="n">
        <v>567</v>
      </c>
      <c r="G788" s="300" t="inlineStr">
        <is>
          <t>Restaurant</t>
        </is>
      </c>
      <c r="H788" s="300" t="inlineStr">
        <is>
          <t>Cash</t>
        </is>
      </c>
      <c r="I788" s="301" t="inlineStr">
        <is>
          <t>✅ Paid</t>
        </is>
      </c>
      <c r="J788" s="423" t="inlineStr">
        <is>
          <t>No receipt; cash</t>
        </is>
      </c>
    </row>
    <row r="789">
      <c r="B789" s="429" t="n">
        <v>46286</v>
      </c>
      <c r="C789" s="297" t="inlineStr">
        <is>
          <t>Pollo</t>
        </is>
      </c>
      <c r="D789" s="298" t="inlineStr">
        <is>
          <t>No bill</t>
        </is>
      </c>
      <c r="E789" s="297" t="inlineStr">
        <is>
          <t>Ingredients - Meat</t>
        </is>
      </c>
      <c r="F789" s="299" t="n">
        <v>404</v>
      </c>
      <c r="G789" s="300" t="inlineStr">
        <is>
          <t>Lohith</t>
        </is>
      </c>
      <c r="H789" s="300" t="inlineStr">
        <is>
          <t>Cash</t>
        </is>
      </c>
      <c r="I789" s="301" t="inlineStr">
        <is>
          <t>✅ Paid</t>
        </is>
      </c>
      <c r="J789" s="423" t="inlineStr">
        <is>
          <t>Pagado por Lohith (bolsillo); reembolsable via Owner Ledger</t>
        </is>
      </c>
    </row>
    <row r="790">
      <c r="B790" s="429" t="n">
        <v>46287</v>
      </c>
      <c r="C790" s="297" t="inlineStr">
        <is>
          <t>Chedraui</t>
        </is>
      </c>
      <c r="D790" s="298" t="inlineStr">
        <is>
          <t>Chedraui</t>
        </is>
      </c>
      <c r="E790" s="297" t="inlineStr">
        <is>
          <t>Supermarket/General</t>
        </is>
      </c>
      <c r="F790" s="299" t="n">
        <v>258</v>
      </c>
      <c r="G790" s="300" t="inlineStr">
        <is>
          <t>Restaurant</t>
        </is>
      </c>
      <c r="H790" s="300" t="inlineStr">
        <is>
          <t>Cash</t>
        </is>
      </c>
      <c r="I790" s="301" t="inlineStr">
        <is>
          <t>✅ Paid</t>
        </is>
      </c>
      <c r="J790" s="423" t="inlineStr">
        <is>
          <t>No receipt; cash</t>
        </is>
      </c>
    </row>
    <row r="791">
      <c r="B791" s="429" t="n">
        <v>46287</v>
      </c>
      <c r="C791" s="297" t="inlineStr">
        <is>
          <t>Hielo</t>
        </is>
      </c>
      <c r="D791" s="298" t="inlineStr">
        <is>
          <t>No bill</t>
        </is>
      </c>
      <c r="E791" s="297" t="inlineStr">
        <is>
          <t>Kitchen Supplies</t>
        </is>
      </c>
      <c r="F791" s="299" t="n">
        <v>200</v>
      </c>
      <c r="G791" s="300" t="inlineStr">
        <is>
          <t>Restaurant</t>
        </is>
      </c>
      <c r="H791" s="300" t="inlineStr">
        <is>
          <t>Cash</t>
        </is>
      </c>
      <c r="I791" s="301" t="inlineStr">
        <is>
          <t>✅ Paid</t>
        </is>
      </c>
      <c r="J791" s="423" t="inlineStr">
        <is>
          <t>No receipt; cash</t>
        </is>
      </c>
    </row>
    <row r="792">
      <c r="B792" s="429" t="n">
        <v>46287</v>
      </c>
      <c r="C792" s="297" t="inlineStr">
        <is>
          <t>Agua Natural</t>
        </is>
      </c>
      <c r="D792" s="298" t="inlineStr">
        <is>
          <t>No bill</t>
        </is>
      </c>
      <c r="E792" s="297" t="inlineStr">
        <is>
          <t>Ingredients - Beverages</t>
        </is>
      </c>
      <c r="F792" s="299" t="n">
        <v>80</v>
      </c>
      <c r="G792" s="300" t="inlineStr">
        <is>
          <t>Restaurant</t>
        </is>
      </c>
      <c r="H792" s="300" t="inlineStr">
        <is>
          <t>Cash</t>
        </is>
      </c>
      <c r="I792" s="301" t="inlineStr">
        <is>
          <t>✅ Paid</t>
        </is>
      </c>
      <c r="J792" s="423" t="inlineStr">
        <is>
          <t>No receipt; cash</t>
        </is>
      </c>
    </row>
    <row r="793">
      <c r="B793" s="429" t="n">
        <v>46287</v>
      </c>
      <c r="C793" s="297" t="inlineStr">
        <is>
          <t>Impuestos junio, julio y agosto 2026</t>
        </is>
      </c>
      <c r="D793" s="298" t="inlineStr">
        <is>
          <t>SAT</t>
        </is>
      </c>
      <c r="E793" s="297" t="inlineStr">
        <is>
          <t>Taxes</t>
        </is>
      </c>
      <c r="F793" s="299" t="n">
        <v>14842</v>
      </c>
      <c r="G793" s="300" t="inlineStr">
        <is>
          <t>Restaurant</t>
        </is>
      </c>
      <c r="H793" s="300" t="inlineStr">
        <is>
          <t>Transfer</t>
        </is>
      </c>
      <c r="I793" s="301" t="inlineStr">
        <is>
          <t>✅ Paid</t>
        </is>
      </c>
      <c r="J793" s="423" t="inlineStr">
        <is>
          <t>Impuestos Jun-Ago 2026 pagados desde cuenta empresa</t>
        </is>
      </c>
    </row>
    <row r="794">
      <c r="B794" s="429" t="n">
        <v>46287</v>
      </c>
      <c r="C794" s="297" t="inlineStr">
        <is>
          <t>Honorarios Julio Contador</t>
        </is>
      </c>
      <c r="D794" s="298" t="inlineStr">
        <is>
          <t>Julio Contador</t>
        </is>
      </c>
      <c r="E794" s="297" t="inlineStr">
        <is>
          <t>Professional Services</t>
        </is>
      </c>
      <c r="F794" s="299" t="n">
        <v>3600</v>
      </c>
      <c r="G794" s="300" t="inlineStr">
        <is>
          <t>Restaurant</t>
        </is>
      </c>
      <c r="H794" s="300" t="inlineStr">
        <is>
          <t>Transfer</t>
        </is>
      </c>
      <c r="I794" s="301" t="inlineStr">
        <is>
          <t>✅ Paid</t>
        </is>
      </c>
      <c r="J794" s="423" t="inlineStr">
        <is>
          <t>Honorarios contables pagados desde cuenta empresa</t>
        </is>
      </c>
    </row>
    <row r="795">
      <c r="B795" s="429" t="n">
        <v>46288</v>
      </c>
      <c r="C795" s="297" t="inlineStr">
        <is>
          <t>Avia</t>
        </is>
      </c>
      <c r="D795" s="298" t="inlineStr">
        <is>
          <t>No bill</t>
        </is>
      </c>
      <c r="E795" s="297" t="inlineStr">
        <is>
          <t>Ingredients - Beverages</t>
        </is>
      </c>
      <c r="F795" s="299" t="n">
        <v>600</v>
      </c>
      <c r="G795" s="300" t="inlineStr">
        <is>
          <t>Restaurant</t>
        </is>
      </c>
      <c r="H795" s="300" t="inlineStr">
        <is>
          <t>Cash</t>
        </is>
      </c>
      <c r="I795" s="301" t="inlineStr">
        <is>
          <t>✅ Paid</t>
        </is>
      </c>
      <c r="J795" s="423" t="inlineStr">
        <is>
          <t>No receipt; cash</t>
        </is>
      </c>
    </row>
    <row r="796">
      <c r="B796" s="429" t="n">
        <v>46288</v>
      </c>
      <c r="C796" s="297" t="inlineStr">
        <is>
          <t>Boneless</t>
        </is>
      </c>
      <c r="D796" s="298" t="inlineStr">
        <is>
          <t>No bill</t>
        </is>
      </c>
      <c r="E796" s="297" t="inlineStr">
        <is>
          <t>Ingredients - Meat</t>
        </is>
      </c>
      <c r="F796" s="299" t="n">
        <v>1200</v>
      </c>
      <c r="G796" s="300" t="inlineStr">
        <is>
          <t>Restaurant</t>
        </is>
      </c>
      <c r="H796" s="300" t="inlineStr">
        <is>
          <t>Cash</t>
        </is>
      </c>
      <c r="I796" s="301" t="inlineStr">
        <is>
          <t>✅ Paid</t>
        </is>
      </c>
      <c r="J796" s="423" t="inlineStr">
        <is>
          <t>No receipt; cash</t>
        </is>
      </c>
    </row>
    <row r="797">
      <c r="B797" s="429" t="n">
        <v>46288</v>
      </c>
      <c r="C797" s="297" t="inlineStr">
        <is>
          <t>Carne</t>
        </is>
      </c>
      <c r="D797" s="298" t="inlineStr">
        <is>
          <t>No bill</t>
        </is>
      </c>
      <c r="E797" s="297" t="inlineStr">
        <is>
          <t>Ingredients - Meat</t>
        </is>
      </c>
      <c r="F797" s="299" t="n">
        <v>644</v>
      </c>
      <c r="G797" s="300" t="inlineStr">
        <is>
          <t>Restaurant</t>
        </is>
      </c>
      <c r="H797" s="300" t="inlineStr">
        <is>
          <t>Cash</t>
        </is>
      </c>
      <c r="I797" s="301" t="inlineStr">
        <is>
          <t>✅ Paid</t>
        </is>
      </c>
      <c r="J797" s="423" t="inlineStr">
        <is>
          <t>No receipt; cash</t>
        </is>
      </c>
    </row>
    <row r="798">
      <c r="B798" s="429" t="n">
        <v>46288</v>
      </c>
      <c r="C798" s="297" t="inlineStr">
        <is>
          <t>Guimar</t>
        </is>
      </c>
      <c r="D798" s="298" t="inlineStr">
        <is>
          <t>Guimar Polietilenos</t>
        </is>
      </c>
      <c r="E798" s="297" t="inlineStr">
        <is>
          <t>Packaging/Disposables</t>
        </is>
      </c>
      <c r="F798" s="299" t="n">
        <v>216</v>
      </c>
      <c r="G798" s="300" t="inlineStr">
        <is>
          <t>Restaurant</t>
        </is>
      </c>
      <c r="H798" s="300" t="inlineStr">
        <is>
          <t>Cash</t>
        </is>
      </c>
      <c r="I798" s="301" t="inlineStr">
        <is>
          <t>✅ Paid</t>
        </is>
      </c>
      <c r="J798" s="423" t="inlineStr">
        <is>
          <t>No receipt; cash</t>
        </is>
      </c>
    </row>
    <row r="799">
      <c r="B799" s="429" t="n">
        <v>46288</v>
      </c>
      <c r="C799" s="297" t="inlineStr">
        <is>
          <t>Oxxo Arroz</t>
        </is>
      </c>
      <c r="D799" s="298" t="inlineStr">
        <is>
          <t>OXXO</t>
        </is>
      </c>
      <c r="E799" s="297" t="inlineStr">
        <is>
          <t>Ingredients - Pantry</t>
        </is>
      </c>
      <c r="F799" s="299" t="n">
        <v>130</v>
      </c>
      <c r="G799" s="300" t="inlineStr">
        <is>
          <t>Restaurant</t>
        </is>
      </c>
      <c r="H799" s="300" t="inlineStr">
        <is>
          <t>Cash</t>
        </is>
      </c>
      <c r="I799" s="301" t="inlineStr">
        <is>
          <t>✅ Paid</t>
        </is>
      </c>
      <c r="J799" s="423" t="inlineStr">
        <is>
          <t>No receipt; cash</t>
        </is>
      </c>
    </row>
    <row r="800">
      <c r="B800" s="429" t="n">
        <v>46288</v>
      </c>
      <c r="C800" s="297" t="inlineStr">
        <is>
          <t>Pan Real</t>
        </is>
      </c>
      <c r="D800" s="298" t="inlineStr">
        <is>
          <t>No bill</t>
        </is>
      </c>
      <c r="E800" s="297" t="inlineStr">
        <is>
          <t>Ingredients - Bread</t>
        </is>
      </c>
      <c r="F800" s="299" t="n">
        <v>1706</v>
      </c>
      <c r="G800" s="300" t="inlineStr">
        <is>
          <t>Restaurant</t>
        </is>
      </c>
      <c r="H800" s="300" t="inlineStr">
        <is>
          <t>Cash</t>
        </is>
      </c>
      <c r="I800" s="301" t="inlineStr">
        <is>
          <t>✅ Paid</t>
        </is>
      </c>
      <c r="J800" s="423" t="inlineStr">
        <is>
          <t>No receipt; cash</t>
        </is>
      </c>
    </row>
    <row r="801">
      <c r="B801" s="429" t="n">
        <v>46288</v>
      </c>
      <c r="C801" s="297" t="inlineStr">
        <is>
          <t>Pollo</t>
        </is>
      </c>
      <c r="D801" s="298" t="inlineStr">
        <is>
          <t>No bill</t>
        </is>
      </c>
      <c r="E801" s="297" t="inlineStr">
        <is>
          <t>Ingredients - Meat</t>
        </is>
      </c>
      <c r="F801" s="299" t="n">
        <v>879</v>
      </c>
      <c r="G801" s="300" t="inlineStr">
        <is>
          <t>Lohith</t>
        </is>
      </c>
      <c r="H801" s="300" t="inlineStr">
        <is>
          <t>Cash</t>
        </is>
      </c>
      <c r="I801" s="301" t="inlineStr">
        <is>
          <t>✅ Paid</t>
        </is>
      </c>
      <c r="J801" s="423" t="inlineStr">
        <is>
          <t>Pagado por Lohith (bolsillo); reembolsable via Owner Ledger</t>
        </is>
      </c>
    </row>
    <row r="802">
      <c r="B802" s="429" t="n">
        <v>46289</v>
      </c>
      <c r="C802" s="297" t="inlineStr">
        <is>
          <t>Sams Club</t>
        </is>
      </c>
      <c r="D802" s="298" t="inlineStr">
        <is>
          <t>Sam's Club</t>
        </is>
      </c>
      <c r="E802" s="297" t="inlineStr">
        <is>
          <t>Supermarket/General</t>
        </is>
      </c>
      <c r="F802" s="299" t="n">
        <v>2465</v>
      </c>
      <c r="G802" s="300" t="inlineStr">
        <is>
          <t>Restaurant</t>
        </is>
      </c>
      <c r="H802" s="300" t="inlineStr">
        <is>
          <t>Cash</t>
        </is>
      </c>
      <c r="I802" s="301" t="inlineStr">
        <is>
          <t>✅ Paid</t>
        </is>
      </c>
      <c r="J802" s="423" t="inlineStr">
        <is>
          <t>No receipt; cash</t>
        </is>
      </c>
    </row>
    <row r="803">
      <c r="B803" s="429" t="n">
        <v>46290</v>
      </c>
      <c r="C803" s="297" t="inlineStr">
        <is>
          <t>Vegetables</t>
        </is>
      </c>
      <c r="D803" s="298" t="inlineStr">
        <is>
          <t>No bill</t>
        </is>
      </c>
      <c r="E803" s="297" t="inlineStr">
        <is>
          <t>Ingredients - Vegetables</t>
        </is>
      </c>
      <c r="F803" s="299" t="n">
        <v>138</v>
      </c>
      <c r="G803" s="300" t="inlineStr">
        <is>
          <t>Restaurant</t>
        </is>
      </c>
      <c r="H803" s="300" t="inlineStr">
        <is>
          <t>Cash</t>
        </is>
      </c>
      <c r="I803" s="301" t="inlineStr">
        <is>
          <t>✅ Paid</t>
        </is>
      </c>
      <c r="J803" s="423" t="inlineStr">
        <is>
          <t>No receipt; cash</t>
        </is>
      </c>
    </row>
    <row r="804">
      <c r="B804" s="429" t="n">
        <v>46290</v>
      </c>
      <c r="C804" s="297" t="inlineStr">
        <is>
          <t>Brisa del mar</t>
        </is>
      </c>
      <c r="D804" s="298" t="inlineStr">
        <is>
          <t>Brisa del Mar</t>
        </is>
      </c>
      <c r="E804" s="297" t="inlineStr">
        <is>
          <t>Ingredients - Meat &amp; Fish</t>
        </is>
      </c>
      <c r="F804" s="299" t="n">
        <v>289</v>
      </c>
      <c r="G804" s="300" t="inlineStr">
        <is>
          <t>Restaurant</t>
        </is>
      </c>
      <c r="H804" s="300" t="inlineStr">
        <is>
          <t>Cash</t>
        </is>
      </c>
      <c r="I804" s="301" t="inlineStr">
        <is>
          <t>✅ Paid</t>
        </is>
      </c>
      <c r="J804" s="423" t="inlineStr">
        <is>
          <t>No receipt; cash</t>
        </is>
      </c>
    </row>
    <row r="805">
      <c r="B805" s="429" t="n">
        <v>46290</v>
      </c>
      <c r="C805" s="297" t="inlineStr">
        <is>
          <t>Carne</t>
        </is>
      </c>
      <c r="D805" s="298" t="inlineStr">
        <is>
          <t>No bill</t>
        </is>
      </c>
      <c r="E805" s="297" t="inlineStr">
        <is>
          <t>Ingredients - Meat</t>
        </is>
      </c>
      <c r="F805" s="299" t="n">
        <v>301</v>
      </c>
      <c r="G805" s="300" t="inlineStr">
        <is>
          <t>Restaurant</t>
        </is>
      </c>
      <c r="H805" s="300" t="inlineStr">
        <is>
          <t>Cash</t>
        </is>
      </c>
      <c r="I805" s="301" t="inlineStr">
        <is>
          <t>✅ Paid</t>
        </is>
      </c>
      <c r="J805" s="423" t="inlineStr">
        <is>
          <t>No receipt; cash</t>
        </is>
      </c>
    </row>
    <row r="806">
      <c r="B806" s="429" t="n">
        <v>46290</v>
      </c>
      <c r="C806" s="297" t="inlineStr">
        <is>
          <t>Molino</t>
        </is>
      </c>
      <c r="D806" s="298" t="inlineStr">
        <is>
          <t>No bill</t>
        </is>
      </c>
      <c r="E806" s="297" t="inlineStr">
        <is>
          <t>Supermarket/General</t>
        </is>
      </c>
      <c r="F806" s="299" t="n">
        <v>464</v>
      </c>
      <c r="G806" s="300" t="inlineStr">
        <is>
          <t>Restaurant</t>
        </is>
      </c>
      <c r="H806" s="300" t="inlineStr">
        <is>
          <t>Cash</t>
        </is>
      </c>
      <c r="I806" s="301" t="inlineStr">
        <is>
          <t>✅ Paid</t>
        </is>
      </c>
      <c r="J806" s="423" t="inlineStr">
        <is>
          <t>No receipt; cash</t>
        </is>
      </c>
    </row>
    <row r="807">
      <c r="B807" s="429" t="n">
        <v>46290</v>
      </c>
      <c r="C807" s="297" t="inlineStr">
        <is>
          <t>Chedraui</t>
        </is>
      </c>
      <c r="D807" s="298" t="inlineStr">
        <is>
          <t>Chedraui</t>
        </is>
      </c>
      <c r="E807" s="297" t="inlineStr">
        <is>
          <t>Supermarket/General</t>
        </is>
      </c>
      <c r="F807" s="299" t="n">
        <v>48</v>
      </c>
      <c r="G807" s="300" t="inlineStr">
        <is>
          <t>Restaurant</t>
        </is>
      </c>
      <c r="H807" s="300" t="inlineStr">
        <is>
          <t>Cash</t>
        </is>
      </c>
      <c r="I807" s="301" t="inlineStr">
        <is>
          <t>✅ Paid</t>
        </is>
      </c>
      <c r="J807" s="423" t="inlineStr">
        <is>
          <t>No receipt; cash</t>
        </is>
      </c>
    </row>
    <row r="808">
      <c r="B808" s="429" t="n">
        <v>46291</v>
      </c>
      <c r="C808" s="297" t="inlineStr">
        <is>
          <t>Vegetables</t>
        </is>
      </c>
      <c r="D808" s="298" t="inlineStr">
        <is>
          <t>No bill</t>
        </is>
      </c>
      <c r="E808" s="297" t="inlineStr">
        <is>
          <t>Ingredients - Vegetables</t>
        </is>
      </c>
      <c r="F808" s="299" t="n">
        <v>1066</v>
      </c>
      <c r="G808" s="300" t="inlineStr">
        <is>
          <t>Restaurant</t>
        </is>
      </c>
      <c r="H808" s="300" t="inlineStr">
        <is>
          <t>Cash</t>
        </is>
      </c>
      <c r="I808" s="301" t="inlineStr">
        <is>
          <t>✅ Paid</t>
        </is>
      </c>
      <c r="J808" s="423" t="inlineStr">
        <is>
          <t>No receipt; cash</t>
        </is>
      </c>
    </row>
    <row r="809">
      <c r="B809" s="429" t="n">
        <v>46291</v>
      </c>
      <c r="C809" s="297" t="inlineStr">
        <is>
          <t>Guimar</t>
        </is>
      </c>
      <c r="D809" s="298" t="inlineStr">
        <is>
          <t>Guimar Polietilenos</t>
        </is>
      </c>
      <c r="E809" s="297" t="inlineStr">
        <is>
          <t>Packaging/Disposables</t>
        </is>
      </c>
      <c r="F809" s="299" t="n">
        <v>173</v>
      </c>
      <c r="G809" s="300" t="inlineStr">
        <is>
          <t>Restaurant</t>
        </is>
      </c>
      <c r="H809" s="300" t="inlineStr">
        <is>
          <t>Cash</t>
        </is>
      </c>
      <c r="I809" s="301" t="inlineStr">
        <is>
          <t>✅ Paid</t>
        </is>
      </c>
      <c r="J809" s="423" t="inlineStr">
        <is>
          <t>No receipt; cash</t>
        </is>
      </c>
    </row>
    <row r="810">
      <c r="B810" s="429" t="n">
        <v>46291</v>
      </c>
      <c r="C810" s="297" t="inlineStr">
        <is>
          <t>Basicos</t>
        </is>
      </c>
      <c r="D810" s="298" t="inlineStr">
        <is>
          <t>No bill</t>
        </is>
      </c>
      <c r="E810" s="297" t="inlineStr">
        <is>
          <t>Supermarket/General</t>
        </is>
      </c>
      <c r="F810" s="299" t="n">
        <v>443</v>
      </c>
      <c r="G810" s="300" t="inlineStr">
        <is>
          <t>Restaurant</t>
        </is>
      </c>
      <c r="H810" s="300" t="inlineStr">
        <is>
          <t>Cash</t>
        </is>
      </c>
      <c r="I810" s="301" t="inlineStr">
        <is>
          <t>✅ Paid</t>
        </is>
      </c>
      <c r="J810" s="423" t="inlineStr">
        <is>
          <t>No receipt; cash</t>
        </is>
      </c>
    </row>
    <row r="811">
      <c r="B811" s="429" t="n">
        <v>46291</v>
      </c>
      <c r="C811" s="297" t="inlineStr">
        <is>
          <t>Jhon - salary</t>
        </is>
      </c>
      <c r="D811" s="298" t="inlineStr">
        <is>
          <t>Payroll</t>
        </is>
      </c>
      <c r="E811" s="297" t="inlineStr">
        <is>
          <t>Staff - Salary</t>
        </is>
      </c>
      <c r="F811" s="299" t="n">
        <v>3750</v>
      </c>
      <c r="G811" s="300" t="inlineStr">
        <is>
          <t>Restaurant</t>
        </is>
      </c>
      <c r="H811" s="300" t="inlineStr">
        <is>
          <t>Cash</t>
        </is>
      </c>
      <c r="I811" s="301" t="inlineStr">
        <is>
          <t>✅ Paid</t>
        </is>
      </c>
      <c r="J811" s="423" t="inlineStr">
        <is>
          <t>Weekly salary</t>
        </is>
      </c>
    </row>
    <row r="812">
      <c r="B812" s="429" t="n">
        <v>46291</v>
      </c>
      <c r="C812" s="297" t="inlineStr">
        <is>
          <t>Duvi - salary</t>
        </is>
      </c>
      <c r="D812" s="298" t="inlineStr">
        <is>
          <t>Payroll</t>
        </is>
      </c>
      <c r="E812" s="297" t="inlineStr">
        <is>
          <t>Staff - Salary</t>
        </is>
      </c>
      <c r="F812" s="299" t="n">
        <v>1750</v>
      </c>
      <c r="G812" s="300" t="inlineStr">
        <is>
          <t>Restaurant</t>
        </is>
      </c>
      <c r="H812" s="300" t="inlineStr">
        <is>
          <t>Cash</t>
        </is>
      </c>
      <c r="I812" s="301" t="inlineStr">
        <is>
          <t>✅ Paid</t>
        </is>
      </c>
      <c r="J812" s="423" t="inlineStr">
        <is>
          <t>Weekly salary</t>
        </is>
      </c>
    </row>
    <row r="813">
      <c r="B813" s="429" t="n">
        <v>46291</v>
      </c>
      <c r="C813" s="297" t="inlineStr">
        <is>
          <t>Josias - salary</t>
        </is>
      </c>
      <c r="D813" s="298" t="inlineStr">
        <is>
          <t>Payroll</t>
        </is>
      </c>
      <c r="E813" s="297" t="inlineStr">
        <is>
          <t>Staff - Salary</t>
        </is>
      </c>
      <c r="F813" s="299" t="n">
        <v>2200</v>
      </c>
      <c r="G813" s="300" t="inlineStr">
        <is>
          <t>Restaurant</t>
        </is>
      </c>
      <c r="H813" s="300" t="inlineStr">
        <is>
          <t>Cash</t>
        </is>
      </c>
      <c r="I813" s="301" t="inlineStr">
        <is>
          <t>✅ Paid</t>
        </is>
      </c>
      <c r="J813" s="423" t="inlineStr">
        <is>
          <t>Weekly salary</t>
        </is>
      </c>
    </row>
    <row r="814">
      <c r="B814" s="429" t="n">
        <v>46293</v>
      </c>
      <c r="C814" s="297" t="inlineStr">
        <is>
          <t>Carne</t>
        </is>
      </c>
      <c r="D814" s="298" t="inlineStr">
        <is>
          <t>No bill</t>
        </is>
      </c>
      <c r="E814" s="297" t="inlineStr">
        <is>
          <t>Ingredients - Meat</t>
        </is>
      </c>
      <c r="F814" s="299" t="n">
        <v>596</v>
      </c>
      <c r="G814" s="300" t="inlineStr">
        <is>
          <t>Restaurant</t>
        </is>
      </c>
      <c r="H814" s="300" t="inlineStr">
        <is>
          <t>Cash</t>
        </is>
      </c>
      <c r="I814" s="301" t="inlineStr">
        <is>
          <t>✅ Paid</t>
        </is>
      </c>
      <c r="J814" s="423" t="inlineStr">
        <is>
          <t>No receipt; cash</t>
        </is>
      </c>
    </row>
    <row r="815">
      <c r="B815" s="429" t="n">
        <v>46293</v>
      </c>
      <c r="C815" s="297" t="inlineStr">
        <is>
          <t>Chedraui</t>
        </is>
      </c>
      <c r="D815" s="298" t="inlineStr">
        <is>
          <t>Chedraui</t>
        </is>
      </c>
      <c r="E815" s="297" t="inlineStr">
        <is>
          <t>Supermarket/General</t>
        </is>
      </c>
      <c r="F815" s="299" t="n">
        <v>117</v>
      </c>
      <c r="G815" s="300" t="inlineStr">
        <is>
          <t>Restaurant</t>
        </is>
      </c>
      <c r="H815" s="300" t="inlineStr">
        <is>
          <t>Cash</t>
        </is>
      </c>
      <c r="I815" s="301" t="inlineStr">
        <is>
          <t>✅ Paid</t>
        </is>
      </c>
      <c r="J815" s="423" t="inlineStr">
        <is>
          <t>No receipt; cash</t>
        </is>
      </c>
    </row>
    <row r="816">
      <c r="B816" s="429" t="n">
        <v>46294</v>
      </c>
      <c r="C816" s="297" t="inlineStr">
        <is>
          <t>Mercado Pago machine</t>
        </is>
      </c>
      <c r="D816" s="298" t="inlineStr">
        <is>
          <t>No bill</t>
        </is>
      </c>
      <c r="E816" s="297" t="inlineStr">
        <is>
          <t>Supermarket/General</t>
        </is>
      </c>
      <c r="F816" s="299" t="n">
        <v>399</v>
      </c>
      <c r="G816" s="300" t="inlineStr">
        <is>
          <t>Restaurant</t>
        </is>
      </c>
      <c r="H816" s="300" t="inlineStr">
        <is>
          <t>Cash</t>
        </is>
      </c>
      <c r="I816" s="301" t="inlineStr">
        <is>
          <t>✅ Paid</t>
        </is>
      </c>
      <c r="J816" s="423" t="inlineStr">
        <is>
          <t>No receipt; cash</t>
        </is>
      </c>
    </row>
    <row r="817">
      <c r="B817" s="429" t="n">
        <v>46295</v>
      </c>
      <c r="C817" s="297" t="inlineStr">
        <is>
          <t>Carne</t>
        </is>
      </c>
      <c r="D817" s="298" t="inlineStr">
        <is>
          <t>No bill</t>
        </is>
      </c>
      <c r="E817" s="297" t="inlineStr">
        <is>
          <t>Ingredients - Meat</t>
        </is>
      </c>
      <c r="F817" s="299" t="n">
        <v>743</v>
      </c>
      <c r="G817" s="300" t="inlineStr">
        <is>
          <t>Restaurant</t>
        </is>
      </c>
      <c r="H817" s="300" t="inlineStr">
        <is>
          <t>Cash</t>
        </is>
      </c>
      <c r="I817" s="301" t="inlineStr">
        <is>
          <t>✅ Paid</t>
        </is>
      </c>
      <c r="J817" s="423" t="inlineStr">
        <is>
          <t>No receipt; cash</t>
        </is>
      </c>
    </row>
    <row r="818">
      <c r="B818" s="429" t="n">
        <v>46295</v>
      </c>
      <c r="C818" s="297" t="inlineStr">
        <is>
          <t>Oxxo</t>
        </is>
      </c>
      <c r="D818" s="298" t="inlineStr">
        <is>
          <t>OXXO</t>
        </is>
      </c>
      <c r="E818" s="297" t="inlineStr">
        <is>
          <t>Ingredients - Pantry</t>
        </is>
      </c>
      <c r="F818" s="299" t="n">
        <v>33</v>
      </c>
      <c r="G818" s="300" t="inlineStr">
        <is>
          <t>Restaurant</t>
        </is>
      </c>
      <c r="H818" s="300" t="inlineStr">
        <is>
          <t>Cash</t>
        </is>
      </c>
      <c r="I818" s="301" t="inlineStr">
        <is>
          <t>✅ Paid</t>
        </is>
      </c>
      <c r="J818" s="423" t="inlineStr">
        <is>
          <t>No receipt; cash</t>
        </is>
      </c>
    </row>
    <row r="819">
      <c r="B819" s="429" t="n">
        <v>46295</v>
      </c>
      <c r="C819" s="297" t="inlineStr">
        <is>
          <t>Agua Natural</t>
        </is>
      </c>
      <c r="D819" s="298" t="inlineStr">
        <is>
          <t>No bill</t>
        </is>
      </c>
      <c r="E819" s="297" t="inlineStr">
        <is>
          <t>Ingredients - Beverages</t>
        </is>
      </c>
      <c r="F819" s="299" t="n">
        <v>60</v>
      </c>
      <c r="G819" s="300" t="inlineStr">
        <is>
          <t>Restaurant</t>
        </is>
      </c>
      <c r="H819" s="300" t="inlineStr">
        <is>
          <t>Cash</t>
        </is>
      </c>
      <c r="I819" s="301" t="inlineStr">
        <is>
          <t>✅ Paid</t>
        </is>
      </c>
      <c r="J819" s="423" t="inlineStr">
        <is>
          <t>No receipt; cash</t>
        </is>
      </c>
    </row>
    <row r="820">
      <c r="B820" s="429" t="n">
        <v>46295</v>
      </c>
      <c r="C820" s="297" t="inlineStr">
        <is>
          <t>Cafetera Fiesta</t>
        </is>
      </c>
      <c r="D820" s="298" t="inlineStr">
        <is>
          <t>No bill</t>
        </is>
      </c>
      <c r="E820" s="297" t="inlineStr">
        <is>
          <t>Supplies/Other</t>
        </is>
      </c>
      <c r="F820" s="299" t="n">
        <v>699</v>
      </c>
      <c r="G820" s="300" t="inlineStr">
        <is>
          <t>Restaurant</t>
        </is>
      </c>
      <c r="H820" s="300" t="inlineStr">
        <is>
          <t>Cash</t>
        </is>
      </c>
      <c r="I820" s="301" t="inlineStr">
        <is>
          <t>✅ Paid</t>
        </is>
      </c>
      <c r="J820" s="423" t="inlineStr">
        <is>
          <t>No receipt; cash</t>
        </is>
      </c>
    </row>
    <row r="821">
      <c r="B821" s="429" t="n">
        <v>46296</v>
      </c>
      <c r="C821" s="297" t="inlineStr">
        <is>
          <t>Pollo</t>
        </is>
      </c>
      <c r="D821" s="298" t="inlineStr">
        <is>
          <t>No bill</t>
        </is>
      </c>
      <c r="E821" s="297" t="inlineStr">
        <is>
          <t>Ingredients - Meat</t>
        </is>
      </c>
      <c r="F821" s="299" t="n">
        <v>174</v>
      </c>
      <c r="G821" s="300" t="inlineStr">
        <is>
          <t>Restaurant</t>
        </is>
      </c>
      <c r="H821" s="300" t="inlineStr">
        <is>
          <t>Cash</t>
        </is>
      </c>
      <c r="I821" s="301" t="inlineStr">
        <is>
          <t>✅ Paid</t>
        </is>
      </c>
      <c r="J821" s="423" t="inlineStr">
        <is>
          <t>No receipt; cash</t>
        </is>
      </c>
    </row>
    <row r="822">
      <c r="B822" s="429" t="n">
        <v>46296</v>
      </c>
      <c r="C822" s="297" t="inlineStr">
        <is>
          <t>Oxxo Arrox</t>
        </is>
      </c>
      <c r="D822" s="298" t="inlineStr">
        <is>
          <t>OXXO</t>
        </is>
      </c>
      <c r="E822" s="297" t="inlineStr">
        <is>
          <t>Ingredients - Pantry</t>
        </is>
      </c>
      <c r="F822" s="299" t="n">
        <v>130</v>
      </c>
      <c r="G822" s="300" t="inlineStr">
        <is>
          <t>Restaurant</t>
        </is>
      </c>
      <c r="H822" s="300" t="inlineStr">
        <is>
          <t>Cash</t>
        </is>
      </c>
      <c r="I822" s="301" t="inlineStr">
        <is>
          <t>✅ Paid</t>
        </is>
      </c>
      <c r="J822" s="423" t="inlineStr">
        <is>
          <t>No receipt; cash</t>
        </is>
      </c>
    </row>
    <row r="823">
      <c r="B823" s="429" t="n">
        <v>46296</v>
      </c>
      <c r="C823" s="297" t="inlineStr">
        <is>
          <t>Chedraui</t>
        </is>
      </c>
      <c r="D823" s="298" t="inlineStr">
        <is>
          <t>Chedraui</t>
        </is>
      </c>
      <c r="E823" s="297" t="inlineStr">
        <is>
          <t>Supermarket/General</t>
        </is>
      </c>
      <c r="F823" s="299" t="n">
        <v>443</v>
      </c>
      <c r="G823" s="300" t="inlineStr">
        <is>
          <t>Restaurant</t>
        </is>
      </c>
      <c r="H823" s="300" t="inlineStr">
        <is>
          <t>Cash</t>
        </is>
      </c>
      <c r="I823" s="301" t="inlineStr">
        <is>
          <t>✅ Paid</t>
        </is>
      </c>
      <c r="J823" s="423" t="inlineStr">
        <is>
          <t>No receipt; cash</t>
        </is>
      </c>
    </row>
    <row r="824">
      <c r="B824" s="429" t="n">
        <v>46297</v>
      </c>
      <c r="C824" s="297" t="inlineStr">
        <is>
          <t>Pescado</t>
        </is>
      </c>
      <c r="D824" s="298" t="inlineStr">
        <is>
          <t>No bill</t>
        </is>
      </c>
      <c r="E824" s="297" t="inlineStr">
        <is>
          <t>Ingredients - Meat &amp; Fish</t>
        </is>
      </c>
      <c r="F824" s="299" t="n">
        <v>297</v>
      </c>
      <c r="G824" s="300" t="inlineStr">
        <is>
          <t>Restaurant</t>
        </is>
      </c>
      <c r="H824" s="300" t="inlineStr">
        <is>
          <t>Cash</t>
        </is>
      </c>
      <c r="I824" s="301" t="inlineStr">
        <is>
          <t>✅ Paid</t>
        </is>
      </c>
      <c r="J824" s="423" t="inlineStr">
        <is>
          <t>No receipt; cash</t>
        </is>
      </c>
    </row>
    <row r="825">
      <c r="B825" s="429" t="n">
        <v>46297</v>
      </c>
      <c r="C825" s="297" t="inlineStr">
        <is>
          <t>Duvi - salary</t>
        </is>
      </c>
      <c r="D825" s="298" t="inlineStr">
        <is>
          <t>Payroll</t>
        </is>
      </c>
      <c r="E825" s="297" t="inlineStr">
        <is>
          <t>Staff - Salary</t>
        </is>
      </c>
      <c r="F825" s="299" t="n">
        <v>875</v>
      </c>
      <c r="G825" s="300" t="inlineStr">
        <is>
          <t>Restaurant</t>
        </is>
      </c>
      <c r="H825" s="300" t="inlineStr">
        <is>
          <t>Cash</t>
        </is>
      </c>
      <c r="I825" s="301" t="inlineStr">
        <is>
          <t>✅ Paid</t>
        </is>
      </c>
      <c r="J825" s="423" t="inlineStr">
        <is>
          <t>Weekly salary</t>
        </is>
      </c>
    </row>
    <row r="826">
      <c r="B826" s="429" t="n">
        <v>46297</v>
      </c>
      <c r="C826" s="297" t="inlineStr">
        <is>
          <t>Josias - salary</t>
        </is>
      </c>
      <c r="D826" s="298" t="inlineStr">
        <is>
          <t>Payroll</t>
        </is>
      </c>
      <c r="E826" s="297" t="inlineStr">
        <is>
          <t>Staff - Salary</t>
        </is>
      </c>
      <c r="F826" s="299" t="n">
        <v>1096</v>
      </c>
      <c r="G826" s="300" t="inlineStr">
        <is>
          <t>Restaurant</t>
        </is>
      </c>
      <c r="H826" s="300" t="inlineStr">
        <is>
          <t>Cash</t>
        </is>
      </c>
      <c r="I826" s="301" t="inlineStr">
        <is>
          <t>✅ Paid</t>
        </is>
      </c>
      <c r="J826" s="423" t="inlineStr">
        <is>
          <t>Weekly salary</t>
        </is>
      </c>
    </row>
    <row r="827">
      <c r="B827" s="429" t="n">
        <v>46297</v>
      </c>
      <c r="C827" s="297" t="inlineStr">
        <is>
          <t>Jhon - salary</t>
        </is>
      </c>
      <c r="D827" s="298" t="inlineStr">
        <is>
          <t>Payroll</t>
        </is>
      </c>
      <c r="E827" s="297" t="inlineStr">
        <is>
          <t>Staff - Salary</t>
        </is>
      </c>
      <c r="F827" s="299" t="n">
        <v>3550</v>
      </c>
      <c r="G827" s="300" t="inlineStr">
        <is>
          <t>Restaurant</t>
        </is>
      </c>
      <c r="H827" s="300" t="inlineStr">
        <is>
          <t>Cash</t>
        </is>
      </c>
      <c r="I827" s="301" t="inlineStr">
        <is>
          <t>✅ Paid</t>
        </is>
      </c>
      <c r="J827" s="423" t="inlineStr">
        <is>
          <t>Weekly salary</t>
        </is>
      </c>
    </row>
    <row r="828">
      <c r="B828" s="429" t="n">
        <v>46300</v>
      </c>
      <c r="C828" s="297" t="inlineStr">
        <is>
          <t>Vegetables</t>
        </is>
      </c>
      <c r="D828" s="298" t="inlineStr">
        <is>
          <t>No bill</t>
        </is>
      </c>
      <c r="E828" s="297" t="inlineStr">
        <is>
          <t>Ingredients - Vegetables</t>
        </is>
      </c>
      <c r="F828" s="299" t="n">
        <v>1228</v>
      </c>
      <c r="G828" s="300" t="inlineStr">
        <is>
          <t>Restaurant</t>
        </is>
      </c>
      <c r="H828" s="300" t="inlineStr">
        <is>
          <t>Cash</t>
        </is>
      </c>
      <c r="I828" s="301" t="inlineStr">
        <is>
          <t>✅ Paid</t>
        </is>
      </c>
      <c r="J828" s="423" t="inlineStr">
        <is>
          <t>No receipt; cash</t>
        </is>
      </c>
    </row>
    <row r="829">
      <c r="B829" s="429" t="n">
        <v>46300</v>
      </c>
      <c r="C829" s="297" t="inlineStr">
        <is>
          <t>Chedraui</t>
        </is>
      </c>
      <c r="D829" s="298" t="inlineStr">
        <is>
          <t>Chedraui</t>
        </is>
      </c>
      <c r="E829" s="297" t="inlineStr">
        <is>
          <t>Supermarket/General</t>
        </is>
      </c>
      <c r="F829" s="299" t="n">
        <v>89</v>
      </c>
      <c r="G829" s="300" t="inlineStr">
        <is>
          <t>Restaurant</t>
        </is>
      </c>
      <c r="H829" s="300" t="inlineStr">
        <is>
          <t>Cash</t>
        </is>
      </c>
      <c r="I829" s="301" t="inlineStr">
        <is>
          <t>✅ Paid</t>
        </is>
      </c>
      <c r="J829" s="423" t="inlineStr">
        <is>
          <t>No receipt; cash</t>
        </is>
      </c>
    </row>
    <row r="830">
      <c r="B830" s="429" t="n">
        <v>46300</v>
      </c>
      <c r="C830" s="297" t="inlineStr">
        <is>
          <t>Electricity Bill</t>
        </is>
      </c>
      <c r="D830" s="298" t="inlineStr">
        <is>
          <t>No bill</t>
        </is>
      </c>
      <c r="E830" s="297" t="inlineStr">
        <is>
          <t>Utilities/Electricity</t>
        </is>
      </c>
      <c r="F830" s="299" t="n">
        <v>7710</v>
      </c>
      <c r="G830" s="300" t="inlineStr">
        <is>
          <t>Restaurant</t>
        </is>
      </c>
      <c r="H830" s="300" t="inlineStr">
        <is>
          <t>Cash</t>
        </is>
      </c>
      <c r="I830" s="301" t="inlineStr">
        <is>
          <t>✅ Paid</t>
        </is>
      </c>
      <c r="J830" s="423" t="inlineStr">
        <is>
          <t>No receipt; cash</t>
        </is>
      </c>
    </row>
    <row r="831">
      <c r="B831" s="429" t="n">
        <v>46300</v>
      </c>
      <c r="C831" s="297" t="inlineStr">
        <is>
          <t>Rent</t>
        </is>
      </c>
      <c r="D831" s="298" t="inlineStr">
        <is>
          <t>No bill</t>
        </is>
      </c>
      <c r="E831" s="297" t="inlineStr">
        <is>
          <t>Rent</t>
        </is>
      </c>
      <c r="F831" s="299" t="n">
        <v>19066.68</v>
      </c>
      <c r="G831" s="300" t="inlineStr">
        <is>
          <t>Restaurant</t>
        </is>
      </c>
      <c r="H831" s="300" t="inlineStr">
        <is>
          <t>Cash</t>
        </is>
      </c>
      <c r="I831" s="301" t="inlineStr">
        <is>
          <t>✅ Paid</t>
        </is>
      </c>
      <c r="J831" s="423" t="inlineStr">
        <is>
          <t>No receipt; cash</t>
        </is>
      </c>
    </row>
    <row r="832">
      <c r="B832" s="429" t="n">
        <v>46300</v>
      </c>
      <c r="C832" s="297" t="inlineStr">
        <is>
          <t>Pollo</t>
        </is>
      </c>
      <c r="D832" s="298" t="inlineStr">
        <is>
          <t>No bill</t>
        </is>
      </c>
      <c r="E832" s="297" t="inlineStr">
        <is>
          <t>Ingredients - Meat</t>
        </is>
      </c>
      <c r="F832" s="299" t="n">
        <v>912</v>
      </c>
      <c r="G832" s="300" t="inlineStr">
        <is>
          <t>Lohith</t>
        </is>
      </c>
      <c r="H832" s="300" t="inlineStr">
        <is>
          <t>Cash</t>
        </is>
      </c>
      <c r="I832" s="301" t="inlineStr">
        <is>
          <t>✅ Paid</t>
        </is>
      </c>
      <c r="J832" s="423" t="inlineStr">
        <is>
          <t>Pagado por Lohith (bolsillo); reembolsable via Owner Ledger</t>
        </is>
      </c>
    </row>
    <row r="833">
      <c r="B833" s="429" t="n">
        <v>46301</v>
      </c>
      <c r="C833" s="297" t="inlineStr">
        <is>
          <t>Chedraui</t>
        </is>
      </c>
      <c r="D833" s="298" t="inlineStr">
        <is>
          <t>Chedraui</t>
        </is>
      </c>
      <c r="E833" s="297" t="inlineStr">
        <is>
          <t>Supermarket/General</t>
        </is>
      </c>
      <c r="F833" s="299" t="n">
        <v>49</v>
      </c>
      <c r="G833" s="300" t="inlineStr">
        <is>
          <t>Restaurant</t>
        </is>
      </c>
      <c r="H833" s="300" t="inlineStr">
        <is>
          <t>Cash</t>
        </is>
      </c>
      <c r="I833" s="301" t="inlineStr">
        <is>
          <t>✅ Paid</t>
        </is>
      </c>
      <c r="J833" s="423" t="inlineStr">
        <is>
          <t>No receipt; cash</t>
        </is>
      </c>
    </row>
    <row r="834">
      <c r="B834" s="429" t="n">
        <v>46301</v>
      </c>
      <c r="C834" s="297" t="inlineStr">
        <is>
          <t>Oxxo panela</t>
        </is>
      </c>
      <c r="D834" s="298" t="inlineStr">
        <is>
          <t>OXXO</t>
        </is>
      </c>
      <c r="E834" s="297" t="inlineStr">
        <is>
          <t>Ingredients - Dairy</t>
        </is>
      </c>
      <c r="F834" s="299" t="n">
        <v>45</v>
      </c>
      <c r="G834" s="300" t="inlineStr">
        <is>
          <t>Restaurant</t>
        </is>
      </c>
      <c r="H834" s="300" t="inlineStr">
        <is>
          <t>Cash</t>
        </is>
      </c>
      <c r="I834" s="301" t="inlineStr">
        <is>
          <t>✅ Paid</t>
        </is>
      </c>
      <c r="J834" s="423" t="inlineStr">
        <is>
          <t>No receipt; cash</t>
        </is>
      </c>
    </row>
    <row r="835">
      <c r="B835" s="429" t="n">
        <v>46301</v>
      </c>
      <c r="C835" s="297" t="inlineStr">
        <is>
          <t>Pan</t>
        </is>
      </c>
      <c r="D835" s="298" t="inlineStr">
        <is>
          <t>No bill</t>
        </is>
      </c>
      <c r="E835" s="297" t="inlineStr">
        <is>
          <t>Ingredients - Bread</t>
        </is>
      </c>
      <c r="F835" s="299" t="n">
        <v>25</v>
      </c>
      <c r="G835" s="300" t="inlineStr">
        <is>
          <t>Restaurant</t>
        </is>
      </c>
      <c r="H835" s="300" t="inlineStr">
        <is>
          <t>Cash</t>
        </is>
      </c>
      <c r="I835" s="301" t="inlineStr">
        <is>
          <t>✅ Paid</t>
        </is>
      </c>
      <c r="J835" s="423" t="inlineStr">
        <is>
          <t>No receipt; cash</t>
        </is>
      </c>
    </row>
    <row r="836">
      <c r="B836" s="429" t="n">
        <v>46301</v>
      </c>
      <c r="C836" s="297" t="inlineStr">
        <is>
          <t>Carne</t>
        </is>
      </c>
      <c r="D836" s="298" t="inlineStr">
        <is>
          <t>No bill</t>
        </is>
      </c>
      <c r="E836" s="297" t="inlineStr">
        <is>
          <t>Ingredients - Meat</t>
        </is>
      </c>
      <c r="F836" s="299" t="n">
        <v>1056</v>
      </c>
      <c r="G836" s="300" t="inlineStr">
        <is>
          <t>Restaurant</t>
        </is>
      </c>
      <c r="H836" s="300" t="inlineStr">
        <is>
          <t>Cash</t>
        </is>
      </c>
      <c r="I836" s="301" t="inlineStr">
        <is>
          <t>✅ Paid</t>
        </is>
      </c>
      <c r="J836" s="423" t="inlineStr">
        <is>
          <t>No receipt; cash</t>
        </is>
      </c>
    </row>
    <row r="837">
      <c r="B837" s="429" t="n">
        <v>46301</v>
      </c>
      <c r="C837" s="297" t="inlineStr">
        <is>
          <t>Sams club</t>
        </is>
      </c>
      <c r="D837" s="298" t="inlineStr">
        <is>
          <t>Sam's Club</t>
        </is>
      </c>
      <c r="E837" s="297" t="inlineStr">
        <is>
          <t>Supermarket/General</t>
        </is>
      </c>
      <c r="F837" s="299" t="n">
        <v>1909</v>
      </c>
      <c r="G837" s="300" t="inlineStr">
        <is>
          <t>Restaurant</t>
        </is>
      </c>
      <c r="H837" s="300" t="inlineStr">
        <is>
          <t>Cash</t>
        </is>
      </c>
      <c r="I837" s="301" t="inlineStr">
        <is>
          <t>✅ Paid</t>
        </is>
      </c>
      <c r="J837" s="423" t="inlineStr">
        <is>
          <t>No receipt; cash</t>
        </is>
      </c>
    </row>
    <row r="838">
      <c r="B838" s="429" t="n">
        <v>46301</v>
      </c>
      <c r="C838" s="297" t="inlineStr">
        <is>
          <t>guimar</t>
        </is>
      </c>
      <c r="D838" s="298" t="inlineStr">
        <is>
          <t>Guimar Polietilenos</t>
        </is>
      </c>
      <c r="E838" s="297" t="inlineStr">
        <is>
          <t>Packaging/Disposables</t>
        </is>
      </c>
      <c r="F838" s="299" t="n">
        <v>604</v>
      </c>
      <c r="G838" s="300" t="inlineStr">
        <is>
          <t>Restaurant</t>
        </is>
      </c>
      <c r="H838" s="300" t="inlineStr">
        <is>
          <t>Cash</t>
        </is>
      </c>
      <c r="I838" s="301" t="inlineStr">
        <is>
          <t>✅ Paid</t>
        </is>
      </c>
      <c r="J838" s="423" t="inlineStr">
        <is>
          <t>No receipt; cash</t>
        </is>
      </c>
    </row>
    <row r="839">
      <c r="B839" s="429" t="n">
        <v>46301</v>
      </c>
      <c r="C839" s="297" t="inlineStr">
        <is>
          <t>Carne</t>
        </is>
      </c>
      <c r="D839" s="298" t="inlineStr">
        <is>
          <t>No bill</t>
        </is>
      </c>
      <c r="E839" s="297" t="inlineStr">
        <is>
          <t>Ingredients - Meat</t>
        </is>
      </c>
      <c r="F839" s="299" t="n">
        <v>583</v>
      </c>
      <c r="G839" s="300" t="inlineStr">
        <is>
          <t>Restaurant</t>
        </is>
      </c>
      <c r="H839" s="300" t="inlineStr">
        <is>
          <t>Cash</t>
        </is>
      </c>
      <c r="I839" s="301" t="inlineStr">
        <is>
          <t>✅ Paid</t>
        </is>
      </c>
      <c r="J839" s="423" t="inlineStr">
        <is>
          <t>No receipt; cash</t>
        </is>
      </c>
    </row>
    <row r="840">
      <c r="B840" s="429" t="n">
        <v>46301</v>
      </c>
      <c r="C840" s="297" t="inlineStr">
        <is>
          <t>soft app</t>
        </is>
      </c>
      <c r="D840" s="298" t="inlineStr">
        <is>
          <t>No bill</t>
        </is>
      </c>
      <c r="E840" s="297" t="inlineStr">
        <is>
          <t>Software/Subscription</t>
        </is>
      </c>
      <c r="F840" s="299" t="n">
        <v>810</v>
      </c>
      <c r="G840" s="300" t="inlineStr">
        <is>
          <t>Restaurant</t>
        </is>
      </c>
      <c r="H840" s="300" t="inlineStr">
        <is>
          <t>Cash</t>
        </is>
      </c>
      <c r="I840" s="301" t="inlineStr">
        <is>
          <t>✅ Paid</t>
        </is>
      </c>
      <c r="J840" s="423" t="inlineStr">
        <is>
          <t>No receipt; cash</t>
        </is>
      </c>
    </row>
    <row r="841">
      <c r="B841" s="429" t="n">
        <v>46302</v>
      </c>
      <c r="C841" s="297" t="inlineStr">
        <is>
          <t>Carne</t>
        </is>
      </c>
      <c r="D841" s="298" t="inlineStr">
        <is>
          <t>No bill</t>
        </is>
      </c>
      <c r="E841" s="297" t="inlineStr">
        <is>
          <t>Ingredients - Meat</t>
        </is>
      </c>
      <c r="F841" s="299" t="n">
        <v>189</v>
      </c>
      <c r="G841" s="300" t="inlineStr">
        <is>
          <t>Restaurant</t>
        </is>
      </c>
      <c r="H841" s="300" t="inlineStr">
        <is>
          <t>Cash</t>
        </is>
      </c>
      <c r="I841" s="301" t="inlineStr">
        <is>
          <t>✅ Paid</t>
        </is>
      </c>
      <c r="J841" s="423" t="inlineStr">
        <is>
          <t>No receipt; cash</t>
        </is>
      </c>
    </row>
    <row r="842">
      <c r="B842" s="429" t="n">
        <v>46302</v>
      </c>
      <c r="C842" s="297" t="inlineStr">
        <is>
          <t>Guimar</t>
        </is>
      </c>
      <c r="D842" s="298" t="inlineStr">
        <is>
          <t>Guimar Polietilenos</t>
        </is>
      </c>
      <c r="E842" s="297" t="inlineStr">
        <is>
          <t>Packaging/Disposables</t>
        </is>
      </c>
      <c r="F842" s="299" t="n">
        <v>146</v>
      </c>
      <c r="G842" s="300" t="inlineStr">
        <is>
          <t>Restaurant</t>
        </is>
      </c>
      <c r="H842" s="300" t="inlineStr">
        <is>
          <t>Cash</t>
        </is>
      </c>
      <c r="I842" s="301" t="inlineStr">
        <is>
          <t>✅ Paid</t>
        </is>
      </c>
      <c r="J842" s="423" t="inlineStr">
        <is>
          <t>No receipt; cash</t>
        </is>
      </c>
    </row>
    <row r="843">
      <c r="B843" s="429" t="n">
        <v>46302</v>
      </c>
      <c r="C843" s="297" t="inlineStr">
        <is>
          <t>Avia Reca</t>
        </is>
      </c>
      <c r="D843" s="298" t="inlineStr">
        <is>
          <t>Reca</t>
        </is>
      </c>
      <c r="E843" s="297" t="inlineStr">
        <is>
          <t>Ingredients - Beverages</t>
        </is>
      </c>
      <c r="F843" s="299" t="n">
        <v>750</v>
      </c>
      <c r="G843" s="300" t="inlineStr">
        <is>
          <t>Restaurant</t>
        </is>
      </c>
      <c r="H843" s="300" t="inlineStr">
        <is>
          <t>Cash</t>
        </is>
      </c>
      <c r="I843" s="301" t="inlineStr">
        <is>
          <t>✅ Paid</t>
        </is>
      </c>
      <c r="J843" s="423" t="inlineStr">
        <is>
          <t>No receipt; cash</t>
        </is>
      </c>
    </row>
    <row r="844">
      <c r="B844" s="429" t="n">
        <v>46303</v>
      </c>
      <c r="C844" s="297" t="inlineStr">
        <is>
          <t>Oxxo Arroz</t>
        </is>
      </c>
      <c r="D844" s="298" t="inlineStr">
        <is>
          <t>OXXO</t>
        </is>
      </c>
      <c r="E844" s="297" t="inlineStr">
        <is>
          <t>Ingredients - Pantry</t>
        </is>
      </c>
      <c r="F844" s="299" t="n">
        <v>130</v>
      </c>
      <c r="G844" s="300" t="inlineStr">
        <is>
          <t>Restaurant</t>
        </is>
      </c>
      <c r="H844" s="300" t="inlineStr">
        <is>
          <t>Cash</t>
        </is>
      </c>
      <c r="I844" s="301" t="inlineStr">
        <is>
          <t>✅ Paid</t>
        </is>
      </c>
      <c r="J844" s="423" t="inlineStr">
        <is>
          <t>No receipt; cash</t>
        </is>
      </c>
    </row>
    <row r="845">
      <c r="B845" s="429" t="n">
        <v>46303</v>
      </c>
      <c r="C845" s="297" t="inlineStr">
        <is>
          <t>Agua</t>
        </is>
      </c>
      <c r="D845" s="298" t="inlineStr">
        <is>
          <t>No bill</t>
        </is>
      </c>
      <c r="E845" s="297" t="inlineStr">
        <is>
          <t>Ingredients - Beverages</t>
        </is>
      </c>
      <c r="F845" s="299" t="n">
        <v>45</v>
      </c>
      <c r="G845" s="300" t="inlineStr">
        <is>
          <t>Restaurant</t>
        </is>
      </c>
      <c r="H845" s="300" t="inlineStr">
        <is>
          <t>Cash</t>
        </is>
      </c>
      <c r="I845" s="301" t="inlineStr">
        <is>
          <t>✅ Paid</t>
        </is>
      </c>
      <c r="J845" s="423" t="inlineStr">
        <is>
          <t>No receipt; cash</t>
        </is>
      </c>
    </row>
    <row r="846">
      <c r="B846" s="429" t="n">
        <v>46303</v>
      </c>
      <c r="C846" s="297" t="inlineStr">
        <is>
          <t>Chedraui</t>
        </is>
      </c>
      <c r="D846" s="298" t="inlineStr">
        <is>
          <t>Chedraui</t>
        </is>
      </c>
      <c r="E846" s="297" t="inlineStr">
        <is>
          <t>Supermarket/General</t>
        </is>
      </c>
      <c r="F846" s="299" t="n">
        <v>121</v>
      </c>
      <c r="G846" s="300" t="inlineStr">
        <is>
          <t>Restaurant</t>
        </is>
      </c>
      <c r="H846" s="300" t="inlineStr">
        <is>
          <t>Cash</t>
        </is>
      </c>
      <c r="I846" s="301" t="inlineStr">
        <is>
          <t>✅ Paid</t>
        </is>
      </c>
      <c r="J846" s="423" t="inlineStr">
        <is>
          <t>No receipt; cash</t>
        </is>
      </c>
    </row>
    <row r="847">
      <c r="B847" s="429" t="n">
        <v>46304</v>
      </c>
      <c r="C847" s="297" t="inlineStr">
        <is>
          <t>Duvi - salary</t>
        </is>
      </c>
      <c r="D847" s="298" t="inlineStr">
        <is>
          <t>Payroll</t>
        </is>
      </c>
      <c r="E847" s="297" t="inlineStr">
        <is>
          <t>Staff - Salary</t>
        </is>
      </c>
      <c r="F847" s="299" t="n">
        <v>1460</v>
      </c>
      <c r="G847" s="300" t="inlineStr">
        <is>
          <t>Restaurant</t>
        </is>
      </c>
      <c r="H847" s="300" t="inlineStr">
        <is>
          <t>Cash</t>
        </is>
      </c>
      <c r="I847" s="301" t="inlineStr">
        <is>
          <t>✅ Paid</t>
        </is>
      </c>
      <c r="J847" s="423" t="inlineStr">
        <is>
          <t>Weekly salary</t>
        </is>
      </c>
    </row>
    <row r="848">
      <c r="B848" s="429" t="n">
        <v>46305</v>
      </c>
      <c r="C848" s="297" t="inlineStr">
        <is>
          <t>Vegetables</t>
        </is>
      </c>
      <c r="D848" s="298" t="inlineStr">
        <is>
          <t>No bill</t>
        </is>
      </c>
      <c r="E848" s="297" t="inlineStr">
        <is>
          <t>Ingredients - Vegetables</t>
        </is>
      </c>
      <c r="F848" s="299" t="n">
        <v>2000</v>
      </c>
      <c r="G848" s="300" t="inlineStr">
        <is>
          <t>Restaurant</t>
        </is>
      </c>
      <c r="H848" s="300" t="inlineStr">
        <is>
          <t>Cash</t>
        </is>
      </c>
      <c r="I848" s="301" t="inlineStr">
        <is>
          <t>✅ Paid</t>
        </is>
      </c>
      <c r="J848" s="423" t="inlineStr">
        <is>
          <t>No receipt; cash</t>
        </is>
      </c>
    </row>
    <row r="849">
      <c r="B849" s="429" t="n">
        <v>46305</v>
      </c>
      <c r="C849" s="297" t="inlineStr">
        <is>
          <t>Molino</t>
        </is>
      </c>
      <c r="D849" s="298" t="inlineStr">
        <is>
          <t>No bill</t>
        </is>
      </c>
      <c r="E849" s="297" t="inlineStr">
        <is>
          <t>Supermarket/General</t>
        </is>
      </c>
      <c r="F849" s="299" t="n">
        <v>72</v>
      </c>
      <c r="G849" s="300" t="inlineStr">
        <is>
          <t>Restaurant</t>
        </is>
      </c>
      <c r="H849" s="300" t="inlineStr">
        <is>
          <t>Cash</t>
        </is>
      </c>
      <c r="I849" s="301" t="inlineStr">
        <is>
          <t>✅ Paid</t>
        </is>
      </c>
      <c r="J849" s="423" t="inlineStr">
        <is>
          <t>No receipt; cash</t>
        </is>
      </c>
    </row>
    <row r="850">
      <c r="B850" s="429" t="n">
        <v>46305</v>
      </c>
      <c r="C850" s="297" t="inlineStr">
        <is>
          <t>Carne</t>
        </is>
      </c>
      <c r="D850" s="298" t="inlineStr">
        <is>
          <t>No bill</t>
        </is>
      </c>
      <c r="E850" s="297" t="inlineStr">
        <is>
          <t>Ingredients - Meat</t>
        </is>
      </c>
      <c r="F850" s="299" t="n">
        <v>297</v>
      </c>
      <c r="G850" s="300" t="inlineStr">
        <is>
          <t>Restaurant</t>
        </is>
      </c>
      <c r="H850" s="300" t="inlineStr">
        <is>
          <t>Cash</t>
        </is>
      </c>
      <c r="I850" s="301" t="inlineStr">
        <is>
          <t>✅ Paid</t>
        </is>
      </c>
      <c r="J850" s="423" t="inlineStr">
        <is>
          <t>No receipt; cash</t>
        </is>
      </c>
    </row>
    <row r="851">
      <c r="B851" s="429" t="n">
        <v>46305</v>
      </c>
      <c r="C851" s="297" t="inlineStr">
        <is>
          <t>3B</t>
        </is>
      </c>
      <c r="D851" s="298" t="inlineStr">
        <is>
          <t>Tres B</t>
        </is>
      </c>
      <c r="E851" s="297" t="inlineStr">
        <is>
          <t>Supermarket/General</t>
        </is>
      </c>
      <c r="F851" s="299" t="n">
        <v>938</v>
      </c>
      <c r="G851" s="300" t="inlineStr">
        <is>
          <t>Restaurant</t>
        </is>
      </c>
      <c r="H851" s="300" t="inlineStr">
        <is>
          <t>Cash</t>
        </is>
      </c>
      <c r="I851" s="301" t="inlineStr">
        <is>
          <t>✅ Paid</t>
        </is>
      </c>
      <c r="J851" s="423" t="inlineStr">
        <is>
          <t>No receipt; cash</t>
        </is>
      </c>
    </row>
    <row r="852">
      <c r="B852" s="429" t="n">
        <v>46305</v>
      </c>
      <c r="C852" s="297" t="inlineStr">
        <is>
          <t>Gas</t>
        </is>
      </c>
      <c r="D852" s="298" t="inlineStr">
        <is>
          <t>No bill</t>
        </is>
      </c>
      <c r="E852" s="297" t="inlineStr">
        <is>
          <t>Utilities/Gas</t>
        </is>
      </c>
      <c r="F852" s="299" t="n">
        <v>1500</v>
      </c>
      <c r="G852" s="300" t="inlineStr">
        <is>
          <t>Restaurant</t>
        </is>
      </c>
      <c r="H852" s="300" t="inlineStr">
        <is>
          <t>Cash</t>
        </is>
      </c>
      <c r="I852" s="301" t="inlineStr">
        <is>
          <t>✅ Paid</t>
        </is>
      </c>
      <c r="J852" s="423" t="inlineStr">
        <is>
          <t>No receipt; cash</t>
        </is>
      </c>
    </row>
    <row r="853">
      <c r="B853" s="429" t="n">
        <v>46305</v>
      </c>
      <c r="C853" s="297" t="inlineStr">
        <is>
          <t>Queso Bodega</t>
        </is>
      </c>
      <c r="D853" s="298" t="inlineStr">
        <is>
          <t>No bill</t>
        </is>
      </c>
      <c r="E853" s="297" t="inlineStr">
        <is>
          <t>Supermarket/General</t>
        </is>
      </c>
      <c r="F853" s="299" t="n">
        <v>570</v>
      </c>
      <c r="G853" s="300" t="inlineStr">
        <is>
          <t>Restaurant</t>
        </is>
      </c>
      <c r="H853" s="300" t="inlineStr">
        <is>
          <t>Cash</t>
        </is>
      </c>
      <c r="I853" s="301" t="inlineStr">
        <is>
          <t>✅ Paid</t>
        </is>
      </c>
      <c r="J853" s="423" t="inlineStr">
        <is>
          <t>No receipt; cash</t>
        </is>
      </c>
    </row>
    <row r="854">
      <c r="B854" s="429" t="n">
        <v>46305</v>
      </c>
      <c r="C854" s="297" t="inlineStr">
        <is>
          <t>Queso Panela</t>
        </is>
      </c>
      <c r="D854" s="298" t="inlineStr">
        <is>
          <t>No bill</t>
        </is>
      </c>
      <c r="E854" s="297" t="inlineStr">
        <is>
          <t>Ingredients - Dairy</t>
        </is>
      </c>
      <c r="F854" s="299" t="n">
        <v>687</v>
      </c>
      <c r="G854" s="300" t="inlineStr">
        <is>
          <t>Restaurant</t>
        </is>
      </c>
      <c r="H854" s="300" t="inlineStr">
        <is>
          <t>Cash</t>
        </is>
      </c>
      <c r="I854" s="301" t="inlineStr">
        <is>
          <t>✅ Paid</t>
        </is>
      </c>
      <c r="J854" s="423" t="inlineStr">
        <is>
          <t>No receipt; cash</t>
        </is>
      </c>
    </row>
    <row r="855">
      <c r="B855" s="429" t="n">
        <v>46305</v>
      </c>
      <c r="C855" s="297" t="inlineStr">
        <is>
          <t>Pollo</t>
        </is>
      </c>
      <c r="D855" s="298" t="inlineStr">
        <is>
          <t>No bill</t>
        </is>
      </c>
      <c r="E855" s="297" t="inlineStr">
        <is>
          <t>Ingredients - Meat</t>
        </is>
      </c>
      <c r="F855" s="299" t="n">
        <v>1055</v>
      </c>
      <c r="G855" s="300" t="inlineStr">
        <is>
          <t>Lohith</t>
        </is>
      </c>
      <c r="H855" s="300" t="inlineStr">
        <is>
          <t>Cash</t>
        </is>
      </c>
      <c r="I855" s="301" t="inlineStr">
        <is>
          <t>✅ Paid</t>
        </is>
      </c>
      <c r="J855" s="423" t="inlineStr">
        <is>
          <t>Pagado por Lohith (bolsillo); reembolsable via Owner Ledger</t>
        </is>
      </c>
    </row>
    <row r="856">
      <c r="B856" s="429" t="n">
        <v>46305</v>
      </c>
      <c r="C856" s="297" t="inlineStr">
        <is>
          <t>Josias - salary</t>
        </is>
      </c>
      <c r="D856" s="298" t="inlineStr">
        <is>
          <t>Payroll</t>
        </is>
      </c>
      <c r="E856" s="297" t="inlineStr">
        <is>
          <t>Staff - Salary</t>
        </is>
      </c>
      <c r="F856" s="299" t="n">
        <v>2200</v>
      </c>
      <c r="G856" s="300" t="inlineStr">
        <is>
          <t>Restaurant</t>
        </is>
      </c>
      <c r="H856" s="300" t="inlineStr">
        <is>
          <t>Cash</t>
        </is>
      </c>
      <c r="I856" s="301" t="inlineStr">
        <is>
          <t>✅ Paid</t>
        </is>
      </c>
      <c r="J856" s="423" t="inlineStr">
        <is>
          <t>Weekly salary</t>
        </is>
      </c>
    </row>
    <row r="857">
      <c r="B857" s="429" t="n">
        <v>46305</v>
      </c>
      <c r="C857" s="297" t="inlineStr">
        <is>
          <t>Jhon - salary</t>
        </is>
      </c>
      <c r="D857" s="298" t="inlineStr">
        <is>
          <t>Payroll</t>
        </is>
      </c>
      <c r="E857" s="297" t="inlineStr">
        <is>
          <t>Staff - Salary</t>
        </is>
      </c>
      <c r="F857" s="299" t="n">
        <v>3750</v>
      </c>
      <c r="G857" s="300" t="inlineStr">
        <is>
          <t>Restaurant</t>
        </is>
      </c>
      <c r="H857" s="300" t="inlineStr">
        <is>
          <t>Cash</t>
        </is>
      </c>
      <c r="I857" s="301" t="inlineStr">
        <is>
          <t>✅ Paid</t>
        </is>
      </c>
      <c r="J857" s="423" t="inlineStr">
        <is>
          <t>Weekly salary</t>
        </is>
      </c>
    </row>
    <row r="858">
      <c r="B858" s="429" t="n">
        <v>46307</v>
      </c>
      <c r="C858" s="297" t="inlineStr">
        <is>
          <t>Electric Issue</t>
        </is>
      </c>
      <c r="D858" s="298" t="inlineStr">
        <is>
          <t>No bill</t>
        </is>
      </c>
      <c r="E858" s="297" t="inlineStr">
        <is>
          <t>Utilities/Electricity</t>
        </is>
      </c>
      <c r="F858" s="299" t="n">
        <v>2700</v>
      </c>
      <c r="G858" s="300" t="inlineStr">
        <is>
          <t>Restaurant</t>
        </is>
      </c>
      <c r="H858" s="300" t="inlineStr">
        <is>
          <t>Cash</t>
        </is>
      </c>
      <c r="I858" s="301" t="inlineStr">
        <is>
          <t>✅ Paid</t>
        </is>
      </c>
      <c r="J858" s="423" t="inlineStr">
        <is>
          <t>No receipt; cash</t>
        </is>
      </c>
    </row>
    <row r="859">
      <c r="B859" s="429" t="n">
        <v>46307</v>
      </c>
      <c r="C859" s="297" t="inlineStr">
        <is>
          <t>Chedraui</t>
        </is>
      </c>
      <c r="D859" s="298" t="inlineStr">
        <is>
          <t>Chedraui</t>
        </is>
      </c>
      <c r="E859" s="297" t="inlineStr">
        <is>
          <t>Supermarket/General</t>
        </is>
      </c>
      <c r="F859" s="299" t="n">
        <v>340</v>
      </c>
      <c r="G859" s="300" t="inlineStr">
        <is>
          <t>Restaurant</t>
        </is>
      </c>
      <c r="H859" s="300" t="inlineStr">
        <is>
          <t>Cash</t>
        </is>
      </c>
      <c r="I859" s="301" t="inlineStr">
        <is>
          <t>✅ Paid</t>
        </is>
      </c>
      <c r="J859" s="423" t="inlineStr">
        <is>
          <t>No receipt; cash</t>
        </is>
      </c>
    </row>
    <row r="860">
      <c r="B860" s="429" t="n">
        <v>46308</v>
      </c>
      <c r="C860" s="297" t="inlineStr">
        <is>
          <t>Molino</t>
        </is>
      </c>
      <c r="D860" s="298" t="inlineStr">
        <is>
          <t>No bill</t>
        </is>
      </c>
      <c r="E860" s="297" t="inlineStr">
        <is>
          <t>Supermarket/General</t>
        </is>
      </c>
      <c r="F860" s="299" t="n">
        <v>116</v>
      </c>
      <c r="G860" s="300" t="inlineStr">
        <is>
          <t>Restaurant</t>
        </is>
      </c>
      <c r="H860" s="300" t="inlineStr">
        <is>
          <t>Cash</t>
        </is>
      </c>
      <c r="I860" s="301" t="inlineStr">
        <is>
          <t>✅ Paid</t>
        </is>
      </c>
      <c r="J860" s="423" t="inlineStr">
        <is>
          <t>No receipt; cash</t>
        </is>
      </c>
    </row>
    <row r="861">
      <c r="B861" s="429" t="n">
        <v>46308</v>
      </c>
      <c r="C861" s="297" t="inlineStr">
        <is>
          <t>Carne</t>
        </is>
      </c>
      <c r="D861" s="298" t="inlineStr">
        <is>
          <t>No bill</t>
        </is>
      </c>
      <c r="E861" s="297" t="inlineStr">
        <is>
          <t>Ingredients - Meat</t>
        </is>
      </c>
      <c r="F861" s="299" t="n">
        <v>826</v>
      </c>
      <c r="G861" s="300" t="inlineStr">
        <is>
          <t>Restaurant</t>
        </is>
      </c>
      <c r="H861" s="300" t="inlineStr">
        <is>
          <t>Cash</t>
        </is>
      </c>
      <c r="I861" s="301" t="inlineStr">
        <is>
          <t>✅ Paid</t>
        </is>
      </c>
      <c r="J861" s="423" t="inlineStr">
        <is>
          <t>No receipt; cash</t>
        </is>
      </c>
    </row>
    <row r="862">
      <c r="B862" s="429" t="n">
        <v>46308</v>
      </c>
      <c r="C862" s="297" t="inlineStr">
        <is>
          <t>Carne Hamburguesa</t>
        </is>
      </c>
      <c r="D862" s="298" t="inlineStr">
        <is>
          <t>No bill</t>
        </is>
      </c>
      <c r="E862" s="297" t="inlineStr">
        <is>
          <t>Ingredients - Meat</t>
        </is>
      </c>
      <c r="F862" s="299" t="n">
        <v>380</v>
      </c>
      <c r="G862" s="300" t="inlineStr">
        <is>
          <t>Restaurant</t>
        </is>
      </c>
      <c r="H862" s="300" t="inlineStr">
        <is>
          <t>Cash</t>
        </is>
      </c>
      <c r="I862" s="301" t="inlineStr">
        <is>
          <t>✅ Paid</t>
        </is>
      </c>
      <c r="J862" s="423" t="inlineStr">
        <is>
          <t>No receipt; cash</t>
        </is>
      </c>
    </row>
    <row r="863">
      <c r="B863" s="429" t="n">
        <v>46308</v>
      </c>
      <c r="C863" s="297" t="inlineStr">
        <is>
          <t>Chedraui</t>
        </is>
      </c>
      <c r="D863" s="298" t="inlineStr">
        <is>
          <t>Chedraui</t>
        </is>
      </c>
      <c r="E863" s="297" t="inlineStr">
        <is>
          <t>Supermarket/General</t>
        </is>
      </c>
      <c r="F863" s="299" t="n">
        <v>67</v>
      </c>
      <c r="G863" s="300" t="inlineStr">
        <is>
          <t>Restaurant</t>
        </is>
      </c>
      <c r="H863" s="300" t="inlineStr">
        <is>
          <t>Cash</t>
        </is>
      </c>
      <c r="I863" s="301" t="inlineStr">
        <is>
          <t>✅ Paid</t>
        </is>
      </c>
      <c r="J863" s="423" t="inlineStr">
        <is>
          <t>No receipt; cash</t>
        </is>
      </c>
    </row>
    <row r="864">
      <c r="B864" s="429" t="n">
        <v>46309</v>
      </c>
      <c r="C864" s="297" t="inlineStr">
        <is>
          <t>Pescado</t>
        </is>
      </c>
      <c r="D864" s="298" t="inlineStr">
        <is>
          <t>No bill</t>
        </is>
      </c>
      <c r="E864" s="297" t="inlineStr">
        <is>
          <t>Ingredients - Meat &amp; Fish</t>
        </is>
      </c>
      <c r="F864" s="299" t="n">
        <v>313</v>
      </c>
      <c r="G864" s="300" t="inlineStr">
        <is>
          <t>Restaurant</t>
        </is>
      </c>
      <c r="H864" s="300" t="inlineStr">
        <is>
          <t>Cash</t>
        </is>
      </c>
      <c r="I864" s="301" t="inlineStr">
        <is>
          <t>✅ Paid</t>
        </is>
      </c>
      <c r="J864" s="423" t="inlineStr">
        <is>
          <t>No receipt; cash</t>
        </is>
      </c>
    </row>
    <row r="865">
      <c r="B865" s="429" t="n">
        <v>46309</v>
      </c>
      <c r="C865" s="297" t="inlineStr">
        <is>
          <t>Molino</t>
        </is>
      </c>
      <c r="D865" s="298" t="inlineStr">
        <is>
          <t>No bill</t>
        </is>
      </c>
      <c r="E865" s="297" t="inlineStr">
        <is>
          <t>Supermarket/General</t>
        </is>
      </c>
      <c r="F865" s="299" t="n">
        <v>28</v>
      </c>
      <c r="G865" s="300" t="inlineStr">
        <is>
          <t>Restaurant</t>
        </is>
      </c>
      <c r="H865" s="300" t="inlineStr">
        <is>
          <t>Cash</t>
        </is>
      </c>
      <c r="I865" s="301" t="inlineStr">
        <is>
          <t>✅ Paid</t>
        </is>
      </c>
      <c r="J865" s="423" t="inlineStr">
        <is>
          <t>No receipt; cash</t>
        </is>
      </c>
    </row>
    <row r="866">
      <c r="B866" s="429" t="n">
        <v>46309</v>
      </c>
      <c r="C866" s="297" t="inlineStr">
        <is>
          <t>Vegetables</t>
        </is>
      </c>
      <c r="D866" s="298" t="inlineStr">
        <is>
          <t>No bill</t>
        </is>
      </c>
      <c r="E866" s="297" t="inlineStr">
        <is>
          <t>Ingredients - Vegetables</t>
        </is>
      </c>
      <c r="F866" s="299" t="n">
        <v>140</v>
      </c>
      <c r="G866" s="300" t="inlineStr">
        <is>
          <t>Restaurant</t>
        </is>
      </c>
      <c r="H866" s="300" t="inlineStr">
        <is>
          <t>Cash</t>
        </is>
      </c>
      <c r="I866" s="301" t="inlineStr">
        <is>
          <t>✅ Paid</t>
        </is>
      </c>
      <c r="J866" s="423" t="inlineStr">
        <is>
          <t>No receipt; cash</t>
        </is>
      </c>
    </row>
    <row r="867">
      <c r="B867" s="429" t="n">
        <v>46310</v>
      </c>
      <c r="C867" s="297" t="inlineStr">
        <is>
          <t>Vegetables</t>
        </is>
      </c>
      <c r="D867" s="298" t="inlineStr">
        <is>
          <t>No bill</t>
        </is>
      </c>
      <c r="E867" s="297" t="inlineStr">
        <is>
          <t>Ingredients - Vegetables</t>
        </is>
      </c>
      <c r="F867" s="299" t="n">
        <v>198</v>
      </c>
      <c r="G867" s="300" t="inlineStr">
        <is>
          <t>Restaurant</t>
        </is>
      </c>
      <c r="H867" s="300" t="inlineStr">
        <is>
          <t>Cash</t>
        </is>
      </c>
      <c r="I867" s="301" t="inlineStr">
        <is>
          <t>✅ Paid</t>
        </is>
      </c>
      <c r="J867" s="423" t="inlineStr">
        <is>
          <t>No receipt; cash</t>
        </is>
      </c>
    </row>
    <row r="868">
      <c r="B868" s="429" t="n">
        <v>46310</v>
      </c>
      <c r="C868" s="297" t="inlineStr">
        <is>
          <t>Carne</t>
        </is>
      </c>
      <c r="D868" s="298" t="inlineStr">
        <is>
          <t>No bill</t>
        </is>
      </c>
      <c r="E868" s="297" t="inlineStr">
        <is>
          <t>Ingredients - Meat</t>
        </is>
      </c>
      <c r="F868" s="299" t="n">
        <v>378</v>
      </c>
      <c r="G868" s="300" t="inlineStr">
        <is>
          <t>Restaurant</t>
        </is>
      </c>
      <c r="H868" s="300" t="inlineStr">
        <is>
          <t>Cash</t>
        </is>
      </c>
      <c r="I868" s="301" t="inlineStr">
        <is>
          <t>✅ Paid</t>
        </is>
      </c>
      <c r="J868" s="423" t="inlineStr">
        <is>
          <t>No receipt; cash</t>
        </is>
      </c>
    </row>
    <row r="869">
      <c r="B869" s="429" t="n">
        <v>46310</v>
      </c>
      <c r="C869" s="297" t="inlineStr">
        <is>
          <t>Chedraui</t>
        </is>
      </c>
      <c r="D869" s="298" t="inlineStr">
        <is>
          <t>Chedraui</t>
        </is>
      </c>
      <c r="E869" s="297" t="inlineStr">
        <is>
          <t>Supermarket/General</t>
        </is>
      </c>
      <c r="F869" s="299" t="n">
        <v>149</v>
      </c>
      <c r="G869" s="300" t="inlineStr">
        <is>
          <t>Restaurant</t>
        </is>
      </c>
      <c r="H869" s="300" t="inlineStr">
        <is>
          <t>Cash</t>
        </is>
      </c>
      <c r="I869" s="301" t="inlineStr">
        <is>
          <t>✅ Paid</t>
        </is>
      </c>
      <c r="J869" s="423" t="inlineStr">
        <is>
          <t>No receipt; cash</t>
        </is>
      </c>
    </row>
    <row r="870">
      <c r="B870" s="429" t="n">
        <v>46310</v>
      </c>
      <c r="C870" s="297" t="inlineStr">
        <is>
          <t>Josias - salary</t>
        </is>
      </c>
      <c r="D870" s="298" t="inlineStr">
        <is>
          <t>Payroll</t>
        </is>
      </c>
      <c r="E870" s="297" t="inlineStr">
        <is>
          <t>Staff - Salary</t>
        </is>
      </c>
      <c r="F870" s="299" t="n">
        <v>1350</v>
      </c>
      <c r="G870" s="300" t="inlineStr">
        <is>
          <t>Restaurant</t>
        </is>
      </c>
      <c r="H870" s="300" t="inlineStr">
        <is>
          <t>Cash</t>
        </is>
      </c>
      <c r="I870" s="301" t="inlineStr">
        <is>
          <t>✅ Paid</t>
        </is>
      </c>
      <c r="J870" s="423" t="inlineStr">
        <is>
          <t>Weekly salary</t>
        </is>
      </c>
    </row>
    <row r="871">
      <c r="B871" s="429" t="n">
        <v>46311</v>
      </c>
      <c r="C871" s="297" t="inlineStr">
        <is>
          <t>Vegetables</t>
        </is>
      </c>
      <c r="D871" s="298" t="inlineStr">
        <is>
          <t>No bill</t>
        </is>
      </c>
      <c r="E871" s="297" t="inlineStr">
        <is>
          <t>Ingredients - Vegetables</t>
        </is>
      </c>
      <c r="F871" s="299" t="n">
        <v>120</v>
      </c>
      <c r="G871" s="300" t="inlineStr">
        <is>
          <t>Restaurant</t>
        </is>
      </c>
      <c r="H871" s="300" t="inlineStr">
        <is>
          <t>Cash</t>
        </is>
      </c>
      <c r="I871" s="301" t="inlineStr">
        <is>
          <t>✅ Paid</t>
        </is>
      </c>
      <c r="J871" s="423" t="inlineStr">
        <is>
          <t>No receipt; cash</t>
        </is>
      </c>
    </row>
    <row r="872">
      <c r="B872" s="429" t="n">
        <v>46311</v>
      </c>
      <c r="C872" s="297" t="inlineStr">
        <is>
          <t>Duvi - salary</t>
        </is>
      </c>
      <c r="D872" s="298" t="inlineStr">
        <is>
          <t>Payroll</t>
        </is>
      </c>
      <c r="E872" s="297" t="inlineStr">
        <is>
          <t>Staff - Salary</t>
        </is>
      </c>
      <c r="F872" s="299" t="n">
        <v>1300</v>
      </c>
      <c r="G872" s="300" t="inlineStr">
        <is>
          <t>Restaurant</t>
        </is>
      </c>
      <c r="H872" s="300" t="inlineStr">
        <is>
          <t>Cash</t>
        </is>
      </c>
      <c r="I872" s="301" t="inlineStr">
        <is>
          <t>✅ Paid</t>
        </is>
      </c>
      <c r="J872" s="423" t="inlineStr">
        <is>
          <t>Weekly salary</t>
        </is>
      </c>
    </row>
    <row r="873">
      <c r="B873" s="429" t="n">
        <v>46312</v>
      </c>
      <c r="C873" s="297" t="inlineStr">
        <is>
          <t>Hielo</t>
        </is>
      </c>
      <c r="D873" s="298" t="inlineStr">
        <is>
          <t>No bill</t>
        </is>
      </c>
      <c r="E873" s="297" t="inlineStr">
        <is>
          <t>Kitchen Supplies</t>
        </is>
      </c>
      <c r="F873" s="299" t="n">
        <v>125</v>
      </c>
      <c r="G873" s="300" t="inlineStr">
        <is>
          <t>Restaurant</t>
        </is>
      </c>
      <c r="H873" s="300" t="inlineStr">
        <is>
          <t>Cash</t>
        </is>
      </c>
      <c r="I873" s="301" t="inlineStr">
        <is>
          <t>✅ Paid</t>
        </is>
      </c>
      <c r="J873" s="423" t="inlineStr">
        <is>
          <t>No receipt; cash</t>
        </is>
      </c>
    </row>
    <row r="874">
      <c r="B874" s="429" t="n">
        <v>46312</v>
      </c>
      <c r="C874" s="297" t="inlineStr">
        <is>
          <t>Vegetables</t>
        </is>
      </c>
      <c r="D874" s="298" t="inlineStr">
        <is>
          <t>No bill</t>
        </is>
      </c>
      <c r="E874" s="297" t="inlineStr">
        <is>
          <t>Ingredients - Vegetables</t>
        </is>
      </c>
      <c r="F874" s="299" t="n">
        <v>1662</v>
      </c>
      <c r="G874" s="300" t="inlineStr">
        <is>
          <t>Restaurant</t>
        </is>
      </c>
      <c r="H874" s="300" t="inlineStr">
        <is>
          <t>Cash</t>
        </is>
      </c>
      <c r="I874" s="301" t="inlineStr">
        <is>
          <t>✅ Paid</t>
        </is>
      </c>
      <c r="J874" s="423" t="inlineStr">
        <is>
          <t>No receipt; cash</t>
        </is>
      </c>
    </row>
    <row r="875">
      <c r="B875" s="429" t="n">
        <v>46312</v>
      </c>
      <c r="C875" s="297" t="inlineStr">
        <is>
          <t>Jhon - salary</t>
        </is>
      </c>
      <c r="D875" s="298" t="inlineStr">
        <is>
          <t>Payroll</t>
        </is>
      </c>
      <c r="E875" s="297" t="inlineStr">
        <is>
          <t>Staff - Salary</t>
        </is>
      </c>
      <c r="F875" s="299" t="n">
        <v>3750</v>
      </c>
      <c r="G875" s="300" t="inlineStr">
        <is>
          <t>Restaurant</t>
        </is>
      </c>
      <c r="H875" s="300" t="inlineStr">
        <is>
          <t>Cash</t>
        </is>
      </c>
      <c r="I875" s="301" t="inlineStr">
        <is>
          <t>✅ Paid</t>
        </is>
      </c>
      <c r="J875" s="423" t="inlineStr">
        <is>
          <t>Weekly salary</t>
        </is>
      </c>
    </row>
    <row r="876">
      <c r="B876" s="429" t="n">
        <v>46312</v>
      </c>
      <c r="C876" s="297" t="inlineStr">
        <is>
          <t>Rodrigo - salary</t>
        </is>
      </c>
      <c r="D876" s="298" t="inlineStr">
        <is>
          <t>Payroll</t>
        </is>
      </c>
      <c r="E876" s="297" t="inlineStr">
        <is>
          <t>Staff - Salary</t>
        </is>
      </c>
      <c r="F876" s="299" t="n">
        <v>1500</v>
      </c>
      <c r="G876" s="300" t="inlineStr">
        <is>
          <t>Restaurant</t>
        </is>
      </c>
      <c r="H876" s="300" t="inlineStr">
        <is>
          <t>Cash</t>
        </is>
      </c>
      <c r="I876" s="301" t="inlineStr">
        <is>
          <t>✅ Paid</t>
        </is>
      </c>
      <c r="J876" s="423" t="inlineStr">
        <is>
          <t>Weekly salary</t>
        </is>
      </c>
    </row>
    <row r="877">
      <c r="B877" s="429" t="n">
        <v>46314</v>
      </c>
      <c r="C877" s="297" t="inlineStr">
        <is>
          <t>Pan Dulce</t>
        </is>
      </c>
      <c r="D877" s="298" t="inlineStr">
        <is>
          <t>No bill</t>
        </is>
      </c>
      <c r="E877" s="297" t="inlineStr">
        <is>
          <t>Ingredients - Bread</t>
        </is>
      </c>
      <c r="F877" s="299" t="n">
        <v>80</v>
      </c>
      <c r="G877" s="300" t="inlineStr">
        <is>
          <t>Restaurant</t>
        </is>
      </c>
      <c r="H877" s="300" t="inlineStr">
        <is>
          <t>Cash</t>
        </is>
      </c>
      <c r="I877" s="301" t="inlineStr">
        <is>
          <t>✅ Paid</t>
        </is>
      </c>
      <c r="J877" s="423" t="inlineStr">
        <is>
          <t>No receipt; cash</t>
        </is>
      </c>
    </row>
    <row r="878">
      <c r="B878" s="429" t="n">
        <v>46314</v>
      </c>
      <c r="C878" s="297" t="inlineStr">
        <is>
          <t>Tortillas</t>
        </is>
      </c>
      <c r="D878" s="298" t="inlineStr">
        <is>
          <t>No bill</t>
        </is>
      </c>
      <c r="E878" s="297" t="inlineStr">
        <is>
          <t>Ingredients - Bread</t>
        </is>
      </c>
      <c r="F878" s="299" t="n">
        <v>27</v>
      </c>
      <c r="G878" s="300" t="inlineStr">
        <is>
          <t>Restaurant</t>
        </is>
      </c>
      <c r="H878" s="300" t="inlineStr">
        <is>
          <t>Cash</t>
        </is>
      </c>
      <c r="I878" s="301" t="inlineStr">
        <is>
          <t>✅ Paid</t>
        </is>
      </c>
      <c r="J878" s="423" t="inlineStr">
        <is>
          <t>No receipt; cash</t>
        </is>
      </c>
    </row>
    <row r="879">
      <c r="B879" s="429" t="n">
        <v>46314</v>
      </c>
      <c r="C879" s="297" t="inlineStr">
        <is>
          <t>Carne</t>
        </is>
      </c>
      <c r="D879" s="298" t="inlineStr">
        <is>
          <t>No bill</t>
        </is>
      </c>
      <c r="E879" s="297" t="inlineStr">
        <is>
          <t>Ingredients - Meat</t>
        </is>
      </c>
      <c r="F879" s="299" t="n">
        <v>771</v>
      </c>
      <c r="G879" s="300" t="inlineStr">
        <is>
          <t>Restaurant</t>
        </is>
      </c>
      <c r="H879" s="300" t="inlineStr">
        <is>
          <t>Cash</t>
        </is>
      </c>
      <c r="I879" s="301" t="inlineStr">
        <is>
          <t>✅ Paid</t>
        </is>
      </c>
      <c r="J879" s="423" t="inlineStr">
        <is>
          <t>No receipt; cash</t>
        </is>
      </c>
    </row>
    <row r="880">
      <c r="B880" s="429" t="n">
        <v>46314</v>
      </c>
      <c r="C880" s="297" t="inlineStr">
        <is>
          <t>Guimar</t>
        </is>
      </c>
      <c r="D880" s="298" t="inlineStr">
        <is>
          <t>Guimar Polietilenos</t>
        </is>
      </c>
      <c r="E880" s="297" t="inlineStr">
        <is>
          <t>Packaging/Disposables</t>
        </is>
      </c>
      <c r="F880" s="299" t="n">
        <v>108</v>
      </c>
      <c r="G880" s="300" t="inlineStr">
        <is>
          <t>Restaurant</t>
        </is>
      </c>
      <c r="H880" s="300" t="inlineStr">
        <is>
          <t>Cash</t>
        </is>
      </c>
      <c r="I880" s="301" t="inlineStr">
        <is>
          <t>✅ Paid</t>
        </is>
      </c>
      <c r="J880" s="423" t="inlineStr">
        <is>
          <t>No receipt; cash</t>
        </is>
      </c>
    </row>
    <row r="881">
      <c r="B881" s="429" t="n">
        <v>46314</v>
      </c>
      <c r="C881" s="297" t="inlineStr">
        <is>
          <t>Oxxo Arroz</t>
        </is>
      </c>
      <c r="D881" s="298" t="inlineStr">
        <is>
          <t>OXXO</t>
        </is>
      </c>
      <c r="E881" s="297" t="inlineStr">
        <is>
          <t>Ingredients - Pantry</t>
        </is>
      </c>
      <c r="F881" s="299" t="n">
        <v>67</v>
      </c>
      <c r="G881" s="300" t="inlineStr">
        <is>
          <t>Restaurant</t>
        </is>
      </c>
      <c r="H881" s="300" t="inlineStr">
        <is>
          <t>Cash</t>
        </is>
      </c>
      <c r="I881" s="301" t="inlineStr">
        <is>
          <t>✅ Paid</t>
        </is>
      </c>
      <c r="J881" s="423" t="inlineStr">
        <is>
          <t>No receipt; cash</t>
        </is>
      </c>
    </row>
    <row r="882">
      <c r="B882" s="429" t="n">
        <v>46314</v>
      </c>
      <c r="C882" s="297" t="inlineStr">
        <is>
          <t>Telmex</t>
        </is>
      </c>
      <c r="D882" s="298" t="inlineStr">
        <is>
          <t>No bill</t>
        </is>
      </c>
      <c r="E882" s="297" t="inlineStr">
        <is>
          <t>Utilities/Internet</t>
        </is>
      </c>
      <c r="F882" s="299" t="n">
        <v>349</v>
      </c>
      <c r="G882" s="300" t="inlineStr">
        <is>
          <t>Lohith</t>
        </is>
      </c>
      <c r="H882" s="300" t="inlineStr">
        <is>
          <t>Cash</t>
        </is>
      </c>
      <c r="I882" s="301" t="inlineStr">
        <is>
          <t>✅ Paid</t>
        </is>
      </c>
      <c r="J882" s="423" t="inlineStr">
        <is>
          <t>Pagado por Lohith (bolsillo); reembolsable via Owner Ledger</t>
        </is>
      </c>
    </row>
    <row r="883">
      <c r="B883" s="429" t="n">
        <v>46315</v>
      </c>
      <c r="C883" s="297" t="inlineStr">
        <is>
          <t>Oxxo Arroz</t>
        </is>
      </c>
      <c r="D883" s="298" t="inlineStr">
        <is>
          <t>OXXO</t>
        </is>
      </c>
      <c r="E883" s="297" t="inlineStr">
        <is>
          <t>Ingredients - Pantry</t>
        </is>
      </c>
      <c r="F883" s="299" t="n">
        <v>260</v>
      </c>
      <c r="G883" s="300" t="inlineStr">
        <is>
          <t>Restaurant</t>
        </is>
      </c>
      <c r="H883" s="300" t="inlineStr">
        <is>
          <t>Cash</t>
        </is>
      </c>
      <c r="I883" s="301" t="inlineStr">
        <is>
          <t>✅ Paid</t>
        </is>
      </c>
      <c r="J883" s="423" t="inlineStr">
        <is>
          <t>No receipt; cash</t>
        </is>
      </c>
    </row>
    <row r="884">
      <c r="B884" s="429" t="n">
        <v>46315</v>
      </c>
      <c r="C884" s="297" t="inlineStr">
        <is>
          <t>Oxxo Arroz</t>
        </is>
      </c>
      <c r="D884" s="298" t="inlineStr">
        <is>
          <t>OXXO</t>
        </is>
      </c>
      <c r="E884" s="297" t="inlineStr">
        <is>
          <t>Ingredients - Pantry</t>
        </is>
      </c>
      <c r="F884" s="299" t="n">
        <v>26</v>
      </c>
      <c r="G884" s="300" t="inlineStr">
        <is>
          <t>Restaurant</t>
        </is>
      </c>
      <c r="H884" s="300" t="inlineStr">
        <is>
          <t>Cash</t>
        </is>
      </c>
      <c r="I884" s="301" t="inlineStr">
        <is>
          <t>✅ Paid</t>
        </is>
      </c>
      <c r="J884" s="423" t="inlineStr">
        <is>
          <t>No receipt; cash</t>
        </is>
      </c>
    </row>
    <row r="885">
      <c r="B885" s="429" t="n">
        <v>46315</v>
      </c>
      <c r="C885" s="297" t="inlineStr">
        <is>
          <t>Carne</t>
        </is>
      </c>
      <c r="D885" s="298" t="inlineStr">
        <is>
          <t>No bill</t>
        </is>
      </c>
      <c r="E885" s="297" t="inlineStr">
        <is>
          <t>Ingredients - Meat</t>
        </is>
      </c>
      <c r="F885" s="299" t="n">
        <v>570</v>
      </c>
      <c r="G885" s="300" t="inlineStr">
        <is>
          <t>Restaurant</t>
        </is>
      </c>
      <c r="H885" s="300" t="inlineStr">
        <is>
          <t>Cash</t>
        </is>
      </c>
      <c r="I885" s="301" t="inlineStr">
        <is>
          <t>✅ Paid</t>
        </is>
      </c>
      <c r="J885" s="423" t="inlineStr">
        <is>
          <t>No receipt; cash</t>
        </is>
      </c>
    </row>
    <row r="886">
      <c r="B886" s="429" t="n">
        <v>46315</v>
      </c>
      <c r="C886" s="297" t="inlineStr">
        <is>
          <t>Pan Real</t>
        </is>
      </c>
      <c r="D886" s="298" t="inlineStr">
        <is>
          <t>No bill</t>
        </is>
      </c>
      <c r="E886" s="297" t="inlineStr">
        <is>
          <t>Ingredients - Bread</t>
        </is>
      </c>
      <c r="F886" s="299" t="n">
        <v>1576</v>
      </c>
      <c r="G886" s="300" t="inlineStr">
        <is>
          <t>Restaurant</t>
        </is>
      </c>
      <c r="H886" s="300" t="inlineStr">
        <is>
          <t>Cash</t>
        </is>
      </c>
      <c r="I886" s="301" t="inlineStr">
        <is>
          <t>✅ Paid</t>
        </is>
      </c>
      <c r="J886" s="423" t="inlineStr">
        <is>
          <t>No receipt; cash</t>
        </is>
      </c>
    </row>
    <row r="887">
      <c r="B887" s="429" t="n">
        <v>46315</v>
      </c>
      <c r="C887" s="297" t="inlineStr">
        <is>
          <t>Sams Club</t>
        </is>
      </c>
      <c r="D887" s="298" t="inlineStr">
        <is>
          <t>Sam's Club</t>
        </is>
      </c>
      <c r="E887" s="297" t="inlineStr">
        <is>
          <t>Supermarket/General</t>
        </is>
      </c>
      <c r="F887" s="299" t="n">
        <v>1154</v>
      </c>
      <c r="G887" s="300" t="inlineStr">
        <is>
          <t>Restaurant</t>
        </is>
      </c>
      <c r="H887" s="300" t="inlineStr">
        <is>
          <t>Cash</t>
        </is>
      </c>
      <c r="I887" s="301" t="inlineStr">
        <is>
          <t>✅ Paid</t>
        </is>
      </c>
      <c r="J887" s="423" t="inlineStr">
        <is>
          <t>No receipt; cash</t>
        </is>
      </c>
    </row>
    <row r="888">
      <c r="B888" s="429" t="n">
        <v>46315</v>
      </c>
      <c r="C888" s="297" t="inlineStr">
        <is>
          <t>Chedraui</t>
        </is>
      </c>
      <c r="D888" s="298" t="inlineStr">
        <is>
          <t>Chedraui</t>
        </is>
      </c>
      <c r="E888" s="297" t="inlineStr">
        <is>
          <t>Supermarket/General</t>
        </is>
      </c>
      <c r="F888" s="299" t="n">
        <v>104</v>
      </c>
      <c r="G888" s="300" t="inlineStr">
        <is>
          <t>Restaurant</t>
        </is>
      </c>
      <c r="H888" s="300" t="inlineStr">
        <is>
          <t>Cash</t>
        </is>
      </c>
      <c r="I888" s="301" t="inlineStr">
        <is>
          <t>✅ Paid</t>
        </is>
      </c>
      <c r="J888" s="423" t="inlineStr">
        <is>
          <t>No receipt; cash</t>
        </is>
      </c>
    </row>
    <row r="889">
      <c r="B889" s="429" t="n">
        <v>46315</v>
      </c>
      <c r="C889" s="297" t="inlineStr">
        <is>
          <t>Julio Contador</t>
        </is>
      </c>
      <c r="D889" s="298" t="inlineStr">
        <is>
          <t>No bill</t>
        </is>
      </c>
      <c r="E889" s="297" t="inlineStr">
        <is>
          <t>Professional Services</t>
        </is>
      </c>
      <c r="F889" s="299" t="n">
        <v>1800</v>
      </c>
      <c r="G889" s="300" t="inlineStr">
        <is>
          <t>Restaurant</t>
        </is>
      </c>
      <c r="H889" s="300" t="inlineStr">
        <is>
          <t>Cash</t>
        </is>
      </c>
      <c r="I889" s="301" t="inlineStr">
        <is>
          <t>✅ Paid</t>
        </is>
      </c>
      <c r="J889" s="423" t="inlineStr">
        <is>
          <t>No receipt; cash</t>
        </is>
      </c>
    </row>
    <row r="890">
      <c r="B890" s="429" t="n">
        <v>46315</v>
      </c>
      <c r="C890" s="297" t="inlineStr">
        <is>
          <t>Taxes</t>
        </is>
      </c>
      <c r="D890" s="298" t="inlineStr">
        <is>
          <t>No bill</t>
        </is>
      </c>
      <c r="E890" s="297" t="inlineStr">
        <is>
          <t>Taxes</t>
        </is>
      </c>
      <c r="F890" s="299" t="n">
        <v>4756</v>
      </c>
      <c r="G890" s="300" t="inlineStr">
        <is>
          <t>Restaurant</t>
        </is>
      </c>
      <c r="H890" s="300" t="inlineStr">
        <is>
          <t>Cash</t>
        </is>
      </c>
      <c r="I890" s="301" t="inlineStr">
        <is>
          <t>✅ Paid</t>
        </is>
      </c>
      <c r="J890" s="423" t="inlineStr">
        <is>
          <t>No receipt; cash</t>
        </is>
      </c>
    </row>
    <row r="891">
      <c r="B891" s="429" t="n">
        <v>46315</v>
      </c>
      <c r="C891" s="297" t="inlineStr">
        <is>
          <t>Pollo</t>
        </is>
      </c>
      <c r="D891" s="298" t="inlineStr">
        <is>
          <t>No bill</t>
        </is>
      </c>
      <c r="E891" s="297" t="inlineStr">
        <is>
          <t>Ingredients - Meat</t>
        </is>
      </c>
      <c r="F891" s="299" t="n">
        <v>1334</v>
      </c>
      <c r="G891" s="300" t="inlineStr">
        <is>
          <t>Lohith</t>
        </is>
      </c>
      <c r="H891" s="300" t="inlineStr">
        <is>
          <t>Cash</t>
        </is>
      </c>
      <c r="I891" s="301" t="inlineStr">
        <is>
          <t>✅ Paid</t>
        </is>
      </c>
      <c r="J891" s="423" t="inlineStr">
        <is>
          <t>Pagado por Lohith (bolsillo); reembolsable via Owner Ledger</t>
        </is>
      </c>
    </row>
    <row r="892">
      <c r="B892" s="429" t="n">
        <v>46316</v>
      </c>
      <c r="C892" s="297" t="inlineStr">
        <is>
          <t>Pescado</t>
        </is>
      </c>
      <c r="D892" s="298" t="inlineStr">
        <is>
          <t>No bill</t>
        </is>
      </c>
      <c r="E892" s="297" t="inlineStr">
        <is>
          <t>Ingredients - Meat &amp; Fish</t>
        </is>
      </c>
      <c r="F892" s="299" t="n">
        <v>325</v>
      </c>
      <c r="G892" s="300" t="inlineStr">
        <is>
          <t>Restaurant</t>
        </is>
      </c>
      <c r="H892" s="300" t="inlineStr">
        <is>
          <t>Cash</t>
        </is>
      </c>
      <c r="I892" s="301" t="inlineStr">
        <is>
          <t>✅ Paid</t>
        </is>
      </c>
      <c r="J892" s="423" t="inlineStr">
        <is>
          <t>No receipt; cash</t>
        </is>
      </c>
    </row>
    <row r="893">
      <c r="B893" s="429" t="n">
        <v>46316</v>
      </c>
      <c r="C893" s="297" t="inlineStr">
        <is>
          <t>Carne</t>
        </is>
      </c>
      <c r="D893" s="298" t="inlineStr">
        <is>
          <t>No bill</t>
        </is>
      </c>
      <c r="E893" s="297" t="inlineStr">
        <is>
          <t>Ingredients - Meat</t>
        </is>
      </c>
      <c r="F893" s="299" t="n">
        <v>570</v>
      </c>
      <c r="G893" s="300" t="inlineStr">
        <is>
          <t>Restaurant</t>
        </is>
      </c>
      <c r="H893" s="300" t="inlineStr">
        <is>
          <t>Cash</t>
        </is>
      </c>
      <c r="I893" s="301" t="inlineStr">
        <is>
          <t>✅ Paid</t>
        </is>
      </c>
      <c r="J893" s="423" t="inlineStr">
        <is>
          <t>No receipt; cash</t>
        </is>
      </c>
    </row>
    <row r="894">
      <c r="B894" s="429" t="n">
        <v>46316</v>
      </c>
      <c r="C894" s="297" t="inlineStr">
        <is>
          <t>Etrusca</t>
        </is>
      </c>
      <c r="D894" s="298" t="inlineStr">
        <is>
          <t>No bill</t>
        </is>
      </c>
      <c r="E894" s="297" t="inlineStr">
        <is>
          <t>Supplies/Other</t>
        </is>
      </c>
      <c r="F894" s="299" t="n">
        <v>1796</v>
      </c>
      <c r="G894" s="300" t="inlineStr">
        <is>
          <t>Restaurant</t>
        </is>
      </c>
      <c r="H894" s="300" t="inlineStr">
        <is>
          <t>Cash</t>
        </is>
      </c>
      <c r="I894" s="301" t="inlineStr">
        <is>
          <t>✅ Paid</t>
        </is>
      </c>
      <c r="J894" s="423" t="inlineStr">
        <is>
          <t>No receipt; cash</t>
        </is>
      </c>
    </row>
    <row r="895">
      <c r="B895" s="429" t="n">
        <v>46316</v>
      </c>
      <c r="C895" s="297" t="inlineStr">
        <is>
          <t>Soft App</t>
        </is>
      </c>
      <c r="D895" s="298" t="inlineStr">
        <is>
          <t>No bill</t>
        </is>
      </c>
      <c r="E895" s="297" t="inlineStr">
        <is>
          <t>Software/Subscription</t>
        </is>
      </c>
      <c r="F895" s="299" t="n">
        <v>810</v>
      </c>
      <c r="G895" s="300" t="inlineStr">
        <is>
          <t>Restaurant</t>
        </is>
      </c>
      <c r="H895" s="300" t="inlineStr">
        <is>
          <t>Cash</t>
        </is>
      </c>
      <c r="I895" s="301" t="inlineStr">
        <is>
          <t>✅ Paid</t>
        </is>
      </c>
      <c r="J895" s="423" t="inlineStr">
        <is>
          <t>No receipt; cash</t>
        </is>
      </c>
    </row>
    <row r="896">
      <c r="B896" s="429" t="n">
        <v>46317</v>
      </c>
      <c r="C896" s="297" t="inlineStr">
        <is>
          <t>Chedraui</t>
        </is>
      </c>
      <c r="D896" s="298" t="inlineStr">
        <is>
          <t>Chedraui</t>
        </is>
      </c>
      <c r="E896" s="297" t="inlineStr">
        <is>
          <t>Supermarket/General</t>
        </is>
      </c>
      <c r="F896" s="299" t="n">
        <v>252</v>
      </c>
      <c r="G896" s="300" t="inlineStr">
        <is>
          <t>Restaurant</t>
        </is>
      </c>
      <c r="H896" s="300" t="inlineStr">
        <is>
          <t>Cash</t>
        </is>
      </c>
      <c r="I896" s="301" t="inlineStr">
        <is>
          <t>✅ Paid</t>
        </is>
      </c>
      <c r="J896" s="423" t="inlineStr">
        <is>
          <t>No receipt; cash</t>
        </is>
      </c>
    </row>
    <row r="897">
      <c r="B897" s="429" t="n">
        <v>46317</v>
      </c>
      <c r="C897" s="297" t="inlineStr">
        <is>
          <t>Vegetables</t>
        </is>
      </c>
      <c r="D897" s="298" t="inlineStr">
        <is>
          <t>No bill</t>
        </is>
      </c>
      <c r="E897" s="297" t="inlineStr">
        <is>
          <t>Ingredients - Vegetables</t>
        </is>
      </c>
      <c r="F897" s="299" t="n">
        <v>118</v>
      </c>
      <c r="G897" s="300" t="inlineStr">
        <is>
          <t>Restaurant</t>
        </is>
      </c>
      <c r="H897" s="300" t="inlineStr">
        <is>
          <t>Cash</t>
        </is>
      </c>
      <c r="I897" s="301" t="inlineStr">
        <is>
          <t>✅ Paid</t>
        </is>
      </c>
      <c r="J897" s="423" t="inlineStr">
        <is>
          <t>No receipt; cash</t>
        </is>
      </c>
    </row>
    <row r="898">
      <c r="B898" s="429" t="n">
        <v>46317</v>
      </c>
      <c r="C898" s="297" t="inlineStr">
        <is>
          <t>Mango</t>
        </is>
      </c>
      <c r="D898" s="298" t="inlineStr">
        <is>
          <t>No bill</t>
        </is>
      </c>
      <c r="E898" s="297" t="inlineStr">
        <is>
          <t>Ingredients - Vegetables</t>
        </is>
      </c>
      <c r="F898" s="299" t="n">
        <v>425</v>
      </c>
      <c r="G898" s="300" t="inlineStr">
        <is>
          <t>Restaurant</t>
        </is>
      </c>
      <c r="H898" s="300" t="inlineStr">
        <is>
          <t>Cash</t>
        </is>
      </c>
      <c r="I898" s="301" t="inlineStr">
        <is>
          <t>✅ Paid</t>
        </is>
      </c>
      <c r="J898" s="423" t="inlineStr">
        <is>
          <t>No receipt; cash</t>
        </is>
      </c>
    </row>
    <row r="899">
      <c r="B899" s="429" t="n">
        <v>46317</v>
      </c>
      <c r="C899" s="297" t="inlineStr">
        <is>
          <t>Pan Dulce</t>
        </is>
      </c>
      <c r="D899" s="298" t="inlineStr">
        <is>
          <t>No bill</t>
        </is>
      </c>
      <c r="E899" s="297" t="inlineStr">
        <is>
          <t>Ingredients - Bread</t>
        </is>
      </c>
      <c r="F899" s="299" t="n">
        <v>64</v>
      </c>
      <c r="G899" s="300" t="inlineStr">
        <is>
          <t>Restaurant</t>
        </is>
      </c>
      <c r="H899" s="300" t="inlineStr">
        <is>
          <t>Cash</t>
        </is>
      </c>
      <c r="I899" s="301" t="inlineStr">
        <is>
          <t>✅ Paid</t>
        </is>
      </c>
      <c r="J899" s="423" t="inlineStr">
        <is>
          <t>No receipt; cash</t>
        </is>
      </c>
    </row>
    <row r="900">
      <c r="B900" s="429" t="n">
        <v>46317</v>
      </c>
      <c r="C900" s="297" t="inlineStr">
        <is>
          <t>Pollo</t>
        </is>
      </c>
      <c r="D900" s="298" t="inlineStr">
        <is>
          <t>No bill</t>
        </is>
      </c>
      <c r="E900" s="297" t="inlineStr">
        <is>
          <t>Ingredients - Meat</t>
        </is>
      </c>
      <c r="F900" s="299" t="n">
        <v>185</v>
      </c>
      <c r="G900" s="300" t="inlineStr">
        <is>
          <t>Restaurant</t>
        </is>
      </c>
      <c r="H900" s="300" t="inlineStr">
        <is>
          <t>Cash</t>
        </is>
      </c>
      <c r="I900" s="301" t="inlineStr">
        <is>
          <t>✅ Paid</t>
        </is>
      </c>
      <c r="J900" s="423" t="inlineStr">
        <is>
          <t>No receipt; cash</t>
        </is>
      </c>
    </row>
    <row r="901">
      <c r="B901" s="429" t="n">
        <v>46317</v>
      </c>
      <c r="C901" s="297" t="inlineStr">
        <is>
          <t>Molino</t>
        </is>
      </c>
      <c r="D901" s="298" t="inlineStr">
        <is>
          <t>No bill</t>
        </is>
      </c>
      <c r="E901" s="297" t="inlineStr">
        <is>
          <t>Supermarket/General</t>
        </is>
      </c>
      <c r="F901" s="299" t="n">
        <v>138</v>
      </c>
      <c r="G901" s="300" t="inlineStr">
        <is>
          <t>Restaurant</t>
        </is>
      </c>
      <c r="H901" s="300" t="inlineStr">
        <is>
          <t>Cash</t>
        </is>
      </c>
      <c r="I901" s="301" t="inlineStr">
        <is>
          <t>✅ Paid</t>
        </is>
      </c>
      <c r="J901" s="423" t="inlineStr">
        <is>
          <t>No receipt; cash</t>
        </is>
      </c>
    </row>
    <row r="902">
      <c r="B902" s="429" t="n">
        <v>46317</v>
      </c>
      <c r="C902" s="297" t="inlineStr">
        <is>
          <t>Oxxo Aceite</t>
        </is>
      </c>
      <c r="D902" s="298" t="inlineStr">
        <is>
          <t>OXXO</t>
        </is>
      </c>
      <c r="E902" s="297" t="inlineStr">
        <is>
          <t>Ingredients - Pantry</t>
        </is>
      </c>
      <c r="F902" s="299" t="n">
        <v>112</v>
      </c>
      <c r="G902" s="300" t="inlineStr">
        <is>
          <t>Restaurant</t>
        </is>
      </c>
      <c r="H902" s="300" t="inlineStr">
        <is>
          <t>Cash</t>
        </is>
      </c>
      <c r="I902" s="301" t="inlineStr">
        <is>
          <t>✅ Paid</t>
        </is>
      </c>
      <c r="J902" s="423" t="inlineStr">
        <is>
          <t>No receipt; cash</t>
        </is>
      </c>
    </row>
    <row r="903">
      <c r="B903" s="429" t="n">
        <v>46318</v>
      </c>
      <c r="C903" s="297" t="inlineStr">
        <is>
          <t>Pan Real</t>
        </is>
      </c>
      <c r="D903" s="298" t="inlineStr">
        <is>
          <t>No bill</t>
        </is>
      </c>
      <c r="E903" s="297" t="inlineStr">
        <is>
          <t>Ingredients - Bread</t>
        </is>
      </c>
      <c r="F903" s="299" t="n">
        <v>288</v>
      </c>
      <c r="G903" s="300" t="inlineStr">
        <is>
          <t>Restaurant</t>
        </is>
      </c>
      <c r="H903" s="300" t="inlineStr">
        <is>
          <t>Cash</t>
        </is>
      </c>
      <c r="I903" s="301" t="inlineStr">
        <is>
          <t>✅ Paid</t>
        </is>
      </c>
      <c r="J903" s="423" t="inlineStr">
        <is>
          <t>No receipt; cash</t>
        </is>
      </c>
    </row>
    <row r="904">
      <c r="B904" s="429" t="n">
        <v>46318</v>
      </c>
      <c r="C904" s="297" t="inlineStr">
        <is>
          <t>Oxxo</t>
        </is>
      </c>
      <c r="D904" s="298" t="inlineStr">
        <is>
          <t>OXXO</t>
        </is>
      </c>
      <c r="E904" s="297" t="inlineStr">
        <is>
          <t>Ingredients - Pantry</t>
        </is>
      </c>
      <c r="F904" s="299" t="n">
        <v>108</v>
      </c>
      <c r="G904" s="300" t="inlineStr">
        <is>
          <t>Restaurant</t>
        </is>
      </c>
      <c r="H904" s="300" t="inlineStr">
        <is>
          <t>Cash</t>
        </is>
      </c>
      <c r="I904" s="301" t="inlineStr">
        <is>
          <t>✅ Paid</t>
        </is>
      </c>
      <c r="J904" s="423" t="inlineStr">
        <is>
          <t>No receipt; cash</t>
        </is>
      </c>
    </row>
    <row r="905">
      <c r="B905" s="429" t="n">
        <v>46318</v>
      </c>
      <c r="C905" s="297" t="inlineStr">
        <is>
          <t>Carne</t>
        </is>
      </c>
      <c r="D905" s="298" t="inlineStr">
        <is>
          <t>No bill</t>
        </is>
      </c>
      <c r="E905" s="297" t="inlineStr">
        <is>
          <t>Ingredients - Meat</t>
        </is>
      </c>
      <c r="F905" s="299" t="n">
        <v>292</v>
      </c>
      <c r="G905" s="300" t="inlineStr">
        <is>
          <t>Restaurant</t>
        </is>
      </c>
      <c r="H905" s="300" t="inlineStr">
        <is>
          <t>Cash</t>
        </is>
      </c>
      <c r="I905" s="301" t="inlineStr">
        <is>
          <t>✅ Paid</t>
        </is>
      </c>
      <c r="J905" s="423" t="inlineStr">
        <is>
          <t>No receipt; cash</t>
        </is>
      </c>
    </row>
    <row r="906">
      <c r="B906" s="429" t="n">
        <v>46318</v>
      </c>
      <c r="C906" s="297" t="inlineStr">
        <is>
          <t>Sams club</t>
        </is>
      </c>
      <c r="D906" s="298" t="inlineStr">
        <is>
          <t>Sam's Club</t>
        </is>
      </c>
      <c r="E906" s="297" t="inlineStr">
        <is>
          <t>Supermarket/General</t>
        </is>
      </c>
      <c r="F906" s="299" t="n">
        <v>471</v>
      </c>
      <c r="G906" s="300" t="inlineStr">
        <is>
          <t>Restaurant</t>
        </is>
      </c>
      <c r="H906" s="300" t="inlineStr">
        <is>
          <t>Cash</t>
        </is>
      </c>
      <c r="I906" s="301" t="inlineStr">
        <is>
          <t>✅ Paid</t>
        </is>
      </c>
      <c r="J906" s="423" t="inlineStr">
        <is>
          <t>No receipt; cash</t>
        </is>
      </c>
    </row>
    <row r="907">
      <c r="B907" s="429" t="n">
        <v>46318</v>
      </c>
      <c r="C907" s="297" t="inlineStr">
        <is>
          <t>Duvi - salary</t>
        </is>
      </c>
      <c r="D907" s="298" t="inlineStr">
        <is>
          <t>Payroll</t>
        </is>
      </c>
      <c r="E907" s="297" t="inlineStr">
        <is>
          <t>Staff - Salary</t>
        </is>
      </c>
      <c r="F907" s="299" t="n">
        <v>1460</v>
      </c>
      <c r="G907" s="300" t="inlineStr">
        <is>
          <t>Restaurant</t>
        </is>
      </c>
      <c r="H907" s="300" t="inlineStr">
        <is>
          <t>Cash</t>
        </is>
      </c>
      <c r="I907" s="301" t="inlineStr">
        <is>
          <t>✅ Paid</t>
        </is>
      </c>
      <c r="J907" s="423" t="inlineStr">
        <is>
          <t>Weekly salary</t>
        </is>
      </c>
    </row>
    <row r="908">
      <c r="B908" s="429" t="n">
        <v>46319</v>
      </c>
      <c r="C908" s="297" t="inlineStr">
        <is>
          <t>Walmart</t>
        </is>
      </c>
      <c r="D908" s="298" t="inlineStr">
        <is>
          <t>Walmart</t>
        </is>
      </c>
      <c r="E908" s="297" t="inlineStr">
        <is>
          <t>Supermarket/General</t>
        </is>
      </c>
      <c r="F908" s="299" t="n">
        <v>363</v>
      </c>
      <c r="G908" s="300" t="inlineStr">
        <is>
          <t>Restaurant</t>
        </is>
      </c>
      <c r="H908" s="300" t="inlineStr">
        <is>
          <t>Cash</t>
        </is>
      </c>
      <c r="I908" s="301" t="inlineStr">
        <is>
          <t>✅ Paid</t>
        </is>
      </c>
      <c r="J908" s="423" t="inlineStr">
        <is>
          <t>No receipt; cash</t>
        </is>
      </c>
    </row>
    <row r="909">
      <c r="B909" s="429" t="n">
        <v>46319</v>
      </c>
      <c r="C909" s="297" t="inlineStr">
        <is>
          <t>3B</t>
        </is>
      </c>
      <c r="D909" s="298" t="inlineStr">
        <is>
          <t>Tres B</t>
        </is>
      </c>
      <c r="E909" s="297" t="inlineStr">
        <is>
          <t>Supermarket/General</t>
        </is>
      </c>
      <c r="F909" s="299" t="n">
        <v>879</v>
      </c>
      <c r="G909" s="300" t="inlineStr">
        <is>
          <t>Restaurant</t>
        </is>
      </c>
      <c r="H909" s="300" t="inlineStr">
        <is>
          <t>Cash</t>
        </is>
      </c>
      <c r="I909" s="301" t="inlineStr">
        <is>
          <t>✅ Paid</t>
        </is>
      </c>
      <c r="J909" s="423" t="inlineStr">
        <is>
          <t>No receipt; cash</t>
        </is>
      </c>
    </row>
    <row r="910">
      <c r="B910" s="429" t="n">
        <v>46319</v>
      </c>
      <c r="C910" s="297" t="inlineStr">
        <is>
          <t>Decoration</t>
        </is>
      </c>
      <c r="D910" s="298" t="inlineStr">
        <is>
          <t>No bill</t>
        </is>
      </c>
      <c r="E910" s="297" t="inlineStr">
        <is>
          <t>Supplies/Other</t>
        </is>
      </c>
      <c r="F910" s="299" t="n">
        <v>180</v>
      </c>
      <c r="G910" s="300" t="inlineStr">
        <is>
          <t>Restaurant</t>
        </is>
      </c>
      <c r="H910" s="300" t="inlineStr">
        <is>
          <t>Cash</t>
        </is>
      </c>
      <c r="I910" s="301" t="inlineStr">
        <is>
          <t>✅ Paid</t>
        </is>
      </c>
      <c r="J910" s="423" t="inlineStr">
        <is>
          <t>No receipt; cash</t>
        </is>
      </c>
    </row>
    <row r="911">
      <c r="B911" s="429" t="n">
        <v>46319</v>
      </c>
      <c r="C911" s="297" t="inlineStr">
        <is>
          <t>Vegetables</t>
        </is>
      </c>
      <c r="D911" s="298" t="inlineStr">
        <is>
          <t>No bill</t>
        </is>
      </c>
      <c r="E911" s="297" t="inlineStr">
        <is>
          <t>Ingredients - Vegetables</t>
        </is>
      </c>
      <c r="F911" s="299" t="n">
        <v>1500</v>
      </c>
      <c r="G911" s="300" t="inlineStr">
        <is>
          <t>Restaurant</t>
        </is>
      </c>
      <c r="H911" s="300" t="inlineStr">
        <is>
          <t>Cash</t>
        </is>
      </c>
      <c r="I911" s="301" t="inlineStr">
        <is>
          <t>✅ Paid</t>
        </is>
      </c>
      <c r="J911" s="423" t="inlineStr">
        <is>
          <t>No receipt; cash</t>
        </is>
      </c>
    </row>
    <row r="912">
      <c r="B912" s="429" t="n">
        <v>46319</v>
      </c>
      <c r="C912" s="297" t="inlineStr">
        <is>
          <t>Rodrigo - salary</t>
        </is>
      </c>
      <c r="D912" s="298" t="inlineStr">
        <is>
          <t>Payroll</t>
        </is>
      </c>
      <c r="E912" s="297" t="inlineStr">
        <is>
          <t>Staff - Salary</t>
        </is>
      </c>
      <c r="F912" s="299" t="n">
        <v>1500</v>
      </c>
      <c r="G912" s="300" t="inlineStr">
        <is>
          <t>Restaurant</t>
        </is>
      </c>
      <c r="H912" s="300" t="inlineStr">
        <is>
          <t>Cash</t>
        </is>
      </c>
      <c r="I912" s="301" t="inlineStr">
        <is>
          <t>✅ Paid</t>
        </is>
      </c>
      <c r="J912" s="423" t="inlineStr">
        <is>
          <t>Weekly salary</t>
        </is>
      </c>
    </row>
    <row r="913">
      <c r="B913" s="429" t="n">
        <v>46319</v>
      </c>
      <c r="C913" s="297" t="inlineStr">
        <is>
          <t>Josias - salary</t>
        </is>
      </c>
      <c r="D913" s="298" t="inlineStr">
        <is>
          <t>Payroll</t>
        </is>
      </c>
      <c r="E913" s="297" t="inlineStr">
        <is>
          <t>Staff - Salary</t>
        </is>
      </c>
      <c r="F913" s="299" t="n">
        <v>1850</v>
      </c>
      <c r="G913" s="300" t="inlineStr">
        <is>
          <t>Restaurant</t>
        </is>
      </c>
      <c r="H913" s="300" t="inlineStr">
        <is>
          <t>Cash</t>
        </is>
      </c>
      <c r="I913" s="301" t="inlineStr">
        <is>
          <t>✅ Paid</t>
        </is>
      </c>
      <c r="J913" s="423" t="inlineStr">
        <is>
          <t>Weekly salary</t>
        </is>
      </c>
    </row>
    <row r="914">
      <c r="B914" s="429" t="n">
        <v>46319</v>
      </c>
      <c r="C914" s="297" t="inlineStr">
        <is>
          <t>Jhon - salary</t>
        </is>
      </c>
      <c r="D914" s="298" t="inlineStr">
        <is>
          <t>Payroll</t>
        </is>
      </c>
      <c r="E914" s="297" t="inlineStr">
        <is>
          <t>Staff - Salary</t>
        </is>
      </c>
      <c r="F914" s="299" t="n">
        <v>3750</v>
      </c>
      <c r="G914" s="300" t="inlineStr">
        <is>
          <t>Restaurant</t>
        </is>
      </c>
      <c r="H914" s="300" t="inlineStr">
        <is>
          <t>Cash</t>
        </is>
      </c>
      <c r="I914" s="301" t="inlineStr">
        <is>
          <t>✅ Paid</t>
        </is>
      </c>
      <c r="J914" s="423" t="inlineStr">
        <is>
          <t>Weekly salary</t>
        </is>
      </c>
    </row>
    <row r="915">
      <c r="B915" s="429" t="n">
        <v>46321</v>
      </c>
      <c r="C915" s="297" t="inlineStr">
        <is>
          <t>Carne</t>
        </is>
      </c>
      <c r="D915" s="298" t="inlineStr">
        <is>
          <t>No bill</t>
        </is>
      </c>
      <c r="E915" s="297" t="inlineStr">
        <is>
          <t>Ingredients - Meat</t>
        </is>
      </c>
      <c r="F915" s="299" t="n">
        <v>1081</v>
      </c>
      <c r="G915" s="300" t="inlineStr">
        <is>
          <t>Restaurant</t>
        </is>
      </c>
      <c r="H915" s="300" t="inlineStr">
        <is>
          <t>Cash</t>
        </is>
      </c>
      <c r="I915" s="301" t="inlineStr">
        <is>
          <t>✅ Paid</t>
        </is>
      </c>
      <c r="J915" s="423" t="inlineStr">
        <is>
          <t>No receipt; cash</t>
        </is>
      </c>
    </row>
    <row r="916">
      <c r="B916" s="429" t="n">
        <v>46321</v>
      </c>
      <c r="C916" s="297" t="inlineStr">
        <is>
          <t>Jamon</t>
        </is>
      </c>
      <c r="D916" s="298" t="inlineStr">
        <is>
          <t>No bill</t>
        </is>
      </c>
      <c r="E916" s="297" t="inlineStr">
        <is>
          <t>Ingredients - Meat</t>
        </is>
      </c>
      <c r="F916" s="299" t="n">
        <v>181</v>
      </c>
      <c r="G916" s="300" t="inlineStr">
        <is>
          <t>Restaurant</t>
        </is>
      </c>
      <c r="H916" s="300" t="inlineStr">
        <is>
          <t>Cash</t>
        </is>
      </c>
      <c r="I916" s="301" t="inlineStr">
        <is>
          <t>✅ Paid</t>
        </is>
      </c>
      <c r="J916" s="423" t="inlineStr">
        <is>
          <t>No receipt; cash</t>
        </is>
      </c>
    </row>
    <row r="917">
      <c r="B917" s="429" t="n">
        <v>46321</v>
      </c>
      <c r="C917" s="297" t="inlineStr">
        <is>
          <t>Chedraui</t>
        </is>
      </c>
      <c r="D917" s="298" t="inlineStr">
        <is>
          <t>Chedraui</t>
        </is>
      </c>
      <c r="E917" s="297" t="inlineStr">
        <is>
          <t>Supermarket/General</t>
        </is>
      </c>
      <c r="F917" s="299" t="n">
        <v>280</v>
      </c>
      <c r="G917" s="300" t="inlineStr">
        <is>
          <t>Restaurant</t>
        </is>
      </c>
      <c r="H917" s="300" t="inlineStr">
        <is>
          <t>Cash</t>
        </is>
      </c>
      <c r="I917" s="301" t="inlineStr">
        <is>
          <t>✅ Paid</t>
        </is>
      </c>
      <c r="J917" s="423" t="inlineStr">
        <is>
          <t>No receipt; cash</t>
        </is>
      </c>
    </row>
    <row r="918">
      <c r="B918" s="429" t="n">
        <v>46321</v>
      </c>
      <c r="C918" s="297" t="inlineStr">
        <is>
          <t>Tortillas</t>
        </is>
      </c>
      <c r="D918" s="298" t="inlineStr">
        <is>
          <t>No bill</t>
        </is>
      </c>
      <c r="E918" s="297" t="inlineStr">
        <is>
          <t>Ingredients - Bread</t>
        </is>
      </c>
      <c r="F918" s="299" t="n">
        <v>70</v>
      </c>
      <c r="G918" s="300" t="inlineStr">
        <is>
          <t>Restaurant</t>
        </is>
      </c>
      <c r="H918" s="300" t="inlineStr">
        <is>
          <t>Cash</t>
        </is>
      </c>
      <c r="I918" s="301" t="inlineStr">
        <is>
          <t>✅ Paid</t>
        </is>
      </c>
      <c r="J918" s="423" t="inlineStr">
        <is>
          <t>No receipt; cash</t>
        </is>
      </c>
    </row>
    <row r="919">
      <c r="B919" s="429" t="n">
        <v>46321</v>
      </c>
      <c r="C919" s="297" t="inlineStr">
        <is>
          <t>Pollo</t>
        </is>
      </c>
      <c r="D919" s="298" t="inlineStr">
        <is>
          <t>No bill</t>
        </is>
      </c>
      <c r="E919" s="297" t="inlineStr">
        <is>
          <t>Ingredients - Meat</t>
        </is>
      </c>
      <c r="F919" s="299" t="n">
        <v>667</v>
      </c>
      <c r="G919" s="300" t="inlineStr">
        <is>
          <t>Lohith</t>
        </is>
      </c>
      <c r="H919" s="300" t="inlineStr">
        <is>
          <t>Cash</t>
        </is>
      </c>
      <c r="I919" s="301" t="inlineStr">
        <is>
          <t>✅ Paid</t>
        </is>
      </c>
      <c r="J919" s="423" t="inlineStr">
        <is>
          <t>Pagado por Lohith (bolsillo); reembolsable via Owner Ledger</t>
        </is>
      </c>
    </row>
    <row r="920">
      <c r="B920" s="429" t="n">
        <v>46322</v>
      </c>
      <c r="C920" s="297" t="inlineStr">
        <is>
          <t>Agua Natural</t>
        </is>
      </c>
      <c r="D920" s="298" t="inlineStr">
        <is>
          <t>No bill</t>
        </is>
      </c>
      <c r="E920" s="297" t="inlineStr">
        <is>
          <t>Ingredients - Beverages</t>
        </is>
      </c>
      <c r="F920" s="299" t="n">
        <v>45</v>
      </c>
      <c r="G920" s="300" t="inlineStr">
        <is>
          <t>Restaurant</t>
        </is>
      </c>
      <c r="H920" s="300" t="inlineStr">
        <is>
          <t>Cash</t>
        </is>
      </c>
      <c r="I920" s="301" t="inlineStr">
        <is>
          <t>✅ Paid</t>
        </is>
      </c>
      <c r="J920" s="423" t="inlineStr">
        <is>
          <t>No receipt; cash</t>
        </is>
      </c>
    </row>
    <row r="921">
      <c r="B921" s="429" t="n">
        <v>46323</v>
      </c>
      <c r="C921" s="297" t="inlineStr">
        <is>
          <t>Queso Panela</t>
        </is>
      </c>
      <c r="D921" s="298" t="inlineStr">
        <is>
          <t>No bill</t>
        </is>
      </c>
      <c r="E921" s="297" t="inlineStr">
        <is>
          <t>Ingredients - Dairy</t>
        </is>
      </c>
      <c r="F921" s="299" t="n">
        <v>592</v>
      </c>
      <c r="G921" s="300" t="inlineStr">
        <is>
          <t>Restaurant</t>
        </is>
      </c>
      <c r="H921" s="300" t="inlineStr">
        <is>
          <t>Cash</t>
        </is>
      </c>
      <c r="I921" s="301" t="inlineStr">
        <is>
          <t>✅ Paid</t>
        </is>
      </c>
      <c r="J921" s="423" t="inlineStr">
        <is>
          <t>No receipt; cash</t>
        </is>
      </c>
    </row>
    <row r="922">
      <c r="B922" s="429" t="n">
        <v>46323</v>
      </c>
      <c r="C922" s="297" t="inlineStr">
        <is>
          <t>Chedraui</t>
        </is>
      </c>
      <c r="D922" s="298" t="inlineStr">
        <is>
          <t>Chedraui</t>
        </is>
      </c>
      <c r="E922" s="297" t="inlineStr">
        <is>
          <t>Supermarket/General</t>
        </is>
      </c>
      <c r="F922" s="299" t="n">
        <v>188</v>
      </c>
      <c r="G922" s="300" t="inlineStr">
        <is>
          <t>Restaurant</t>
        </is>
      </c>
      <c r="H922" s="300" t="inlineStr">
        <is>
          <t>Cash</t>
        </is>
      </c>
      <c r="I922" s="301" t="inlineStr">
        <is>
          <t>✅ Paid</t>
        </is>
      </c>
      <c r="J922" s="423" t="inlineStr">
        <is>
          <t>No receipt; cash</t>
        </is>
      </c>
    </row>
    <row r="923">
      <c r="B923" s="429" t="n">
        <v>46323</v>
      </c>
      <c r="C923" s="297" t="inlineStr">
        <is>
          <t>Coca</t>
        </is>
      </c>
      <c r="D923" s="298" t="inlineStr">
        <is>
          <t>No bill</t>
        </is>
      </c>
      <c r="E923" s="297" t="inlineStr">
        <is>
          <t>Ingredients - Beverages</t>
        </is>
      </c>
      <c r="F923" s="299" t="n">
        <v>1314</v>
      </c>
      <c r="G923" s="300" t="inlineStr">
        <is>
          <t>Restaurant</t>
        </is>
      </c>
      <c r="H923" s="300" t="inlineStr">
        <is>
          <t>Cash</t>
        </is>
      </c>
      <c r="I923" s="301" t="inlineStr">
        <is>
          <t>✅ Paid</t>
        </is>
      </c>
      <c r="J923" s="423" t="inlineStr">
        <is>
          <t>No receipt; cash</t>
        </is>
      </c>
    </row>
    <row r="924">
      <c r="B924" s="429" t="n">
        <v>46323</v>
      </c>
      <c r="C924" s="297" t="inlineStr">
        <is>
          <t>Vessel</t>
        </is>
      </c>
      <c r="D924" s="298" t="inlineStr">
        <is>
          <t>No bill</t>
        </is>
      </c>
      <c r="E924" s="297" t="inlineStr">
        <is>
          <t>Kitchen Supplies</t>
        </is>
      </c>
      <c r="F924" s="299" t="n">
        <v>277</v>
      </c>
      <c r="G924" s="300" t="inlineStr">
        <is>
          <t>Restaurant</t>
        </is>
      </c>
      <c r="H924" s="300" t="inlineStr">
        <is>
          <t>Cash</t>
        </is>
      </c>
      <c r="I924" s="301" t="inlineStr">
        <is>
          <t>✅ Paid</t>
        </is>
      </c>
      <c r="J924" s="423" t="inlineStr">
        <is>
          <t>No receipt; cash</t>
        </is>
      </c>
    </row>
    <row r="925">
      <c r="B925" s="429" t="n">
        <v>46323</v>
      </c>
      <c r="C925" s="297" t="inlineStr">
        <is>
          <t>Guimar</t>
        </is>
      </c>
      <c r="D925" s="298" t="inlineStr">
        <is>
          <t>Guimar Polietilenos</t>
        </is>
      </c>
      <c r="E925" s="297" t="inlineStr">
        <is>
          <t>Packaging/Disposables</t>
        </is>
      </c>
      <c r="F925" s="299" t="n">
        <v>600</v>
      </c>
      <c r="G925" s="300" t="inlineStr">
        <is>
          <t>Restaurant</t>
        </is>
      </c>
      <c r="H925" s="300" t="inlineStr">
        <is>
          <t>Cash</t>
        </is>
      </c>
      <c r="I925" s="301" t="inlineStr">
        <is>
          <t>✅ Paid</t>
        </is>
      </c>
      <c r="J925" s="423" t="inlineStr">
        <is>
          <t>No receipt; cash</t>
        </is>
      </c>
    </row>
    <row r="926">
      <c r="B926" s="429" t="n">
        <v>46323</v>
      </c>
      <c r="C926" s="297" t="inlineStr">
        <is>
          <t>Carne</t>
        </is>
      </c>
      <c r="D926" s="298" t="inlineStr">
        <is>
          <t>No bill</t>
        </is>
      </c>
      <c r="E926" s="297" t="inlineStr">
        <is>
          <t>Ingredients - Meat</t>
        </is>
      </c>
      <c r="F926" s="299" t="n">
        <v>605</v>
      </c>
      <c r="G926" s="300" t="inlineStr">
        <is>
          <t>Restaurant</t>
        </is>
      </c>
      <c r="H926" s="300" t="inlineStr">
        <is>
          <t>Cash</t>
        </is>
      </c>
      <c r="I926" s="301" t="inlineStr">
        <is>
          <t>✅ Paid</t>
        </is>
      </c>
      <c r="J926" s="423" t="inlineStr">
        <is>
          <t>No receipt; cash</t>
        </is>
      </c>
    </row>
    <row r="927">
      <c r="B927" s="429" t="n">
        <v>46323</v>
      </c>
      <c r="C927" s="297" t="inlineStr">
        <is>
          <t>Pescado</t>
        </is>
      </c>
      <c r="D927" s="298" t="inlineStr">
        <is>
          <t>No bill</t>
        </is>
      </c>
      <c r="E927" s="297" t="inlineStr">
        <is>
          <t>Ingredients - Meat &amp; Fish</t>
        </is>
      </c>
      <c r="F927" s="299" t="n">
        <v>303</v>
      </c>
      <c r="G927" s="300" t="inlineStr">
        <is>
          <t>Restaurant</t>
        </is>
      </c>
      <c r="H927" s="300" t="inlineStr">
        <is>
          <t>Cash</t>
        </is>
      </c>
      <c r="I927" s="301" t="inlineStr">
        <is>
          <t>✅ Paid</t>
        </is>
      </c>
      <c r="J927" s="423" t="inlineStr">
        <is>
          <t>No receipt; cash</t>
        </is>
      </c>
    </row>
    <row r="928">
      <c r="B928" s="429" t="n">
        <v>46323</v>
      </c>
      <c r="C928" s="297" t="inlineStr">
        <is>
          <t>Pollo</t>
        </is>
      </c>
      <c r="D928" s="298" t="inlineStr">
        <is>
          <t>No bill</t>
        </is>
      </c>
      <c r="E928" s="297" t="inlineStr">
        <is>
          <t>Ingredients - Meat</t>
        </is>
      </c>
      <c r="F928" s="299" t="n">
        <v>320</v>
      </c>
      <c r="G928" s="300" t="inlineStr">
        <is>
          <t>Lohith</t>
        </is>
      </c>
      <c r="H928" s="300" t="inlineStr">
        <is>
          <t>Cash</t>
        </is>
      </c>
      <c r="I928" s="301" t="inlineStr">
        <is>
          <t>✅ Paid</t>
        </is>
      </c>
      <c r="J928" s="423" t="inlineStr">
        <is>
          <t>Pagado por Lohith (bolsillo); reembolsable via Owner Ledger</t>
        </is>
      </c>
    </row>
    <row r="929">
      <c r="B929" s="429" t="n">
        <v>46324</v>
      </c>
      <c r="C929" s="297" t="inlineStr">
        <is>
          <t>Vegetables</t>
        </is>
      </c>
      <c r="D929" s="298" t="inlineStr">
        <is>
          <t>No bill</t>
        </is>
      </c>
      <c r="E929" s="297" t="inlineStr">
        <is>
          <t>Ingredients - Vegetables</t>
        </is>
      </c>
      <c r="F929" s="299" t="n">
        <v>157</v>
      </c>
      <c r="G929" s="300" t="inlineStr">
        <is>
          <t>Restaurant</t>
        </is>
      </c>
      <c r="H929" s="300" t="inlineStr">
        <is>
          <t>Cash</t>
        </is>
      </c>
      <c r="I929" s="301" t="inlineStr">
        <is>
          <t>✅ Paid</t>
        </is>
      </c>
      <c r="J929" s="423" t="inlineStr">
        <is>
          <t>No receipt; cash</t>
        </is>
      </c>
    </row>
    <row r="930">
      <c r="B930" s="429" t="n">
        <v>46324</v>
      </c>
      <c r="C930" s="297" t="inlineStr">
        <is>
          <t>Pan Real</t>
        </is>
      </c>
      <c r="D930" s="298" t="inlineStr">
        <is>
          <t>No bill</t>
        </is>
      </c>
      <c r="E930" s="297" t="inlineStr">
        <is>
          <t>Ingredients - Bread</t>
        </is>
      </c>
      <c r="F930" s="299" t="n">
        <v>1465</v>
      </c>
      <c r="G930" s="300" t="inlineStr">
        <is>
          <t>Restaurant</t>
        </is>
      </c>
      <c r="H930" s="300" t="inlineStr">
        <is>
          <t>Cash</t>
        </is>
      </c>
      <c r="I930" s="301" t="inlineStr">
        <is>
          <t>✅ Paid</t>
        </is>
      </c>
      <c r="J930" s="423" t="inlineStr">
        <is>
          <t>No receipt; cash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tabSelected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0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243.3333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440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1460</v>
      </c>
      <c r="C36" s="201" t="n">
        <v>5840</v>
      </c>
      <c r="D36" s="199" t="inlineStr">
        <is>
          <t>Confirmed 18-Sep-2026 ($1,460/wk)</t>
        </is>
      </c>
    </row>
    <row r="37">
      <c r="A37" t="inlineStr">
        <is>
          <t>Armando — Ayudante Salary</t>
        </is>
      </c>
      <c r="B37" s="199" t="n">
        <v>2200</v>
      </c>
      <c r="C37" s="220" t="n">
        <v>8800</v>
      </c>
      <c r="D37" s="221" t="inlineStr">
        <is>
          <t>Confirmed 18-Sep-2026 ($2,200/wk, Mon-Fri, $440/day)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(contractual $19,066.68/mo from Sep)</t>
        </is>
      </c>
      <c r="B39" s="197" t="n">
        <v>4766.67</v>
      </c>
      <c r="C39" s="198" t="n">
        <v>19066.68</v>
      </c>
      <c r="D39" s="193" t="inlineStr">
        <is>
          <t>Cash basis; weekly = monthly / 4</t>
        </is>
      </c>
    </row>
    <row r="40">
      <c r="A40" s="199" t="inlineStr">
        <is>
          <t>Utilities - CFE + gas + internet + Soft app</t>
        </is>
      </c>
      <c r="B40" s="200" t="n">
        <v>1763.25</v>
      </c>
      <c r="C40" s="201" t="n">
        <v>7053</v>
      </c>
      <c r="D40" s="199" t="inlineStr">
        <is>
          <t>CFE $8,789 bimonthly (~$4,395/mo) + gas $1,500 + internet $349 + Soft $810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Duvi + Armando</t>
        </is>
      </c>
      <c r="B45" s="204">
        <f>B41</f>
        <v/>
      </c>
      <c r="C45" s="204" t="n">
        <v>10500</v>
      </c>
      <c r="D45" s="204">
        <f>B45+C45</f>
        <v/>
      </c>
      <c r="E45" s="204">
        <f>D45/6</f>
        <v/>
      </c>
      <c r="F45" s="204" t="inlineStr">
        <is>
          <t>Payroll $7,410/wk as confirmed 18-Sep</t>
        </is>
      </c>
      <c r="G45" s="204" t="inlineStr">
        <is>
          <t>Break-even = (fixed + variable) / 6 trading days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Current (John + Duvi + Armando)</t>
        </is>
      </c>
      <c r="B49" s="205">
        <f>B41</f>
        <v/>
      </c>
      <c r="C49" s="206" t="n">
        <v>10500</v>
      </c>
      <c r="D49" s="207">
        <f>B49+C49</f>
        <v/>
      </c>
      <c r="E49" s="208">
        <f>D49/6</f>
        <v/>
      </c>
      <c r="F49" s="204" t="n">
        <v>3980</v>
      </c>
      <c r="G49" s="204">
        <f>IF(F49&gt;=E49,"✅ Above break-even","⚠️ Below by $"&amp;TEXT(E49-F49,"#,##0")&amp;"/day")</f>
        <v/>
      </c>
      <c r="H49" t="inlineStr">
        <is>
          <t>F = Sep avg/day to 18-Sep, excl. the one-off $15,896 payment</t>
        </is>
      </c>
    </row>
    <row r="50">
      <c r="A50" s="209" t="inlineStr">
        <is>
          <t>If a mesero is hired (+$2,000/wk)</t>
        </is>
      </c>
      <c r="B50" s="210">
        <f>B41+2000</f>
        <v/>
      </c>
      <c r="C50" s="211" t="n">
        <v>10500</v>
      </c>
      <c r="D50" s="212">
        <f>B50+C50</f>
        <v/>
      </c>
      <c r="E50" s="213">
        <f>D50/6</f>
        <v/>
      </c>
      <c r="F50" s="209">
        <f>F49</f>
        <v/>
      </c>
      <c r="G50" s="209">
        <f>IF(F50&gt;=E50,"✅ Above break-even","⚠️ Below by $"&amp;TEXT(E50-F50,"#,##0")&amp;"/day")</f>
        <v/>
      </c>
      <c r="H50" t="inlineStr">
        <is>
          <t>Scenario only</t>
        </is>
      </c>
    </row>
    <row r="51">
      <c r="A51" s="214" t="inlineStr">
        <is>
          <t>Safety buffer (+15%)</t>
        </is>
      </c>
      <c r="B51" s="215">
        <f>B49</f>
        <v/>
      </c>
      <c r="C51" s="216">
        <f>C49</f>
        <v/>
      </c>
      <c r="D51" s="217">
        <f>D49*1.15</f>
        <v/>
      </c>
      <c r="E51" s="218">
        <f>D51/6</f>
        <v/>
      </c>
      <c r="F51" s="214">
        <f>F49</f>
        <v/>
      </c>
      <c r="G51" s="214">
        <f>IF(F51&gt;=E51,"✅ Above break-even","⚠️ Below by $"&amp;TEXT(E51-F51,"#,##0")&amp;"/day")</f>
        <v/>
      </c>
      <c r="H51" t="inlineStr">
        <is>
          <t>Healthy target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food + supplies, estimated $10,500/wk (Aug actual ~ $10,750/wk).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Rent = contractual $19,066.68/mo from Sep (cash basis). Weekly figures use monthly / 4.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Utilities ~ $7,053/mo from actual bills: CFE $8,789 bimonthly + gas $1,500 + internet $349 + Soft app $810.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Payroll confirmed 18-Sep-2026: John $3,750 + Duvi $1,460 + Armando $2,200 = $7,410/wk.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tabSelected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tabSelected="0"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tabSelected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15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41" t="inlineStr">
        <is>
          <t>LOKA — MONTHLY P&amp;L   (live formulas — auto-updates from Daily Log &amp; Expenses)</t>
        </is>
      </c>
      <c r="B1" s="423" t="n"/>
      <c r="C1" s="423" t="n"/>
      <c r="D1" s="423" t="n"/>
      <c r="E1" s="423" t="n"/>
      <c r="F1" s="423" t="n"/>
      <c r="G1" s="42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5" t="inlineStr">
        <is>
          <t>Oct 2026</t>
        </is>
      </c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7">
        <f>SUMIFS('📅 Daily Log'!$F$8:$F$5000,'📅 Daily Log'!$B$8:$B$5000,"&gt;="&amp;DATE(2026,10,1),'📅 Daily Log'!$B$8:$B$5000,"&lt;"&amp;DATE(2026,11,1))</f>
        <v/>
      </c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7">
        <f>SUMIFS('💸 Expenses'!$F$8:$F$5000,'💸 Expenses'!$B$8:$B$5000,"&gt;="&amp;DATE(2026,10,1),'💸 Expenses'!$B$8:$B$5000,"&lt;"&amp;DATE(2026,11,1))</f>
        <v/>
      </c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8">
        <f>G4-G5</f>
        <v/>
      </c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40">
        <f>COUNTIFS('📅 Daily Log'!$F$8:$F$5000,"&gt;0",'📅 Daily Log'!$B$8:$B$5000,"&gt;="&amp;DATE(2026,10,1),'📅 Daily Log'!$B$8:$B$5000,"&lt;"&amp;DATE(2026,11,1))</f>
        <v/>
      </c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7">
        <f>IFERROR(G4/G7,0)</f>
        <v/>
      </c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5" t="inlineStr">
        <is>
          <t>Oct 2026</t>
        </is>
      </c>
      <c r="H10" s="433" t="n"/>
      <c r="I10" s="433" t="n"/>
      <c r="J10" s="433" t="n"/>
      <c r="K10" s="433" t="n"/>
      <c r="L10" s="433" t="n"/>
    </row>
    <row r="11">
      <c r="A11" s="439" t="inlineStr">
        <is>
          <t>Card (MP + Soft + BBVA)</t>
        </is>
      </c>
      <c r="B11" s="437">
        <f>SUMIFS('📅 Daily Log'!$D$8:$D$5000,'📅 Daily Log'!$B$8:$B$5000,"&gt;="&amp;DATE(2026,5,1),'📅 Daily Log'!$B$8:$B$5000,"&lt;"&amp;DATE(2026,6,1))+SUMIFS('📅 Daily Log'!$U$8:$U$5000,'📅 Daily Log'!$B$8:$B$5000,"&gt;="&amp;DATE(2026,5,1),'📅 Daily Log'!$B$8:$B$5000,"&lt;"&amp;DATE(2026,6,1))+SUMIFS('📅 Daily Log'!$Y$8:$Y$5000,'📅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Log'!$B$8:$B$5000,"&lt;"&amp;DATE(2026,7,1))+SUMIFS('📅 Daily Log'!$U$8:$U$5000,'📅 Daily Log'!$B$8:$B$5000,"&gt;="&amp;DATE(2026,6,1),'📅 Daily Log'!$B$8:$B$5000,"&lt;"&amp;DATE(2026,7,1))+SUMIFS('📅 Daily Log'!$Y$8:$Y$5000,'📅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Log'!$B$8:$B$5000,"&lt;"&amp;DATE(2026,8,1))+SUMIFS('📅 Daily Log'!$U$8:$U$5000,'📅 Daily Log'!$B$8:$B$5000,"&gt;="&amp;DATE(2026,7,1),'📅 Daily Log'!$B$8:$B$5000,"&lt;"&amp;DATE(2026,8,1))+SUMIFS('📅 Daily Log'!$Y$8:$Y$5000,'📅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Log'!$B$8:$B$5000,"&lt;"&amp;DATE(2026,9,1))+SUMIFS('📅 Daily Log'!$U$8:$U$5000,'📅 Daily Log'!$B$8:$B$5000,"&gt;="&amp;DATE(2026,8,1),'📅 Daily Log'!$B$8:$B$5000,"&lt;"&amp;DATE(2026,9,1))+SUMIFS('📅 Daily Log'!$Y$8:$Y$5000,'📅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Log'!$B$8:$B$5000,"&lt;"&amp;DATE(2026,10,1))+SUMIFS('📅 Daily Log'!$U$8:$U$5000,'📅 Daily Log'!$B$8:$B$5000,"&gt;="&amp;DATE(2026,9,1),'📅 Daily Log'!$B$8:$B$5000,"&lt;"&amp;DATE(2026,10,1))+SUMIFS('📅 Daily Log'!$Y$8:$Y$5000,'📅 Daily Log'!$B$8:$B$5000,"&gt;="&amp;DATE(2026,9,1),'📅 Daily Log'!$B$8:$B$5000,"&lt;"&amp;DATE(2026,10,1))</f>
        <v/>
      </c>
      <c r="G11" s="437">
        <f>SUMIFS('📅 Daily Log'!$D$8:$D$5000,'📅 Daily Log'!$B$8:$B$5000,"&gt;="&amp;DATE(2026,10,1),'📅 Daily Log'!$B$8:$B$5000,"&lt;"&amp;DATE(2026,11,1))+SUMIFS('📅 Daily Log'!$U$8:$U$5000,'📅 Daily Log'!$B$8:$B$5000,"&gt;="&amp;DATE(2026,10,1),'📅 Daily Log'!$B$8:$B$5000,"&lt;"&amp;DATE(2026,11,1))+SUMIFS('📅 Daily Log'!$Y$8:$Y$5000,'📅 Daily Log'!$B$8:$B$5000,"&gt;="&amp;DATE(2026,10,1),'📅 Daily Log'!$B$8:$B$5000,"&lt;"&amp;DATE(2026,11,1))</f>
        <v/>
      </c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7">
        <f>SUMIFS('📅 Daily Log'!$E$8:$E$5000,'📅 Daily Log'!$B$8:$B$5000,"&gt;="&amp;DATE(2026,10,1),'📅 Daily Log'!$B$8:$B$5000,"&lt;"&amp;DATE(2026,11,1))</f>
        <v/>
      </c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7">
        <f>SUMIFS('📅 Daily Log'!$G$8:$G$5000,'📅 Daily Log'!$B$8:$B$5000,"&gt;="&amp;DATE(2026,10,1),'📅 Daily Log'!$B$8:$B$5000,"&lt;"&amp;DATE(2026,11,1))</f>
        <v/>
      </c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8">
        <f>G11+G12+G13</f>
        <v/>
      </c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5" t="inlineStr">
        <is>
          <t>Oct 2026</t>
        </is>
      </c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7">
        <f>SUMIFS('💸 Expenses'!$F$8:$F$5000,'💸 Expenses'!$E$8:$E$5000,$A17,'💸 Expenses'!$B$8:$B$5000,"&gt;="&amp;DATE(2026,10,1),'💸 Expenses'!$B$8:$B$5000,"&lt;"&amp;DATE(2026,11,1))</f>
        <v/>
      </c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7">
        <f>SUMIFS('💸 Expenses'!$F$8:$F$5000,'💸 Expenses'!$E$8:$E$5000,$A18,'💸 Expenses'!$B$8:$B$5000,"&gt;="&amp;DATE(2026,10,1),'💸 Expenses'!$B$8:$B$5000,"&lt;"&amp;DATE(2026,11,1))</f>
        <v/>
      </c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7">
        <f>SUMIFS('💸 Expenses'!$F$8:$F$5000,'💸 Expenses'!$E$8:$E$5000,$A19,'💸 Expenses'!$B$8:$B$5000,"&gt;="&amp;DATE(2026,10,1),'💸 Expenses'!$B$8:$B$5000,"&lt;"&amp;DATE(2026,11,1))</f>
        <v/>
      </c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7">
        <f>SUMIFS('💸 Expenses'!$F$8:$F$5000,'💸 Expenses'!$E$8:$E$5000,$A20,'💸 Expenses'!$B$8:$B$5000,"&gt;="&amp;DATE(2026,10,1),'💸 Expenses'!$B$8:$B$5000,"&lt;"&amp;DATE(2026,11,1))</f>
        <v/>
      </c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7">
        <f>SUMIFS('💸 Expenses'!$F$8:$F$5000,'💸 Expenses'!$E$8:$E$5000,$A21,'💸 Expenses'!$B$8:$B$5000,"&gt;="&amp;DATE(2026,10,1),'💸 Expenses'!$B$8:$B$5000,"&lt;"&amp;DATE(2026,11,1))</f>
        <v/>
      </c>
      <c r="H21" s="433" t="n"/>
      <c r="I21" s="433" t="n"/>
      <c r="J21" s="433" t="n"/>
      <c r="K21" s="433" t="n"/>
      <c r="L21" s="433" t="n"/>
    </row>
    <row r="22">
      <c r="A22" s="439" t="inlineStr">
        <is>
          <t>Taxes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7">
        <f>SUMIFS('💸 Expenses'!$F$8:$F$5000,'💸 Expenses'!$E$8:$E$5000,$A22,'💸 Expenses'!$B$8:$B$5000,"&gt;="&amp;DATE(2026,10,1),'💸 Expenses'!$B$8:$B$5000,"&lt;"&amp;DATE(2026,11,1))</f>
        <v/>
      </c>
      <c r="H22" s="433" t="n"/>
      <c r="I22" s="433" t="n"/>
      <c r="J22" s="433" t="n"/>
      <c r="K22" s="433" t="n"/>
      <c r="L22" s="433" t="n"/>
    </row>
    <row r="23">
      <c r="A23" s="439" t="inlineStr">
        <is>
          <t>Utilities/Electricity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7">
        <f>SUMIFS('💸 Expenses'!$F$8:$F$5000,'💸 Expenses'!$E$8:$E$5000,$A23,'💸 Expenses'!$B$8:$B$5000,"&gt;="&amp;DATE(2026,10,1),'💸 Expenses'!$B$8:$B$5000,"&lt;"&amp;DATE(2026,11,1))</f>
        <v/>
      </c>
      <c r="H23" s="433" t="n"/>
      <c r="I23" s="433" t="n"/>
      <c r="J23" s="433" t="n"/>
      <c r="K23" s="433" t="n"/>
      <c r="L23" s="433" t="n"/>
    </row>
    <row r="24">
      <c r="A24" s="439" t="inlineStr">
        <is>
          <t>Ingredients - Bread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7">
        <f>SUMIFS('💸 Expenses'!$F$8:$F$5000,'💸 Expenses'!$E$8:$E$5000,$A24,'💸 Expenses'!$B$8:$B$5000,"&gt;="&amp;DATE(2026,10,1),'💸 Expenses'!$B$8:$B$5000,"&lt;"&amp;DATE(2026,11,1))</f>
        <v/>
      </c>
      <c r="H24" s="433" t="n"/>
      <c r="I24" s="433" t="n"/>
      <c r="J24" s="433" t="n"/>
      <c r="K24" s="433" t="n"/>
      <c r="L24" s="433" t="n"/>
    </row>
    <row r="25">
      <c r="A25" s="439" t="inlineStr">
        <is>
          <t>Ingredients - Pantry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7">
        <f>SUMIFS('💸 Expenses'!$F$8:$F$5000,'💸 Expenses'!$E$8:$E$5000,$A25,'💸 Expenses'!$B$8:$B$5000,"&gt;="&amp;DATE(2026,10,1),'💸 Expenses'!$B$8:$B$5000,"&lt;"&amp;DATE(2026,11,1))</f>
        <v/>
      </c>
      <c r="H25" s="433" t="n"/>
      <c r="I25" s="433" t="n"/>
      <c r="J25" s="433" t="n"/>
      <c r="K25" s="433" t="n"/>
      <c r="L25" s="433" t="n"/>
    </row>
    <row r="26">
      <c r="A26" s="439" t="inlineStr">
        <is>
          <t>Ingredients - Beverages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7">
        <f>SUMIFS('💸 Expenses'!$F$8:$F$5000,'💸 Expenses'!$E$8:$E$5000,$A26,'💸 Expenses'!$B$8:$B$5000,"&gt;="&amp;DATE(2026,10,1),'💸 Expenses'!$B$8:$B$5000,"&lt;"&amp;DATE(2026,11,1))</f>
        <v/>
      </c>
      <c r="H26" s="433" t="n"/>
      <c r="I26" s="433" t="n"/>
      <c r="J26" s="433" t="n"/>
      <c r="K26" s="433" t="n"/>
      <c r="L26" s="433" t="n"/>
    </row>
    <row r="27">
      <c r="A27" s="439" t="inlineStr">
        <is>
          <t>Ingredients - Dairy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7">
        <f>SUMIFS('💸 Expenses'!$F$8:$F$5000,'💸 Expenses'!$E$8:$E$5000,$A27,'💸 Expenses'!$B$8:$B$5000,"&gt;="&amp;DATE(2026,10,1),'💸 Expenses'!$B$8:$B$5000,"&lt;"&amp;DATE(2026,11,1))</f>
        <v/>
      </c>
      <c r="H27" s="433" t="n"/>
      <c r="I27" s="433" t="n"/>
      <c r="J27" s="433" t="n"/>
      <c r="K27" s="433" t="n"/>
      <c r="L27" s="433" t="n"/>
    </row>
    <row r="28">
      <c r="A28" s="439" t="inlineStr">
        <is>
          <t>Supplies/Other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7">
        <f>SUMIFS('💸 Expenses'!$F$8:$F$5000,'💸 Expenses'!$E$8:$E$5000,$A28,'💸 Expenses'!$B$8:$B$5000,"&gt;="&amp;DATE(2026,10,1),'💸 Expenses'!$B$8:$B$5000,"&lt;"&amp;DATE(2026,11,1))</f>
        <v/>
      </c>
      <c r="H28" s="433" t="n"/>
      <c r="I28" s="433" t="n"/>
      <c r="J28" s="433" t="n"/>
      <c r="K28" s="433" t="n"/>
      <c r="L28" s="433" t="n"/>
    </row>
    <row r="29">
      <c r="A29" s="439" t="inlineStr">
        <is>
          <t>Ingredients - Meat &amp; Fish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7">
        <f>SUMIFS('💸 Expenses'!$F$8:$F$5000,'💸 Expenses'!$E$8:$E$5000,$A29,'💸 Expenses'!$B$8:$B$5000,"&gt;="&amp;DATE(2026,10,1),'💸 Expenses'!$B$8:$B$5000,"&lt;"&amp;DATE(2026,11,1))</f>
        <v/>
      </c>
      <c r="H29" s="433" t="n"/>
      <c r="I29" s="433" t="n"/>
      <c r="J29" s="433" t="n"/>
      <c r="K29" s="433" t="n"/>
      <c r="L29" s="433" t="n"/>
    </row>
    <row r="30">
      <c r="A30" s="439" t="inlineStr">
        <is>
          <t>Maintenance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7">
        <f>SUMIFS('💸 Expenses'!$F$8:$F$5000,'💸 Expenses'!$E$8:$E$5000,$A30,'💸 Expenses'!$B$8:$B$5000,"&gt;="&amp;DATE(2026,10,1),'💸 Expenses'!$B$8:$B$5000,"&lt;"&amp;DATE(2026,11,1))</f>
        <v/>
      </c>
      <c r="H30" s="433" t="n"/>
      <c r="I30" s="433" t="n"/>
      <c r="J30" s="433" t="n"/>
      <c r="K30" s="433" t="n"/>
      <c r="L30" s="433" t="n"/>
    </row>
    <row r="31">
      <c r="A31" s="439" t="inlineStr">
        <is>
          <t>Packaging/Disposables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7">
        <f>SUMIFS('💸 Expenses'!$F$8:$F$5000,'💸 Expenses'!$E$8:$E$5000,$A31,'💸 Expenses'!$B$8:$B$5000,"&gt;="&amp;DATE(2026,10,1),'💸 Expenses'!$B$8:$B$5000,"&lt;"&amp;DATE(2026,11,1))</f>
        <v/>
      </c>
      <c r="H31" s="433" t="n"/>
      <c r="I31" s="433" t="n"/>
      <c r="J31" s="433" t="n"/>
      <c r="K31" s="433" t="n"/>
      <c r="L31" s="433" t="n"/>
    </row>
    <row r="32">
      <c r="A32" s="439" t="inlineStr">
        <is>
          <t>Utilities/Gas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7">
        <f>SUMIFS('💸 Expenses'!$F$8:$F$5000,'💸 Expenses'!$E$8:$E$5000,$A32,'💸 Expenses'!$B$8:$B$5000,"&gt;="&amp;DATE(2026,10,1),'💸 Expenses'!$B$8:$B$5000,"&lt;"&amp;DATE(2026,11,1))</f>
        <v/>
      </c>
      <c r="H32" s="433" t="n"/>
      <c r="I32" s="433" t="n"/>
      <c r="J32" s="433" t="n"/>
      <c r="K32" s="433" t="n"/>
      <c r="L32" s="433" t="n"/>
    </row>
    <row r="33">
      <c r="A33" s="439" t="inlineStr">
        <is>
          <t>Professional Services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7">
        <f>SUMIFS('💸 Expenses'!$F$8:$F$5000,'💸 Expenses'!$E$8:$E$5000,$A33,'💸 Expenses'!$B$8:$B$5000,"&gt;="&amp;DATE(2026,10,1),'💸 Expenses'!$B$8:$B$5000,"&lt;"&amp;DATE(2026,11,1))</f>
        <v/>
      </c>
      <c r="H33" s="433" t="n"/>
      <c r="I33" s="433" t="n"/>
      <c r="J33" s="433" t="n"/>
      <c r="K33" s="433" t="n"/>
      <c r="L33" s="433" t="n"/>
    </row>
    <row r="34">
      <c r="A34" s="439" t="inlineStr">
        <is>
          <t>Kitchen Supplies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7">
        <f>SUMIFS('💸 Expenses'!$F$8:$F$5000,'💸 Expenses'!$E$8:$E$5000,$A34,'💸 Expenses'!$B$8:$B$5000,"&gt;="&amp;DATE(2026,10,1),'💸 Expenses'!$B$8:$B$5000,"&lt;"&amp;DATE(2026,11,1))</f>
        <v/>
      </c>
      <c r="H34" s="433" t="n"/>
      <c r="I34" s="433" t="n"/>
      <c r="J34" s="433" t="n"/>
      <c r="K34" s="433" t="n"/>
      <c r="L34" s="433" t="n"/>
    </row>
    <row r="35">
      <c r="A35" s="439" t="inlineStr">
        <is>
          <t>Software/Subscription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7">
        <f>SUMIFS('💸 Expenses'!$F$8:$F$5000,'💸 Expenses'!$E$8:$E$5000,$A35,'💸 Expenses'!$B$8:$B$5000,"&gt;="&amp;DATE(2026,10,1),'💸 Expenses'!$B$8:$B$5000,"&lt;"&amp;DATE(2026,11,1))</f>
        <v/>
      </c>
      <c r="H35" s="433" t="n"/>
      <c r="I35" s="433" t="n"/>
      <c r="J35" s="433" t="n"/>
      <c r="K35" s="433" t="n"/>
      <c r="L35" s="433" t="n"/>
    </row>
    <row r="36">
      <c r="A36" s="439" t="inlineStr">
        <is>
          <t>Ingredients - Fruit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7">
        <f>SUMIFS('💸 Expenses'!$F$8:$F$5000,'💸 Expenses'!$E$8:$E$5000,$A36,'💸 Expenses'!$B$8:$B$5000,"&gt;="&amp;DATE(2026,10,1),'💸 Expenses'!$B$8:$B$5000,"&lt;"&amp;DATE(2026,11,1))</f>
        <v/>
      </c>
      <c r="H36" s="433" t="n"/>
      <c r="I36" s="433" t="n"/>
      <c r="J36" s="433" t="n"/>
      <c r="K36" s="433" t="n"/>
      <c r="L36" s="433" t="n"/>
    </row>
    <row r="37">
      <c r="A37" s="439" t="inlineStr">
        <is>
          <t>Utilities/Internet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7">
        <f>SUMIFS('💸 Expenses'!$F$8:$F$5000,'💸 Expenses'!$E$8:$E$5000,$A37,'💸 Expenses'!$B$8:$B$5000,"&gt;="&amp;DATE(2026,10,1),'💸 Expenses'!$B$8:$B$5000,"&lt;"&amp;DATE(2026,11,1))</f>
        <v/>
      </c>
      <c r="H37" s="433" t="n"/>
      <c r="I37" s="433" t="n"/>
      <c r="J37" s="433" t="n"/>
      <c r="K37" s="433" t="n"/>
      <c r="L37" s="433" t="n"/>
    </row>
    <row r="38">
      <c r="A38" s="439" t="inlineStr">
        <is>
          <t>Office Supplies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7">
        <f>SUMIFS('💸 Expenses'!$F$8:$F$5000,'💸 Expenses'!$E$8:$E$5000,$A38,'💸 Expenses'!$B$8:$B$5000,"&gt;="&amp;DATE(2026,10,1),'💸 Expenses'!$B$8:$B$5000,"&lt;"&amp;DATE(2026,11,1))</f>
        <v/>
      </c>
      <c r="H38" s="433" t="n"/>
      <c r="I38" s="433" t="n"/>
      <c r="J38" s="433" t="n"/>
      <c r="K38" s="433" t="n"/>
      <c r="L38" s="433" t="n"/>
    </row>
    <row r="39">
      <c r="A39" s="439" t="inlineStr">
        <is>
          <t>Ingredients - Other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7">
        <f>SUMIFS('💸 Expenses'!$F$8:$F$5000,'💸 Expenses'!$E$8:$E$5000,$A39,'💸 Expenses'!$B$8:$B$5000,"&gt;="&amp;DATE(2026,10,1),'💸 Expenses'!$B$8:$B$5000,"&lt;"&amp;DATE(2026,11,1))</f>
        <v/>
      </c>
      <c r="H39" s="433" t="n"/>
      <c r="I39" s="433" t="n"/>
      <c r="J39" s="433" t="n"/>
      <c r="K39" s="433" t="n"/>
      <c r="L39" s="433" t="n"/>
    </row>
    <row r="40">
      <c r="A40" s="439" t="inlineStr">
        <is>
          <t>Staff - Advance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7">
        <f>SUMIFS('💸 Expenses'!$F$8:$F$5000,'💸 Expenses'!$E$8:$E$5000,$A40,'💸 Expenses'!$B$8:$B$5000,"&gt;="&amp;DATE(2026,10,1),'💸 Expenses'!$B$8:$B$5000,"&lt;"&amp;DATE(2026,11,1))</f>
        <v/>
      </c>
      <c r="H40" s="433" t="n"/>
      <c r="I40" s="433" t="n"/>
      <c r="J40" s="433" t="n"/>
      <c r="K40" s="433" t="n"/>
      <c r="L40" s="433" t="n"/>
    </row>
    <row r="41">
      <c r="A41" s="439" t="inlineStr">
        <is>
          <t>Ingredients - Eggs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7">
        <f>SUMIFS('💸 Expenses'!$F$8:$F$5000,'💸 Expenses'!$E$8:$E$5000,$A41,'💸 Expenses'!$B$8:$B$5000,"&gt;="&amp;DATE(2026,10,1),'💸 Expenses'!$B$8:$B$5000,"&lt;"&amp;DATE(2026,11,1))</f>
        <v/>
      </c>
      <c r="H41" s="433" t="n"/>
      <c r="I41" s="433" t="n"/>
      <c r="J41" s="433" t="n"/>
      <c r="K41" s="433" t="n"/>
      <c r="L41" s="433" t="n"/>
    </row>
    <row r="42">
      <c r="A42" s="439" t="inlineStr">
        <is>
          <t>Ingredients - Desserts</t>
        </is>
      </c>
      <c r="B42" s="437">
        <f>SUMIFS('💸 Expenses'!$F$8:$F$5000,'💸 Expenses'!$E$8:$E$5000,$A42,'💸 Expenses'!$B$8:$B$5000,"&gt;="&amp;DATE(2026,5,1),'💸 Expenses'!$B$8:$B$5000,"&lt;"&amp;DATE(2026,6,1))</f>
        <v/>
      </c>
      <c r="C42" s="437">
        <f>SUMIFS('💸 Expenses'!$F$8:$F$5000,'💸 Expenses'!$E$8:$E$5000,$A42,'💸 Expenses'!$B$8:$B$5000,"&gt;="&amp;DATE(2026,6,1),'💸 Expenses'!$B$8:$B$5000,"&lt;"&amp;DATE(2026,7,1))</f>
        <v/>
      </c>
      <c r="D42" s="437">
        <f>SUMIFS('💸 Expenses'!$F$8:$F$5000,'💸 Expenses'!$E$8:$E$5000,$A42,'💸 Expenses'!$B$8:$B$5000,"&gt;="&amp;DATE(2026,7,1),'💸 Expenses'!$B$8:$B$5000,"&lt;"&amp;DATE(2026,8,1))</f>
        <v/>
      </c>
      <c r="E42" s="437">
        <f>SUMIFS('💸 Expenses'!$F$8:$F$5000,'💸 Expenses'!$E$8:$E$5000,$A42,'💸 Expenses'!$B$8:$B$5000,"&gt;="&amp;DATE(2026,8,1),'💸 Expenses'!$B$8:$B$5000,"&lt;"&amp;DATE(2026,9,1))</f>
        <v/>
      </c>
      <c r="F42" s="437">
        <f>SUMIFS('💸 Expenses'!$F$8:$F$5000,'💸 Expenses'!$E$8:$E$5000,$A42,'💸 Expenses'!$B$8:$B$5000,"&gt;="&amp;DATE(2026,9,1),'💸 Expenses'!$B$8:$B$5000,"&lt;"&amp;DATE(2026,10,1))</f>
        <v/>
      </c>
      <c r="G42" s="437">
        <f>SUMIFS('💸 Expenses'!$F$8:$F$5000,'💸 Expenses'!$E$8:$E$5000,$A42,'💸 Expenses'!$B$8:$B$5000,"&gt;="&amp;DATE(2026,10,1),'💸 Expenses'!$B$8:$B$5000,"&lt;"&amp;DATE(2026,11,1))</f>
        <v/>
      </c>
      <c r="H42" s="433" t="n"/>
      <c r="I42" s="433" t="n"/>
      <c r="J42" s="433" t="n"/>
      <c r="K42" s="433" t="n"/>
      <c r="L42" s="433" t="n"/>
    </row>
    <row r="43">
      <c r="A43" s="439" t="inlineStr">
        <is>
          <t>Staff - Propinas</t>
        </is>
      </c>
      <c r="B43" s="437">
        <f>SUMIFS('💸 Expenses'!$F$8:$F$5000,'💸 Expenses'!$E$8:$E$5000,$A43,'💸 Expenses'!$B$8:$B$5000,"&gt;="&amp;DATE(2026,5,1),'💸 Expenses'!$B$8:$B$5000,"&lt;"&amp;DATE(2026,6,1))</f>
        <v/>
      </c>
      <c r="C43" s="437">
        <f>SUMIFS('💸 Expenses'!$F$8:$F$5000,'💸 Expenses'!$E$8:$E$5000,$A43,'💸 Expenses'!$B$8:$B$5000,"&gt;="&amp;DATE(2026,6,1),'💸 Expenses'!$B$8:$B$5000,"&lt;"&amp;DATE(2026,7,1))</f>
        <v/>
      </c>
      <c r="D43" s="437">
        <f>SUMIFS('💸 Expenses'!$F$8:$F$5000,'💸 Expenses'!$E$8:$E$5000,$A43,'💸 Expenses'!$B$8:$B$5000,"&gt;="&amp;DATE(2026,7,1),'💸 Expenses'!$B$8:$B$5000,"&lt;"&amp;DATE(2026,8,1))</f>
        <v/>
      </c>
      <c r="E43" s="437">
        <f>SUMIFS('💸 Expenses'!$F$8:$F$5000,'💸 Expenses'!$E$8:$E$5000,$A43,'💸 Expenses'!$B$8:$B$5000,"&gt;="&amp;DATE(2026,8,1),'💸 Expenses'!$B$8:$B$5000,"&lt;"&amp;DATE(2026,9,1))</f>
        <v/>
      </c>
      <c r="F43" s="437">
        <f>SUMIFS('💸 Expenses'!$F$8:$F$5000,'💸 Expenses'!$E$8:$E$5000,$A43,'💸 Expenses'!$B$8:$B$5000,"&gt;="&amp;DATE(2026,9,1),'💸 Expenses'!$B$8:$B$5000,"&lt;"&amp;DATE(2026,10,1))</f>
        <v/>
      </c>
      <c r="G43" s="437">
        <f>SUMIFS('💸 Expenses'!$F$8:$F$5000,'💸 Expenses'!$E$8:$E$5000,$A43,'💸 Expenses'!$B$8:$B$5000,"&gt;="&amp;DATE(2026,10,1),'💸 Expenses'!$B$8:$B$5000,"&lt;"&amp;DATE(2026,11,1))</f>
        <v/>
      </c>
      <c r="H43" s="433" t="n"/>
      <c r="I43" s="433" t="n"/>
      <c r="J43" s="433" t="n"/>
      <c r="K43" s="433" t="n"/>
      <c r="L43" s="433" t="n"/>
    </row>
    <row r="44">
      <c r="A44" s="436" t="inlineStr">
        <is>
          <t>TOTAL EXPENSES</t>
        </is>
      </c>
      <c r="B44" s="438">
        <f>SUMIFS('💸 Expenses'!$F$8:$F$5000,'💸 Expenses'!$B$8:$B$5000,"&gt;="&amp;DATE(2026,5,1),'💸 Expenses'!$B$8:$B$5000,"&lt;"&amp;DATE(2026,6,1))</f>
        <v/>
      </c>
      <c r="C44" s="438">
        <f>SUMIFS('💸 Expenses'!$F$8:$F$5000,'💸 Expenses'!$B$8:$B$5000,"&gt;="&amp;DATE(2026,6,1),'💸 Expenses'!$B$8:$B$5000,"&lt;"&amp;DATE(2026,7,1))</f>
        <v/>
      </c>
      <c r="D44" s="438">
        <f>SUMIFS('💸 Expenses'!$F$8:$F$5000,'💸 Expenses'!$B$8:$B$5000,"&gt;="&amp;DATE(2026,7,1),'💸 Expenses'!$B$8:$B$5000,"&lt;"&amp;DATE(2026,8,1))</f>
        <v/>
      </c>
      <c r="E44" s="438">
        <f>SUMIFS('💸 Expenses'!$F$8:$F$5000,'💸 Expenses'!$B$8:$B$5000,"&gt;="&amp;DATE(2026,8,1),'💸 Expenses'!$B$8:$B$5000,"&lt;"&amp;DATE(2026,9,1))</f>
        <v/>
      </c>
      <c r="F44" s="438">
        <f>SUMIFS('💸 Expenses'!$F$8:$F$5000,'💸 Expenses'!$B$8:$B$5000,"&gt;="&amp;DATE(2026,9,1),'💸 Expenses'!$B$8:$B$5000,"&lt;"&amp;DATE(2026,10,1))</f>
        <v/>
      </c>
      <c r="G44" s="438">
        <f>SUMIFS('💸 Expenses'!$F$8:$F$5000,'💸 Expenses'!$B$8:$B$5000,"&gt;="&amp;DATE(2026,10,1),'💸 Expenses'!$B$8:$B$5000,"&lt;"&amp;DATE(2026,11,1))</f>
        <v/>
      </c>
      <c r="H44" s="433" t="n"/>
      <c r="I44" s="433" t="n"/>
      <c r="J44" s="433" t="n"/>
      <c r="K44" s="433" t="n"/>
      <c r="L44" s="433" t="n"/>
    </row>
    <row r="45">
      <c r="A45" s="436" t="inlineStr">
        <is>
          <t>NET PROFIT / LOSS</t>
        </is>
      </c>
      <c r="B45" s="438">
        <f>B4-B44</f>
        <v/>
      </c>
      <c r="C45" s="438">
        <f>C4-C44</f>
        <v/>
      </c>
      <c r="D45" s="438">
        <f>D4-D44</f>
        <v/>
      </c>
      <c r="E45" s="438">
        <f>E4-E44</f>
        <v/>
      </c>
      <c r="F45" s="438">
        <f>F4-F44</f>
        <v/>
      </c>
      <c r="G45" s="438">
        <f>G4-G44</f>
        <v/>
      </c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G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tabSelected="0"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9"/>
  <sheetViews>
    <sheetView tabSelected="0"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Settlement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Settled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Settlement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Settled</t>
        </is>
      </c>
      <c r="H81" s="232" t="inlineStr">
        <is>
          <t>Ledger settled from operating cash</t>
        </is>
      </c>
    </row>
    <row r="82">
      <c r="A82" s="430" t="n">
        <v>46272</v>
      </c>
      <c r="B82" s="232" t="inlineStr">
        <is>
          <t>Wallmart $123 (paid by Lohith)</t>
        </is>
      </c>
      <c r="C82" s="232" t="inlineStr">
        <is>
          <t>Expense - Personal</t>
        </is>
      </c>
      <c r="D82" s="232" t="n">
        <v>123</v>
      </c>
      <c r="E82" s="233" t="n"/>
      <c r="F82" s="233">
        <f>IFERROR(F81+D82-E82,0)</f>
        <v/>
      </c>
      <c r="G82" s="232" t="inlineStr">
        <is>
          <t>⏳ Reimburse</t>
        </is>
      </c>
      <c r="H82" s="232" t="inlineStr">
        <is>
          <t>Fronted from own pocket; excluded from till via cash_adjust</t>
        </is>
      </c>
    </row>
    <row r="83">
      <c r="A83" s="430" t="n">
        <v>46273</v>
      </c>
      <c r="B83" s="232" t="inlineStr">
        <is>
          <t>Transfer-to-me (customer payment 08-Sep)</t>
        </is>
      </c>
      <c r="C83" s="232" t="inlineStr">
        <is>
          <t>Transfer Received</t>
        </is>
      </c>
      <c r="D83" s="232" t="n"/>
      <c r="E83" s="233" t="n">
        <v>275</v>
      </c>
      <c r="F83" s="233">
        <f>IFERROR(F82+D83-E83,0)</f>
        <v/>
      </c>
      <c r="G83" s="232" t="inlineStr">
        <is>
          <t>✅ Received</t>
        </is>
      </c>
      <c r="H83" s="232" t="inlineStr">
        <is>
          <t>Customer paid Lohith personal acct</t>
        </is>
      </c>
    </row>
    <row r="84">
      <c r="A84" s="430" t="n">
        <v>46274</v>
      </c>
      <c r="B84" s="232" t="inlineStr">
        <is>
          <t>Transfer-to-me (customer payment 09-Sep)</t>
        </is>
      </c>
      <c r="C84" s="232" t="inlineStr">
        <is>
          <t>Transfer Received</t>
        </is>
      </c>
      <c r="D84" s="232" t="n"/>
      <c r="E84" s="233" t="n">
        <v>250</v>
      </c>
      <c r="F84" s="233">
        <f>IFERROR(F83+D84-E84,0)</f>
        <v/>
      </c>
      <c r="G84" s="232" t="inlineStr">
        <is>
          <t>✅ Received</t>
        </is>
      </c>
      <c r="H84" s="232" t="inlineStr">
        <is>
          <t>Customer paid Lohith personal acct</t>
        </is>
      </c>
    </row>
    <row r="85">
      <c r="A85" s="430" t="n">
        <v>46275</v>
      </c>
      <c r="B85" s="232" t="inlineStr">
        <is>
          <t>Transfer-to-me (customer payment 10-Sep)</t>
        </is>
      </c>
      <c r="C85" s="232" t="inlineStr">
        <is>
          <t>Transfer Received</t>
        </is>
      </c>
      <c r="D85" s="232" t="n"/>
      <c r="E85" s="233" t="n">
        <v>120</v>
      </c>
      <c r="F85" s="233">
        <f>IFERROR(F84+D85-E85,0)</f>
        <v/>
      </c>
      <c r="G85" s="232" t="inlineStr">
        <is>
          <t>✅ Received</t>
        </is>
      </c>
      <c r="H85" s="232" t="inlineStr">
        <is>
          <t>Customer paid Lohith personal acct</t>
        </is>
      </c>
    </row>
    <row r="86">
      <c r="A86" s="430" t="n">
        <v>46276</v>
      </c>
      <c r="B86" s="232" t="inlineStr">
        <is>
          <t>Transfer-to-me (customer payment 11-Sep)</t>
        </is>
      </c>
      <c r="C86" s="232" t="inlineStr">
        <is>
          <t>Transfer Received</t>
        </is>
      </c>
      <c r="D86" s="232" t="n"/>
      <c r="E86" s="233" t="n">
        <v>1010</v>
      </c>
      <c r="F86" s="233">
        <f>IFERROR(F85+D86-E86,0)</f>
        <v/>
      </c>
      <c r="G86" s="232" t="inlineStr">
        <is>
          <t>✅ Received</t>
        </is>
      </c>
      <c r="H86" s="232" t="inlineStr">
        <is>
          <t>Customer paid Lohith personal acct</t>
        </is>
      </c>
    </row>
    <row r="87">
      <c r="A87" s="430" t="n">
        <v>46279</v>
      </c>
      <c r="B87" s="232" t="inlineStr">
        <is>
          <t>Transfer-to-me (customer payment 14-Sep)</t>
        </is>
      </c>
      <c r="C87" s="232" t="inlineStr">
        <is>
          <t>Transfer Received</t>
        </is>
      </c>
      <c r="D87" s="232" t="n"/>
      <c r="E87" s="233" t="n">
        <v>130</v>
      </c>
      <c r="F87" s="233">
        <f>IFERROR(F86+D87-E87,0)</f>
        <v/>
      </c>
      <c r="G87" s="232" t="inlineStr">
        <is>
          <t>✅ Received</t>
        </is>
      </c>
      <c r="H87" s="232" t="inlineStr">
        <is>
          <t>Customer paid Lohith personal acct</t>
        </is>
      </c>
    </row>
    <row r="88">
      <c r="A88" s="430" t="n">
        <v>46282</v>
      </c>
      <c r="B88" s="232" t="inlineStr">
        <is>
          <t>Transfer-to-me (customer payment 17-Sep)</t>
        </is>
      </c>
      <c r="C88" s="232" t="inlineStr">
        <is>
          <t>Transfer Received</t>
        </is>
      </c>
      <c r="D88" s="232" t="n"/>
      <c r="E88" s="233" t="n">
        <v>260</v>
      </c>
      <c r="F88" s="233">
        <f>IFERROR(F87+D88-E88,0)</f>
        <v/>
      </c>
      <c r="G88" s="232" t="inlineStr">
        <is>
          <t>✅ Received</t>
        </is>
      </c>
      <c r="H88" s="232" t="inlineStr">
        <is>
          <t>Customer paid Lohith personal acct</t>
        </is>
      </c>
    </row>
    <row r="89">
      <c r="A89" s="430" t="n">
        <v>46282</v>
      </c>
      <c r="B89" s="232" t="inlineStr">
        <is>
          <t>Pollo $977 (paid by Lohith)</t>
        </is>
      </c>
      <c r="C89" s="232" t="inlineStr">
        <is>
          <t>Expense - Personal</t>
        </is>
      </c>
      <c r="D89" s="232" t="n">
        <v>977</v>
      </c>
      <c r="E89" s="233" t="n"/>
      <c r="F89" s="233">
        <f>IFERROR(F88+D89-E89,0)</f>
        <v/>
      </c>
      <c r="G89" s="232" t="inlineStr">
        <is>
          <t>⏳ Reimburse</t>
        </is>
      </c>
      <c r="H89" s="232" t="inlineStr">
        <is>
          <t>Fronted from own pocket; excluded from till via cash_adjust</t>
        </is>
      </c>
    </row>
    <row r="90">
      <c r="A90" s="430" t="n">
        <v>46282</v>
      </c>
      <c r="B90" s="232" t="inlineStr">
        <is>
          <t>Pollo $183 (paid by Lohith)</t>
        </is>
      </c>
      <c r="C90" s="232" t="inlineStr">
        <is>
          <t>Expense - Personal</t>
        </is>
      </c>
      <c r="D90" s="232" t="n">
        <v>183</v>
      </c>
      <c r="E90" s="233" t="n"/>
      <c r="F90" s="233">
        <f>IFERROR(F89+D90-E90,0)</f>
        <v/>
      </c>
      <c r="G90" s="232" t="inlineStr">
        <is>
          <t>⏳ Reimburse</t>
        </is>
      </c>
      <c r="H90" s="232" t="inlineStr">
        <is>
          <t>Fronted from own pocket; excluded from till via cash_adjust</t>
        </is>
      </c>
    </row>
    <row r="91">
      <c r="A91" s="430" t="n">
        <v>46282</v>
      </c>
      <c r="B91" s="232" t="inlineStr">
        <is>
          <t>Transfer-to-me (customer payment 17-Sep)</t>
        </is>
      </c>
      <c r="C91" s="232" t="inlineStr">
        <is>
          <t>Transfer Received</t>
        </is>
      </c>
      <c r="D91" s="232" t="n"/>
      <c r="E91" s="233" t="n">
        <v>15896</v>
      </c>
      <c r="F91" s="233">
        <f>IFERROR(F90+D91-E91,0)</f>
        <v/>
      </c>
      <c r="G91" s="232" t="inlineStr">
        <is>
          <t>✅ Received</t>
        </is>
      </c>
      <c r="H91" s="232" t="inlineStr">
        <is>
          <t>Customer paid Lohith personal acct</t>
        </is>
      </c>
    </row>
    <row r="92">
      <c r="A92" s="430" t="n">
        <v>46283</v>
      </c>
      <c r="B92" s="232" t="inlineStr">
        <is>
          <t>Internet $349 (paid by Lohith)</t>
        </is>
      </c>
      <c r="C92" s="232" t="inlineStr">
        <is>
          <t>Expense - Personal</t>
        </is>
      </c>
      <c r="D92" s="232" t="n">
        <v>349</v>
      </c>
      <c r="E92" s="233" t="n"/>
      <c r="F92" s="233">
        <f>IFERROR(F91+D92-E92,0)</f>
        <v/>
      </c>
      <c r="G92" s="232" t="inlineStr">
        <is>
          <t>⏳ Reimburse</t>
        </is>
      </c>
      <c r="H92" s="232" t="inlineStr">
        <is>
          <t>Fronted from own pocket; excluded from till via cash_adjust</t>
        </is>
      </c>
    </row>
    <row r="93">
      <c r="A93" s="430" t="n">
        <v>46283</v>
      </c>
      <c r="B93" s="232" t="inlineStr">
        <is>
          <t>Settlement - Lohith returned restaurant money</t>
        </is>
      </c>
      <c r="C93" s="232" t="inlineStr">
        <is>
          <t>Settlement</t>
        </is>
      </c>
      <c r="D93" s="232" t="n">
        <v>12000</v>
      </c>
      <c r="E93" s="233" t="n"/>
      <c r="F93" s="233">
        <f>IFERROR(F92+D93-E93,0)</f>
        <v/>
      </c>
      <c r="G93" s="232" t="inlineStr">
        <is>
          <t>✅ Settled</t>
        </is>
      </c>
      <c r="H93" s="232" t="inlineStr">
        <is>
          <t>Lohith handed back cash he was holding</t>
        </is>
      </c>
    </row>
    <row r="94">
      <c r="A94" s="430" t="n">
        <v>46283</v>
      </c>
      <c r="B94" s="232" t="inlineStr">
        <is>
          <t>Settlement - Lohith returned restaurant money</t>
        </is>
      </c>
      <c r="C94" s="232" t="inlineStr">
        <is>
          <t>Settlement</t>
        </is>
      </c>
      <c r="D94" s="232" t="n">
        <v>2778.53</v>
      </c>
      <c r="E94" s="233" t="n"/>
      <c r="F94" s="233">
        <f>IFERROR(F93+D94-E94,0)</f>
        <v/>
      </c>
      <c r="G94" s="232" t="inlineStr">
        <is>
          <t>✅ Settled</t>
        </is>
      </c>
      <c r="H94" s="232" t="inlineStr">
        <is>
          <t>Lohith handed back cash he was holding</t>
        </is>
      </c>
    </row>
    <row r="95">
      <c r="A95" s="430" t="n">
        <v>46286</v>
      </c>
      <c r="B95" s="232" t="inlineStr">
        <is>
          <t>Pollo $404 (paid by Lohith)</t>
        </is>
      </c>
      <c r="C95" s="232" t="inlineStr">
        <is>
          <t>Expense - Personal</t>
        </is>
      </c>
      <c r="D95" s="232" t="n">
        <v>404</v>
      </c>
      <c r="E95" s="233" t="n"/>
      <c r="F95" s="233">
        <f>IFERROR(F94+D95-E95,0)</f>
        <v/>
      </c>
      <c r="G95" s="232" t="inlineStr">
        <is>
          <t>⏳ Reimburse</t>
        </is>
      </c>
      <c r="H95" s="232" t="inlineStr">
        <is>
          <t>Fronted from own pocket; excluded from till via cash_adjust</t>
        </is>
      </c>
    </row>
    <row r="96">
      <c r="A96" s="430" t="n">
        <v>46286</v>
      </c>
      <c r="B96" s="232" t="inlineStr">
        <is>
          <t>Transfer-to-me (customer payment 21-Sep, corrected from Cash)</t>
        </is>
      </c>
      <c r="C96" s="232" t="inlineStr">
        <is>
          <t>Transfer Received</t>
        </is>
      </c>
      <c r="D96" s="232" t="n"/>
      <c r="E96" s="233" t="n">
        <v>260</v>
      </c>
      <c r="F96" s="233">
        <f>IFERROR(F95+D96-E96,0)</f>
        <v/>
      </c>
      <c r="G96" s="232" t="inlineStr">
        <is>
          <t>✅ Received</t>
        </is>
      </c>
      <c r="H96" s="232" t="inlineStr">
        <is>
          <t>Moved from Cash via tools.py move</t>
        </is>
      </c>
    </row>
    <row r="97">
      <c r="A97" s="430" t="n">
        <v>46288</v>
      </c>
      <c r="B97" s="232" t="inlineStr">
        <is>
          <t>Pollo $879 (paid by Lohith)</t>
        </is>
      </c>
      <c r="C97" s="232" t="inlineStr">
        <is>
          <t>Expense - Personal</t>
        </is>
      </c>
      <c r="D97" s="232" t="n">
        <v>879</v>
      </c>
      <c r="E97" s="233" t="n"/>
      <c r="F97" s="233">
        <f>IFERROR(F96+D97-E97,0)</f>
        <v/>
      </c>
      <c r="G97" s="232" t="inlineStr">
        <is>
          <t>⏳ Reimburse</t>
        </is>
      </c>
      <c r="H97" s="232" t="inlineStr">
        <is>
          <t>Fronted from own pocket; excluded from till via cash_adjust</t>
        </is>
      </c>
    </row>
    <row r="98">
      <c r="A98" s="430" t="n">
        <v>46294</v>
      </c>
      <c r="B98" s="232" t="inlineStr">
        <is>
          <t>Transfer-to-me (customer payment 29-Sep)</t>
        </is>
      </c>
      <c r="C98" s="232" t="inlineStr">
        <is>
          <t>Transfer Received</t>
        </is>
      </c>
      <c r="D98" s="232" t="n"/>
      <c r="E98" s="233" t="n">
        <v>432</v>
      </c>
      <c r="F98" s="233">
        <f>IFERROR(F97+D98-E98,0)</f>
        <v/>
      </c>
      <c r="G98" s="232" t="inlineStr">
        <is>
          <t>✅ Received</t>
        </is>
      </c>
      <c r="H98" s="232" t="inlineStr">
        <is>
          <t>Customer paid Lohith personal acct</t>
        </is>
      </c>
    </row>
    <row r="99">
      <c r="A99" s="430" t="n">
        <v>46295</v>
      </c>
      <c r="B99" s="232" t="inlineStr">
        <is>
          <t>Transfer-to-me (customer payment 30-Sep)</t>
        </is>
      </c>
      <c r="C99" s="232" t="inlineStr">
        <is>
          <t>Transfer Received</t>
        </is>
      </c>
      <c r="D99" s="232" t="n"/>
      <c r="E99" s="233" t="n">
        <v>530</v>
      </c>
      <c r="F99" s="233">
        <f>IFERROR(F98+D99-E99,0)</f>
        <v/>
      </c>
      <c r="G99" s="232" t="inlineStr">
        <is>
          <t>✅ Received</t>
        </is>
      </c>
      <c r="H99" s="232" t="inlineStr">
        <is>
          <t>Customer paid Lohith personal acct</t>
        </is>
      </c>
    </row>
    <row r="100">
      <c r="A100" s="430" t="n">
        <v>46296</v>
      </c>
      <c r="B100" s="232" t="inlineStr">
        <is>
          <t>Transfer-to-me (customer payment 01-Oct)</t>
        </is>
      </c>
      <c r="C100" s="232" t="inlineStr">
        <is>
          <t>Transfer Received</t>
        </is>
      </c>
      <c r="D100" s="232" t="n"/>
      <c r="E100" s="233" t="n">
        <v>130</v>
      </c>
      <c r="F100" s="233">
        <f>IFERROR(F99+D100-E100,0)</f>
        <v/>
      </c>
      <c r="G100" s="232" t="inlineStr">
        <is>
          <t>✅ Received</t>
        </is>
      </c>
      <c r="H100" s="232" t="inlineStr">
        <is>
          <t>Customer paid Lohith personal acct</t>
        </is>
      </c>
    </row>
    <row r="101">
      <c r="A101" s="430" t="n">
        <v>46297</v>
      </c>
      <c r="B101" s="232" t="inlineStr">
        <is>
          <t>Settlement - Lohith returned restaurant money</t>
        </is>
      </c>
      <c r="C101" s="232" t="inlineStr">
        <is>
          <t>Settlement</t>
        </is>
      </c>
      <c r="D101" s="232" t="n">
        <v>1599.47</v>
      </c>
      <c r="E101" s="233" t="n"/>
      <c r="F101" s="233">
        <f>IFERROR(F100+D101-E101,0)</f>
        <v/>
      </c>
      <c r="G101" s="232" t="inlineStr">
        <is>
          <t>✅ Settled</t>
        </is>
      </c>
      <c r="H101" s="232" t="inlineStr">
        <is>
          <t>Lohith handed back cash he was holding</t>
        </is>
      </c>
    </row>
    <row r="102">
      <c r="A102" s="430" t="n">
        <v>46300</v>
      </c>
      <c r="B102" s="232" t="inlineStr">
        <is>
          <t>Transfer-to-me (customer payment 05-Oct)</t>
        </is>
      </c>
      <c r="C102" s="232" t="inlineStr">
        <is>
          <t>Transfer Received</t>
        </is>
      </c>
      <c r="D102" s="232" t="n"/>
      <c r="E102" s="233" t="n">
        <v>965</v>
      </c>
      <c r="F102" s="233">
        <f>IFERROR(F101+D102-E102,0)</f>
        <v/>
      </c>
      <c r="G102" s="232" t="inlineStr">
        <is>
          <t>✅ Received</t>
        </is>
      </c>
      <c r="H102" s="232" t="inlineStr">
        <is>
          <t>Customer paid Lohith personal acct</t>
        </is>
      </c>
    </row>
    <row r="103">
      <c r="A103" s="430" t="n">
        <v>46300</v>
      </c>
      <c r="B103" s="232" t="inlineStr">
        <is>
          <t>Pollo $912 (paid by Lohith)</t>
        </is>
      </c>
      <c r="C103" s="232" t="inlineStr">
        <is>
          <t>Expense - Personal</t>
        </is>
      </c>
      <c r="D103" s="232" t="n">
        <v>912</v>
      </c>
      <c r="E103" s="233" t="n"/>
      <c r="F103" s="233">
        <f>IFERROR(F102+D103-E103,0)</f>
        <v/>
      </c>
      <c r="G103" s="232" t="inlineStr">
        <is>
          <t>⏳ Reimburse</t>
        </is>
      </c>
      <c r="H103" s="232" t="inlineStr">
        <is>
          <t>Fronted from own pocket; excluded from till via cash_adjust</t>
        </is>
      </c>
    </row>
    <row r="104">
      <c r="A104" s="430" t="n">
        <v>46301</v>
      </c>
      <c r="B104" s="232" t="inlineStr">
        <is>
          <t>Transfer-to-me (customer payment 06-Oct)</t>
        </is>
      </c>
      <c r="C104" s="232" t="inlineStr">
        <is>
          <t>Transfer Received</t>
        </is>
      </c>
      <c r="D104" s="232" t="n"/>
      <c r="E104" s="233" t="n">
        <v>840</v>
      </c>
      <c r="F104" s="233">
        <f>IFERROR(F103+D104-E104,0)</f>
        <v/>
      </c>
      <c r="G104" s="232" t="inlineStr">
        <is>
          <t>✅ Received</t>
        </is>
      </c>
      <c r="H104" s="232" t="inlineStr">
        <is>
          <t>Customer paid Lohith personal acct</t>
        </is>
      </c>
    </row>
    <row r="105">
      <c r="A105" s="430" t="n">
        <v>46303</v>
      </c>
      <c r="B105" s="232" t="inlineStr">
        <is>
          <t>Transfer-to-me (customer payment 08-Oct)</t>
        </is>
      </c>
      <c r="C105" s="232" t="inlineStr">
        <is>
          <t>Transfer Received</t>
        </is>
      </c>
      <c r="D105" s="232" t="n"/>
      <c r="E105" s="233" t="n">
        <v>85</v>
      </c>
      <c r="F105" s="233">
        <f>IFERROR(F104+D105-E105,0)</f>
        <v/>
      </c>
      <c r="G105" s="232" t="inlineStr">
        <is>
          <t>✅ Received</t>
        </is>
      </c>
      <c r="H105" s="232" t="inlineStr">
        <is>
          <t>Customer paid Lohith personal acct</t>
        </is>
      </c>
    </row>
    <row r="106">
      <c r="A106" s="430" t="n">
        <v>46304</v>
      </c>
      <c r="B106" s="232" t="inlineStr">
        <is>
          <t>Transfer-to-me (customer payment 09-Oct)</t>
        </is>
      </c>
      <c r="C106" s="232" t="inlineStr">
        <is>
          <t>Transfer Received</t>
        </is>
      </c>
      <c r="D106" s="232" t="n"/>
      <c r="E106" s="233" t="n">
        <v>130</v>
      </c>
      <c r="F106" s="233">
        <f>IFERROR(F105+D106-E106,0)</f>
        <v/>
      </c>
      <c r="G106" s="232" t="inlineStr">
        <is>
          <t>✅ Received</t>
        </is>
      </c>
      <c r="H106" s="232" t="inlineStr">
        <is>
          <t>Customer paid Lohith personal acct</t>
        </is>
      </c>
    </row>
    <row r="107">
      <c r="A107" s="430" t="n">
        <v>46305</v>
      </c>
      <c r="B107" s="232" t="inlineStr">
        <is>
          <t>Transfer-to-me (customer payment 10-Oct)</t>
        </is>
      </c>
      <c r="C107" s="232" t="inlineStr">
        <is>
          <t>Transfer Received</t>
        </is>
      </c>
      <c r="D107" s="232" t="n"/>
      <c r="E107" s="233" t="n">
        <v>220</v>
      </c>
      <c r="F107" s="233">
        <f>IFERROR(F106+D107-E107,0)</f>
        <v/>
      </c>
      <c r="G107" s="232" t="inlineStr">
        <is>
          <t>✅ Received</t>
        </is>
      </c>
      <c r="H107" s="232" t="inlineStr">
        <is>
          <t>Customer paid Lohith personal acct</t>
        </is>
      </c>
    </row>
    <row r="108">
      <c r="A108" s="430" t="n">
        <v>46305</v>
      </c>
      <c r="B108" s="232" t="inlineStr">
        <is>
          <t>Pollo $1,055 (paid by Lohith)</t>
        </is>
      </c>
      <c r="C108" s="232" t="inlineStr">
        <is>
          <t>Expense - Personal</t>
        </is>
      </c>
      <c r="D108" s="232" t="n">
        <v>1055</v>
      </c>
      <c r="E108" s="233" t="n"/>
      <c r="F108" s="233">
        <f>IFERROR(F107+D108-E108,0)</f>
        <v/>
      </c>
      <c r="G108" s="232" t="inlineStr">
        <is>
          <t>⏳ Reimburse</t>
        </is>
      </c>
      <c r="H108" s="232" t="inlineStr">
        <is>
          <t>Fronted from own pocket; excluded from till via cash_adjust</t>
        </is>
      </c>
    </row>
    <row r="109">
      <c r="A109" s="430" t="n">
        <v>46307</v>
      </c>
      <c r="B109" s="232" t="inlineStr">
        <is>
          <t>Transfer-to-me (customer payment 12-Oct)</t>
        </is>
      </c>
      <c r="C109" s="232" t="inlineStr">
        <is>
          <t>Transfer Received</t>
        </is>
      </c>
      <c r="D109" s="232" t="n"/>
      <c r="E109" s="233" t="n">
        <v>85</v>
      </c>
      <c r="F109" s="233">
        <f>IFERROR(F108+D109-E109,0)</f>
        <v/>
      </c>
      <c r="G109" s="232" t="inlineStr">
        <is>
          <t>✅ Received</t>
        </is>
      </c>
      <c r="H109" s="232" t="inlineStr">
        <is>
          <t>Customer paid Lohith personal acct</t>
        </is>
      </c>
    </row>
    <row r="110">
      <c r="A110" s="430" t="n">
        <v>46308</v>
      </c>
      <c r="B110" s="232" t="inlineStr">
        <is>
          <t>Transfer-to-me (customer payment 13-Oct)</t>
        </is>
      </c>
      <c r="C110" s="232" t="inlineStr">
        <is>
          <t>Transfer Received</t>
        </is>
      </c>
      <c r="D110" s="232" t="n"/>
      <c r="E110" s="233" t="n">
        <v>120</v>
      </c>
      <c r="F110" s="233">
        <f>IFERROR(F109+D110-E110,0)</f>
        <v/>
      </c>
      <c r="G110" s="232" t="inlineStr">
        <is>
          <t>✅ Received</t>
        </is>
      </c>
      <c r="H110" s="232" t="inlineStr">
        <is>
          <t>Customer paid Lohith personal acct</t>
        </is>
      </c>
    </row>
    <row r="111">
      <c r="A111" s="430" t="n">
        <v>46314</v>
      </c>
      <c r="B111" s="232" t="inlineStr">
        <is>
          <t>Telmex $349 (paid by Lohith)</t>
        </is>
      </c>
      <c r="C111" s="232" t="inlineStr">
        <is>
          <t>Expense - Personal</t>
        </is>
      </c>
      <c r="D111" s="232" t="n">
        <v>349</v>
      </c>
      <c r="E111" s="233" t="n"/>
      <c r="F111" s="233">
        <f>IFERROR(F110+D111-E111,0)</f>
        <v/>
      </c>
      <c r="G111" s="232" t="inlineStr">
        <is>
          <t>⏳ Reimburse</t>
        </is>
      </c>
      <c r="H111" s="232" t="inlineStr">
        <is>
          <t>Fronted from own pocket; excluded from till via cash_adjust</t>
        </is>
      </c>
    </row>
    <row r="112">
      <c r="A112" s="430" t="n">
        <v>46315</v>
      </c>
      <c r="B112" s="232" t="inlineStr">
        <is>
          <t>Pollo $1,334 (paid by Lohith)</t>
        </is>
      </c>
      <c r="C112" s="232" t="inlineStr">
        <is>
          <t>Expense - Personal</t>
        </is>
      </c>
      <c r="D112" s="232" t="n">
        <v>1334</v>
      </c>
      <c r="E112" s="233" t="n"/>
      <c r="F112" s="233">
        <f>IFERROR(F111+D112-E112,0)</f>
        <v/>
      </c>
      <c r="G112" s="232" t="inlineStr">
        <is>
          <t>⏳ Reimburse</t>
        </is>
      </c>
      <c r="H112" s="232" t="inlineStr">
        <is>
          <t>Fronted from own pocket; excluded from till via cash_adjust</t>
        </is>
      </c>
    </row>
    <row r="113">
      <c r="A113" s="430" t="n">
        <v>46319</v>
      </c>
      <c r="B113" s="232" t="inlineStr">
        <is>
          <t>Transfer-to-me (customer payment 24-Oct)</t>
        </is>
      </c>
      <c r="C113" s="232" t="inlineStr">
        <is>
          <t>Transfer Received</t>
        </is>
      </c>
      <c r="D113" s="232" t="n"/>
      <c r="E113" s="233" t="n">
        <v>355</v>
      </c>
      <c r="F113" s="233">
        <f>IFERROR(F112+D113-E113,0)</f>
        <v/>
      </c>
      <c r="G113" s="232" t="inlineStr">
        <is>
          <t>✅ Received</t>
        </is>
      </c>
      <c r="H113" s="232" t="inlineStr">
        <is>
          <t>Customer paid Lohith personal acct</t>
        </is>
      </c>
    </row>
    <row r="114">
      <c r="A114" s="430" t="n">
        <v>46321</v>
      </c>
      <c r="B114" s="232" t="inlineStr">
        <is>
          <t>Transfer-to-me (customer payment 26-Oct)</t>
        </is>
      </c>
      <c r="C114" s="232" t="inlineStr">
        <is>
          <t>Transfer Received</t>
        </is>
      </c>
      <c r="D114" s="232" t="n"/>
      <c r="E114" s="233" t="n">
        <v>209</v>
      </c>
      <c r="F114" s="233">
        <f>IFERROR(F113+D114-E114,0)</f>
        <v/>
      </c>
      <c r="G114" s="232" t="inlineStr">
        <is>
          <t>✅ Received</t>
        </is>
      </c>
      <c r="H114" s="232" t="inlineStr">
        <is>
          <t>Customer paid Lohith personal acct</t>
        </is>
      </c>
    </row>
    <row r="115">
      <c r="A115" s="430" t="n">
        <v>46321</v>
      </c>
      <c r="B115" s="232" t="inlineStr">
        <is>
          <t>Pollo $667 (paid by Lohith)</t>
        </is>
      </c>
      <c r="C115" s="232" t="inlineStr">
        <is>
          <t>Expense - Personal</t>
        </is>
      </c>
      <c r="D115" s="232" t="n">
        <v>667</v>
      </c>
      <c r="E115" s="233" t="n"/>
      <c r="F115" s="233">
        <f>IFERROR(F114+D115-E115,0)</f>
        <v/>
      </c>
      <c r="G115" s="232" t="inlineStr">
        <is>
          <t>⏳ Reimburse</t>
        </is>
      </c>
      <c r="H115" s="232" t="inlineStr">
        <is>
          <t>Fronted from own pocket; excluded from till via cash_adjust</t>
        </is>
      </c>
    </row>
    <row r="116">
      <c r="A116" s="430" t="n">
        <v>46323</v>
      </c>
      <c r="B116" s="232" t="inlineStr">
        <is>
          <t>Settlement - restaurant paid Lohith</t>
        </is>
      </c>
      <c r="C116" s="232" t="inlineStr">
        <is>
          <t>Settlement</t>
        </is>
      </c>
      <c r="D116" s="232" t="n"/>
      <c r="E116" s="233" t="n">
        <v>1500</v>
      </c>
      <c r="F116" s="233">
        <f>IFERROR(F115+D116-E116,0)</f>
        <v/>
      </c>
      <c r="G116" s="232" t="inlineStr">
        <is>
          <t>✅ Settled</t>
        </is>
      </c>
      <c r="H116" s="232" t="inlineStr">
        <is>
          <t>Ledger settled from operating cash</t>
        </is>
      </c>
    </row>
    <row r="117">
      <c r="A117" s="430" t="n">
        <v>46323</v>
      </c>
      <c r="B117" s="232" t="inlineStr">
        <is>
          <t>Pollo $320 (paid by Lohith)</t>
        </is>
      </c>
      <c r="C117" s="232" t="inlineStr">
        <is>
          <t>Expense - Personal</t>
        </is>
      </c>
      <c r="D117" s="232" t="n">
        <v>320</v>
      </c>
      <c r="E117" s="233" t="n"/>
      <c r="F117" s="233">
        <f>IFERROR(F116+D117-E117,0)</f>
        <v/>
      </c>
      <c r="G117" s="232" t="inlineStr">
        <is>
          <t>⏳ Reimburse</t>
        </is>
      </c>
      <c r="H117" s="232" t="inlineStr">
        <is>
          <t>Fronted from own pocket; excluded from till via cash_adjust</t>
        </is>
      </c>
    </row>
    <row r="118">
      <c r="A118" s="430" t="n">
        <v>46324</v>
      </c>
      <c r="B118" s="232" t="inlineStr">
        <is>
          <t>Transfer-to-me (customer payment 29-Oct)</t>
        </is>
      </c>
      <c r="C118" s="232" t="inlineStr">
        <is>
          <t>Transfer Received</t>
        </is>
      </c>
      <c r="D118" s="232" t="n"/>
      <c r="E118" s="233" t="n">
        <v>100</v>
      </c>
      <c r="F118" s="233">
        <f>IFERROR(F117+D118-E118,0)</f>
        <v/>
      </c>
      <c r="G118" s="232" t="inlineStr">
        <is>
          <t>✅ Received</t>
        </is>
      </c>
      <c r="H118" s="232" t="inlineStr">
        <is>
          <t>Customer paid Lohith personal acct</t>
        </is>
      </c>
    </row>
    <row r="119">
      <c r="A119" s="430" t="inlineStr">
        <is>
          <t>TOTALS &amp; CURRENT BALANCE</t>
        </is>
      </c>
      <c r="B119" s="232" t="n"/>
      <c r="C119" s="232" t="n"/>
      <c r="D119" s="232">
        <f>SUM(D4:D118)</f>
        <v/>
      </c>
      <c r="E119" s="233">
        <f>SUM(E4:E118)</f>
        <v/>
      </c>
      <c r="F119" s="233">
        <f>F118</f>
        <v/>
      </c>
      <c r="G119" s="232">
        <f>IF(F118&gt;0,"Restaurant owes Lohith $"&amp;TEXT(F118,"#,##0"),IF(F118&lt;0,"Lohith holds $"&amp;TEXT(ABS(F118),"#,##0"),"Zero balance"))</f>
        <v/>
      </c>
      <c r="H119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2026-10-31T01:33:29Z</dcterms:modified>
  <cp:lastModifiedBy>LOHITH REDDY</cp:lastModifiedBy>
</cp:coreProperties>
</file>