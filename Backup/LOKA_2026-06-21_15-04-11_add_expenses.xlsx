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</numFmts>
  <fonts count="9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</fonts>
  <fills count="57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theme="4" tint="0.5999938962981048"/>
        <bgColor indexed="64"/>
      </patternFill>
    </fill>
  </fills>
  <borders count="2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17"/>
  </cellStyleXfs>
  <cellXfs count="37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90" fillId="0" borderId="17" pivotButton="0" quotePrefix="0" xfId="0"/>
    <xf numFmtId="0" fontId="92" fillId="55" borderId="18" applyAlignment="1" pivotButton="0" quotePrefix="0" xfId="0">
      <alignment horizontal="left"/>
    </xf>
    <xf numFmtId="0" fontId="92" fillId="55" borderId="18" applyAlignment="1" pivotButton="0" quotePrefix="0" xfId="0">
      <alignment horizontal="right"/>
    </xf>
    <xf numFmtId="0" fontId="90" fillId="0" borderId="18" applyAlignment="1" pivotButton="0" quotePrefix="0" xfId="0">
      <alignment horizontal="left"/>
    </xf>
    <xf numFmtId="174" fontId="90" fillId="0" borderId="18" applyAlignment="1" pivotButton="0" quotePrefix="0" xfId="0">
      <alignment horizontal="right"/>
    </xf>
    <xf numFmtId="0" fontId="93" fillId="0" borderId="18" applyAlignment="1" pivotButton="0" quotePrefix="0" xfId="0">
      <alignment horizontal="left"/>
    </xf>
    <xf numFmtId="174" fontId="93" fillId="0" borderId="18" applyAlignment="1" pivotButton="0" quotePrefix="0" xfId="0">
      <alignment horizontal="right"/>
    </xf>
    <xf numFmtId="3" fontId="90" fillId="0" borderId="18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5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91" fillId="54" borderId="17" applyAlignment="1" pivotButton="0" quotePrefix="0" xfId="0">
      <alignment horizontal="center"/>
    </xf>
    <xf numFmtId="0" fontId="0" fillId="54" borderId="0" pivotButton="0" quotePrefix="0" xfId="0"/>
    <xf numFmtId="0" fontId="85" fillId="51" borderId="0" applyAlignment="1" pivotButton="0" quotePrefix="0" xfId="0">
      <alignment horizontal="center" vertical="center"/>
    </xf>
    <xf numFmtId="0" fontId="0" fillId="0" borderId="19" pivotButton="0" quotePrefix="0" xfId="0"/>
    <xf numFmtId="171" fontId="0" fillId="0" borderId="19" pivotButton="0" quotePrefix="0" xfId="0"/>
    <xf numFmtId="4" fontId="0" fillId="0" borderId="19" pivotButton="0" quotePrefix="0" xfId="0"/>
    <xf numFmtId="0" fontId="0" fillId="56" borderId="19" pivotButton="0" quotePrefix="0" xfId="0"/>
    <xf numFmtId="0" fontId="1" fillId="2" borderId="17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 wrapText="1"/>
    </xf>
    <xf numFmtId="0" fontId="75" fillId="44" borderId="17" applyAlignment="1" pivotButton="0" quotePrefix="0" xfId="0">
      <alignment horizontal="left" vertical="center"/>
    </xf>
    <xf numFmtId="0" fontId="6" fillId="10" borderId="17" applyAlignment="1" pivotButton="0" quotePrefix="0" xfId="0">
      <alignment horizontal="left" vertical="center"/>
    </xf>
    <xf numFmtId="0" fontId="7" fillId="10" borderId="17" applyAlignment="1" pivotButton="0" quotePrefix="0" xfId="0">
      <alignment horizontal="right" vertical="center"/>
    </xf>
    <xf numFmtId="0" fontId="5" fillId="11" borderId="17" applyAlignment="1" pivotButton="0" quotePrefix="0" xfId="0">
      <alignment horizontal="center" vertical="center"/>
    </xf>
    <xf numFmtId="0" fontId="26" fillId="2" borderId="17" applyAlignment="1" pivotButton="0" quotePrefix="0" xfId="0">
      <alignment horizontal="left" vertical="center"/>
    </xf>
    <xf numFmtId="0" fontId="30" fillId="4" borderId="17" applyAlignment="1" pivotButton="0" quotePrefix="0" xfId="0">
      <alignment horizontal="left" vertical="center"/>
    </xf>
    <xf numFmtId="0" fontId="6" fillId="10" borderId="17" applyAlignment="1" pivotButton="0" quotePrefix="0" xfId="0">
      <alignment horizontal="center" vertical="center"/>
    </xf>
    <xf numFmtId="0" fontId="7" fillId="10" borderId="17" applyAlignment="1" pivotButton="0" quotePrefix="0" xfId="0">
      <alignment horizontal="center" vertical="center"/>
    </xf>
    <xf numFmtId="175" fontId="0" fillId="0" borderId="19" pivotButton="0" quotePrefix="0" xfId="0"/>
    <xf numFmtId="0" fontId="0" fillId="0" borderId="17" pivotButton="0" quotePrefix="0" xfId="0"/>
    <xf numFmtId="0" fontId="85" fillId="51" borderId="17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4" min="1" max="1"/>
    <col width="48" customWidth="1" style="274" min="2" max="2"/>
    <col width="18" customWidth="1" style="273" min="3" max="3"/>
    <col width="20" customWidth="1" style="273" min="4" max="6"/>
    <col width="71.77734375" customWidth="1" style="274" min="7" max="7"/>
    <col width="26" customWidth="1" style="274" min="8" max="8"/>
  </cols>
  <sheetData>
    <row r="1" ht="36" customHeight="1" s="274">
      <c r="B1" s="360" t="inlineStr">
        <is>
          <t>LOKA  —  CAPITAL, OWNERSHIP &amp; PRE-OPENING EXPENSES</t>
        </is>
      </c>
    </row>
    <row r="2" ht="24" customHeight="1" s="274">
      <c r="B2" s="361" t="inlineStr">
        <is>
          <t>Last updated: 17 Jun 2026  |  Capital, Acquisition, Pre-Opening &amp; Renovation CapEx</t>
        </is>
      </c>
    </row>
    <row r="4" ht="25.95" customHeight="1" s="274">
      <c r="B4" s="362" t="inlineStr">
        <is>
          <t xml:space="preserve">  A.  OWNERSHIP STRUCTURE</t>
        </is>
      </c>
    </row>
    <row r="5" ht="22.05" customHeight="1" s="274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4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4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4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4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4">
      <c r="B11" s="362" t="inlineStr">
        <is>
          <t xml:space="preserve">  B.  RESTAURANT ACQUISITION  —  $390,000 TOTAL</t>
        </is>
      </c>
    </row>
    <row r="12" ht="22.05" customHeight="1" s="274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4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$68,235 remaining</t>
        </is>
      </c>
      <c r="G13" s="138" t="inlineStr">
        <is>
          <t>Full acquisition amount</t>
        </is>
      </c>
    </row>
    <row r="14" ht="19.95" customHeight="1" s="274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4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4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4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4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4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4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4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4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4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4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4">
      <c r="B26" s="149" t="n"/>
      <c r="C26" s="180" t="n"/>
      <c r="D26" s="157" t="n"/>
      <c r="E26" s="172" t="n"/>
      <c r="F26" s="172" t="n"/>
      <c r="G26" s="149" t="n"/>
    </row>
    <row r="27" ht="19.95" customHeight="1" s="274">
      <c r="B27" s="149" t="n"/>
      <c r="C27" s="180" t="n"/>
      <c r="D27" s="157" t="n"/>
      <c r="E27" s="172" t="n"/>
      <c r="F27" s="172" t="n"/>
      <c r="G27" s="149" t="n"/>
    </row>
    <row r="28" ht="19.95" customHeight="1" s="274">
      <c r="B28" s="149" t="n"/>
      <c r="C28" s="180" t="n"/>
      <c r="D28" s="157" t="n"/>
      <c r="E28" s="172" t="n"/>
      <c r="F28" s="172" t="n"/>
      <c r="G28" s="149" t="n"/>
    </row>
    <row r="29" ht="19.95" customHeight="1" s="274">
      <c r="B29" s="149" t="n"/>
      <c r="C29" s="180" t="n"/>
      <c r="D29" s="157" t="n"/>
      <c r="E29" s="172" t="n"/>
      <c r="F29" s="172" t="n"/>
      <c r="G29" s="149" t="n"/>
    </row>
    <row r="30" ht="19.95" customHeight="1" s="274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$306,235 paid (Jun 3-19) − $15,530 electricity offset = $68,235 remaining</t>
        </is>
      </c>
    </row>
    <row r="32" ht="25.95" customHeight="1" s="274">
      <c r="B32" s="189" t="n"/>
      <c r="C32" s="236" t="n"/>
      <c r="D32" s="191" t="n"/>
      <c r="E32" s="190" t="n"/>
      <c r="F32" s="190" t="n"/>
      <c r="G32" s="189" t="n"/>
    </row>
    <row r="33" ht="22.05" customHeight="1" s="274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4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4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4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4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4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4"/>
    <row r="40" ht="19.95" customHeight="1" s="274">
      <c r="B40" s="275" t="inlineStr">
        <is>
          <t xml:space="preserve">  C.  PRE-OPENING EXPENSES — KASHIGOUD PATIL</t>
        </is>
      </c>
      <c r="C40" s="275" t="n"/>
      <c r="D40" s="275" t="n"/>
      <c r="E40" s="275" t="n"/>
      <c r="F40" s="275" t="n"/>
      <c r="G40" s="144" t="n"/>
      <c r="H40" s="144" t="n"/>
    </row>
    <row r="41" ht="19.95" customHeight="1" s="274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4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4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4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78" t="n"/>
    </row>
    <row r="46" ht="19.95" customHeight="1" s="274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4">
      <c r="B47" s="137" t="n"/>
      <c r="C47" s="137" t="n"/>
      <c r="D47" s="162" t="n"/>
      <c r="E47" s="137" t="n"/>
      <c r="F47" s="137" t="n"/>
      <c r="G47" s="137" t="n"/>
    </row>
    <row r="48" ht="19.95" customHeight="1" s="274">
      <c r="B48" s="137" t="n"/>
      <c r="C48" s="137" t="n"/>
      <c r="D48" s="162" t="n"/>
      <c r="E48" s="137" t="n"/>
      <c r="F48" s="137" t="n"/>
      <c r="G48" s="137" t="n"/>
    </row>
    <row r="49" ht="19.95" customHeight="1" s="274">
      <c r="B49" s="137" t="n"/>
      <c r="C49" s="137" t="n"/>
      <c r="D49" s="162" t="n"/>
      <c r="E49" s="137" t="n"/>
      <c r="F49" s="137" t="n"/>
      <c r="G49" s="137" t="n"/>
    </row>
    <row r="50" ht="19.95" customHeight="1" s="274">
      <c r="B50" s="137" t="n"/>
      <c r="C50" s="137" t="n"/>
      <c r="D50" s="162" t="n"/>
      <c r="E50" s="137" t="n"/>
      <c r="F50" s="137" t="n"/>
      <c r="G50" s="137" t="n"/>
    </row>
    <row r="51" ht="19.95" customHeight="1" s="274">
      <c r="B51" s="137" t="n"/>
      <c r="C51" s="137" t="n"/>
      <c r="D51" s="162" t="n"/>
      <c r="E51" s="137" t="n"/>
      <c r="F51" s="137" t="n"/>
      <c r="G51" s="137" t="n"/>
    </row>
    <row r="52" ht="19.95" customHeight="1" s="274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4"/>
    <row r="54" ht="19.95" customHeight="1" s="274">
      <c r="B54" s="275" t="inlineStr">
        <is>
          <t xml:space="preserve">  D.  PRE-OPENING EXPENSES — LOHITH REDDY</t>
        </is>
      </c>
      <c r="C54" s="275" t="n"/>
      <c r="D54" s="275" t="n"/>
      <c r="E54" s="275" t="n"/>
      <c r="F54" s="275" t="n"/>
      <c r="G54" s="144" t="n"/>
      <c r="H54" s="144" t="n"/>
    </row>
    <row r="55" ht="19.95" customHeight="1" s="274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4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4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4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4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78" t="n"/>
    </row>
    <row r="61" ht="22.05" customHeight="1" s="274">
      <c r="B61" s="237" t="n"/>
      <c r="C61" s="236" t="n"/>
      <c r="D61" s="191" t="n"/>
      <c r="E61" s="190" t="n"/>
      <c r="F61" s="190" t="n"/>
      <c r="G61" s="189" t="n"/>
    </row>
    <row r="62" ht="22.05" customHeight="1" s="274">
      <c r="B62" s="237" t="n"/>
      <c r="C62" s="236" t="n"/>
      <c r="D62" s="191" t="n"/>
      <c r="E62" s="190" t="n"/>
      <c r="F62" s="190" t="n"/>
      <c r="G62" s="189" t="n"/>
    </row>
    <row r="63" ht="19.95" customHeight="1" s="274">
      <c r="B63" s="137" t="n"/>
      <c r="C63" s="137" t="n"/>
      <c r="D63" s="162" t="n"/>
      <c r="E63" s="137" t="n"/>
      <c r="F63" s="137" t="n"/>
      <c r="G63" s="137" t="n"/>
    </row>
    <row r="64" ht="19.95" customHeight="1" s="274">
      <c r="B64" s="137" t="n"/>
      <c r="C64" s="137" t="n"/>
      <c r="D64" s="162" t="n"/>
      <c r="E64" s="137" t="n"/>
      <c r="F64" s="137" t="n"/>
      <c r="G64" s="137" t="n"/>
    </row>
    <row r="65" ht="19.95" customHeight="1" s="274">
      <c r="B65" s="137" t="n"/>
      <c r="C65" s="137" t="n"/>
      <c r="D65" s="162" t="n"/>
      <c r="E65" s="137" t="n"/>
      <c r="F65" s="137" t="n"/>
      <c r="G65" s="137" t="n"/>
    </row>
    <row r="66" ht="19.95" customHeight="1" s="274">
      <c r="B66" s="137" t="n"/>
      <c r="C66" s="137" t="n"/>
      <c r="D66" s="162" t="n"/>
      <c r="E66" s="137" t="n"/>
      <c r="F66" s="137" t="n"/>
      <c r="G66" s="137" t="n"/>
    </row>
    <row r="67" ht="19.95" customHeight="1" s="274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4"/>
    <row r="69" ht="19.95" customHeight="1" s="274">
      <c r="B69" s="275" t="inlineStr">
        <is>
          <t xml:space="preserve">  E.  PRE-OPENING EXPENSES — SHASHIREKHA BASAVARAJU</t>
        </is>
      </c>
      <c r="C69" s="275" t="n"/>
      <c r="D69" s="275" t="n"/>
      <c r="E69" s="275" t="n"/>
      <c r="F69" s="275" t="n"/>
      <c r="G69" s="144" t="n"/>
      <c r="H69" s="144" t="n"/>
    </row>
    <row r="70" ht="19.95" customHeight="1" s="274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4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4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4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78" t="n"/>
    </row>
    <row r="75" ht="19.95" customHeight="1" s="274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4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4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4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4">
      <c r="B79" s="190" t="n"/>
      <c r="C79" s="236" t="n"/>
      <c r="D79" s="263" t="n"/>
      <c r="E79" s="190" t="n"/>
      <c r="F79" s="190" t="n"/>
      <c r="G79" s="190" t="n"/>
    </row>
    <row r="80" ht="19.95" customHeight="1" s="274">
      <c r="B80" s="190" t="n"/>
      <c r="C80" s="236" t="n"/>
      <c r="D80" s="263" t="n"/>
      <c r="E80" s="190" t="n"/>
      <c r="F80" s="190" t="n"/>
      <c r="G80" s="190" t="n"/>
    </row>
    <row r="81" ht="19.95" customHeight="1" s="274">
      <c r="B81" s="189" t="n"/>
      <c r="C81" s="190" t="n"/>
      <c r="D81" s="191" t="n"/>
      <c r="E81" s="190" t="n"/>
      <c r="F81" s="190" t="n"/>
      <c r="G81" s="189" t="n"/>
    </row>
    <row r="82" ht="19.95" customHeight="1" s="274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78" t="n"/>
    </row>
    <row r="83" ht="19.95" customHeight="1" s="274"/>
    <row r="84" ht="19.95" customHeight="1" s="274">
      <c r="B84" s="275" t="inlineStr">
        <is>
          <t xml:space="preserve">  F.  GRAND SUMMARY — CAPITAL DEPLOYMENT</t>
        </is>
      </c>
      <c r="C84" s="275" t="n"/>
      <c r="D84" s="275" t="n"/>
      <c r="E84" s="275" t="n"/>
      <c r="F84" s="275" t="n"/>
      <c r="G84" s="144" t="n"/>
      <c r="H84" s="144" t="n"/>
    </row>
    <row r="85" ht="19.95" customHeight="1" s="274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4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4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4">
      <c r="B98" s="144" t="inlineStr">
        <is>
          <t xml:space="preserve">  G.  REMAINING TRANSFERS DUE TO LOHITH REDDY</t>
        </is>
      </c>
      <c r="C98" s="275" t="n"/>
      <c r="D98" s="275" t="n"/>
      <c r="E98" s="275" t="n"/>
      <c r="F98" s="275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4">
      <c r="B104" s="144" t="inlineStr">
        <is>
          <t xml:space="preserve">  H.  ACQUISITION PAYMENT — SPLIT BY OWNERSHIP SHARE  ($385,000 BALANCE DUE)</t>
        </is>
      </c>
      <c r="C104" s="275" t="n"/>
      <c r="D104" s="275" t="n"/>
      <c r="E104" s="275" t="n"/>
      <c r="F104" s="275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4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4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+ Jun 19 $50,735)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63" t="inlineStr">
        <is>
          <t>🍽️  LOKA Cafe Restaurante</t>
        </is>
      </c>
      <c r="H2" s="364" t="inlineStr">
        <is>
          <t>Restaurant Manager — powered by Soft + Excel</t>
        </is>
      </c>
    </row>
    <row r="3" ht="3.75" customHeight="1" s="274">
      <c r="A3" s="365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6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366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Ownership'!C75</f>
        <v/>
      </c>
      <c r="C45" s="278" t="n"/>
      <c r="D45" s="297">
        <f>'Capital &amp; Ownership'!C86</f>
        <v/>
      </c>
      <c r="E45" s="278" t="n"/>
      <c r="F45" s="320">
        <f>'Capital &amp; Ownership'!C87</f>
        <v/>
      </c>
      <c r="G45" s="278" t="n"/>
      <c r="H45" s="307">
        <f>'Capital &amp; Ownership'!C76</f>
        <v/>
      </c>
      <c r="I45" s="278" t="n"/>
      <c r="J45" s="303">
        <f>'Capital &amp; Ownership'!C77</f>
        <v/>
      </c>
      <c r="K45" s="278" t="n"/>
      <c r="L45" s="304">
        <f>'Capital &amp; Ownership'!C78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67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67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Ownership'!B35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Ownership'!D35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Ownership'!B36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Ownership'!D36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Ownership'!B47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Ownership'!D47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Ownership'!B50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Ownership'!D50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Ownership'!B51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Ownership'!D51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tabSelected="1" zoomScaleNormal="100" workbookViewId="0">
      <pane ySplit="7" topLeftCell="A8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63" t="inlineStr">
        <is>
          <t>📅  LOKA — DAILY LOG</t>
        </is>
      </c>
      <c r="I2" s="364" t="inlineStr">
        <is>
          <t>Enter 2 values from Soft App each day → everything else calculates</t>
        </is>
      </c>
    </row>
    <row r="3" ht="3.75" customHeight="1" s="274">
      <c r="A3" s="365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4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4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4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4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0" activePane="bottomLeft" state="frozen"/>
      <selection pane="bottomLeft" activeCell="F290" sqref="F290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63" t="inlineStr">
        <is>
          <t>💸  LOKA — EXPENSES TRACKER</t>
        </is>
      </c>
      <c r="E2" s="364" t="inlineStr">
        <is>
          <t>Log every cost: ingredients, staff, utilities, supplies…</t>
        </is>
      </c>
    </row>
    <row r="3">
      <c r="A3" s="365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63" t="inlineStr">
        <is>
          <t>📦  LOKA — INVENTORY</t>
        </is>
      </c>
      <c r="F2" s="364" t="inlineStr">
        <is>
          <t>Update stock levels when you receive deliveries or do stock checks</t>
        </is>
      </c>
    </row>
    <row r="3" ht="3.75" customHeight="1" s="274">
      <c r="A3" s="365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4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25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68" t="inlineStr">
        <is>
          <t>👥  LOKA — STAFF &amp; PAYROLL</t>
        </is>
      </c>
      <c r="D2" s="369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192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4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194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4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4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4"/>
    <row r="61" ht="15.6" customHeight="1" s="274">
      <c r="A61" s="359" t="inlineStr">
        <is>
          <t>── PROPINAS / TIPS PASS-THROUGH (NOT income, NOT expense) ──</t>
        </is>
      </c>
      <c r="B61" s="359" t="n"/>
      <c r="C61" s="359" t="n"/>
      <c r="D61" s="359" t="n"/>
    </row>
    <row r="62">
      <c r="A62" s="359" t="inlineStr">
        <is>
          <t>Date</t>
        </is>
      </c>
      <c r="B62" s="359" t="inlineStr">
        <is>
          <t>Paid To</t>
        </is>
      </c>
      <c r="C62" s="359" t="n"/>
      <c r="D62" s="359" t="inlineStr">
        <is>
          <t>Amount</t>
        </is>
      </c>
    </row>
    <row r="63">
      <c r="A63" s="357" t="n">
        <v>46165</v>
      </c>
      <c r="B63" s="356" t="inlineStr">
        <is>
          <t>John (6 dias)</t>
        </is>
      </c>
      <c r="C63" s="356" t="n"/>
      <c r="D63" s="358" t="n">
        <v>515</v>
      </c>
    </row>
    <row r="64">
      <c r="A64" s="357" t="n">
        <v>46165</v>
      </c>
      <c r="B64" s="356" t="inlineStr">
        <is>
          <t>Debi (6 dias)</t>
        </is>
      </c>
      <c r="C64" s="356" t="n"/>
      <c r="D64" s="358" t="n">
        <v>515</v>
      </c>
    </row>
    <row r="65">
      <c r="A65" s="357" t="n">
        <v>46165</v>
      </c>
      <c r="B65" s="356" t="inlineStr">
        <is>
          <t>Victor (2 dias)</t>
        </is>
      </c>
      <c r="C65" s="356" t="n"/>
      <c r="D65" s="358" t="n">
        <v>168</v>
      </c>
    </row>
    <row r="66">
      <c r="A66" s="357" t="n">
        <v>46174</v>
      </c>
      <c r="B66" s="356" t="inlineStr">
        <is>
          <t>John (Week 2)</t>
        </is>
      </c>
      <c r="C66" s="356" t="n"/>
      <c r="D66" s="358" t="n">
        <v>350</v>
      </c>
    </row>
    <row r="67">
      <c r="A67" s="357" t="n">
        <v>46174</v>
      </c>
      <c r="B67" s="356" t="inlineStr">
        <is>
          <t>Duvi/Debi (Week 2)</t>
        </is>
      </c>
      <c r="C67" s="356" t="n"/>
      <c r="D67" s="358" t="n">
        <v>350</v>
      </c>
    </row>
    <row r="68">
      <c r="A68" s="357" t="n">
        <v>46186</v>
      </c>
      <c r="B68" s="356" t="inlineStr">
        <is>
          <t>John (Week 4)</t>
        </is>
      </c>
      <c r="C68" s="356" t="n"/>
      <c r="D68" s="358" t="n">
        <v>200</v>
      </c>
    </row>
    <row r="69">
      <c r="A69" s="357" t="n">
        <v>46186</v>
      </c>
      <c r="B69" s="356" t="inlineStr">
        <is>
          <t>Duvi/Debi (Week 4)</t>
        </is>
      </c>
      <c r="C69" s="356" t="n"/>
      <c r="D69" s="358" t="n">
        <v>200</v>
      </c>
    </row>
    <row r="70">
      <c r="A70" s="357" t="n">
        <v>46186</v>
      </c>
      <c r="B70" s="356" t="inlineStr">
        <is>
          <t>Cesar (Week 4)</t>
        </is>
      </c>
      <c r="C70" s="356" t="n"/>
      <c r="D70" s="358" t="n">
        <v>126</v>
      </c>
    </row>
    <row r="71">
      <c r="A71" s="357" t="n">
        <v>46186</v>
      </c>
      <c r="B71" s="356" t="inlineStr">
        <is>
          <t>Samu (Week 4)</t>
        </is>
      </c>
      <c r="C71" s="356" t="n"/>
      <c r="D71" s="358" t="n">
        <v>126</v>
      </c>
    </row>
    <row r="72">
      <c r="A72" s="357" t="n">
        <v>46193</v>
      </c>
      <c r="B72" s="356" t="inlineStr">
        <is>
          <t>Duvi/Debi (Week 5 partial)</t>
        </is>
      </c>
      <c r="C72" s="356" t="n"/>
      <c r="D72" s="358" t="n">
        <v>120</v>
      </c>
    </row>
    <row r="73">
      <c r="A73" s="357" t="n">
        <v>46193</v>
      </c>
      <c r="B73" s="356" t="inlineStr">
        <is>
          <t>John (Week 5 partial)</t>
        </is>
      </c>
      <c r="C73" s="356" t="n"/>
      <c r="D73" s="358" t="n">
        <v>150</v>
      </c>
    </row>
    <row r="74">
      <c r="A74" s="370" t="n">
        <v>46193</v>
      </c>
      <c r="B74" s="356" t="inlineStr">
        <is>
          <t>Samu (Week 5)</t>
        </is>
      </c>
      <c r="C74" s="356" t="n"/>
      <c r="D74" s="358" t="n">
        <v>100</v>
      </c>
      <c r="E74" s="371" t="n"/>
      <c r="F74" s="371" t="n"/>
      <c r="G74" s="371" t="n"/>
      <c r="H74" s="371" t="n"/>
    </row>
    <row r="75">
      <c r="A75" s="357" t="n"/>
      <c r="B75" s="356" t="n"/>
      <c r="C75" s="356" t="n"/>
      <c r="D75" s="358" t="n"/>
    </row>
    <row r="76">
      <c r="A76" s="357" t="n"/>
      <c r="B76" s="356" t="n"/>
      <c r="C76" s="356" t="n"/>
      <c r="D76" s="358" t="n"/>
    </row>
    <row r="77">
      <c r="A77" s="357" t="n"/>
      <c r="B77" s="356" t="n"/>
      <c r="C77" s="356" t="n"/>
      <c r="D77" s="358" t="n"/>
    </row>
    <row r="78">
      <c r="A78" s="357" t="n"/>
      <c r="B78" s="356" t="n"/>
      <c r="C78" s="356" t="n"/>
      <c r="D78" s="358" t="n"/>
    </row>
    <row r="79">
      <c r="A79" s="357" t="n"/>
      <c r="B79" s="356" t="n"/>
      <c r="C79" s="356" t="n"/>
      <c r="D79" s="358" t="n"/>
    </row>
    <row r="80">
      <c r="A80" s="357" t="n"/>
      <c r="B80" s="356" t="n"/>
      <c r="C80" s="356" t="n"/>
      <c r="D80" s="358" t="n"/>
    </row>
    <row r="81">
      <c r="A81" s="357" t="n"/>
      <c r="B81" s="356" t="n"/>
      <c r="C81" s="356" t="n"/>
      <c r="D81" s="358" t="n"/>
    </row>
    <row r="82">
      <c r="A82" s="357" t="n"/>
      <c r="B82" s="356" t="n"/>
      <c r="C82" s="356" t="n"/>
      <c r="D82" s="358" t="n"/>
    </row>
    <row r="83">
      <c r="A83" s="357" t="n"/>
      <c r="B83" s="356" t="n"/>
      <c r="C83" s="356" t="n"/>
      <c r="D83" s="358" t="n"/>
    </row>
    <row r="84">
      <c r="A84" s="357" t="n"/>
      <c r="B84" s="356" t="n"/>
      <c r="C84" s="356" t="n"/>
      <c r="D84" s="358" t="n"/>
    </row>
    <row r="85">
      <c r="A85" s="357" t="n"/>
      <c r="B85" s="356" t="n"/>
      <c r="C85" s="356" t="n"/>
      <c r="D85" s="358" t="n"/>
    </row>
    <row r="86">
      <c r="A86" s="357" t="n"/>
      <c r="B86" s="356" t="n"/>
      <c r="C86" s="356" t="n"/>
      <c r="D86" s="358" t="n"/>
    </row>
    <row r="87">
      <c r="A87" s="357" t="n"/>
      <c r="B87" s="356" t="n"/>
      <c r="C87" s="356" t="n"/>
      <c r="D87" s="358" t="n"/>
    </row>
    <row r="88">
      <c r="A88" s="357" t="n"/>
      <c r="B88" s="356" t="n"/>
      <c r="C88" s="356" t="n"/>
      <c r="D88" s="358" t="n"/>
    </row>
    <row r="89">
      <c r="A89" s="357" t="n"/>
      <c r="B89" s="356" t="n"/>
      <c r="C89" s="356" t="n"/>
      <c r="D89" s="358" t="n"/>
    </row>
    <row r="90">
      <c r="A90" s="357" t="n"/>
      <c r="B90" s="356" t="n"/>
      <c r="C90" s="356" t="n"/>
      <c r="D90" s="358" t="n"/>
    </row>
    <row r="91">
      <c r="A91" s="357" t="n"/>
      <c r="B91" s="356" t="n"/>
      <c r="C91" s="356" t="n"/>
      <c r="D91" s="358" t="n"/>
    </row>
    <row r="92">
      <c r="A92" s="357" t="n"/>
      <c r="B92" s="356" t="n"/>
      <c r="C92" s="356" t="n"/>
      <c r="D92" s="358" t="n"/>
    </row>
    <row r="93">
      <c r="A93" s="356" t="n"/>
      <c r="B93" s="356" t="inlineStr">
        <is>
          <t>TOTAL TIPS PASSED THROUGH</t>
        </is>
      </c>
      <c r="C93" s="356" t="n"/>
      <c r="D93" s="358">
        <f>SUM(D63:D92)</f>
        <v/>
      </c>
    </row>
    <row r="94">
      <c r="A94" s="356" t="inlineStr">
        <is>
          <t>Customer tips collected &amp; handed to staff. Excluded from P&amp;L — nets to zero (received = paid).</t>
        </is>
      </c>
      <c r="B94" s="356" t="n"/>
      <c r="C94" s="356" t="n"/>
      <c r="D94" s="356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63" t="inlineStr">
        <is>
          <t>🚚  LOKA — SUPPLIER ORDERS</t>
        </is>
      </c>
      <c r="F2" s="364" t="inlineStr">
        <is>
          <t>Track purchase orders from suppliers</t>
        </is>
      </c>
    </row>
    <row r="3" ht="3.75" customHeight="1" s="274">
      <c r="A3" s="365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opLeftCell="A5" zoomScaleNormal="100" workbookViewId="0">
      <selection activeCell="H19" sqref="H19"/>
    </sheetView>
  </sheetViews>
  <sheetFormatPr baseColWidth="8" defaultColWidth="8.6640625" defaultRowHeight="14.4"/>
  <cols>
    <col width="30.88671875" bestFit="1" customWidth="1" style="274" min="1" max="1"/>
    <col width="10.109375" bestFit="1" customWidth="1" style="274" min="2" max="2"/>
    <col width="10.77734375" bestFit="1" customWidth="1" style="274" min="3" max="3"/>
    <col width="9" customWidth="1" style="274" min="4" max="14"/>
  </cols>
  <sheetData>
    <row r="1" ht="17.4" customHeight="1" s="274">
      <c r="A1" s="353" t="inlineStr">
        <is>
          <t>LOKA — MONTHLY P&amp;L   (live formulas — auto-updates from Daily Log &amp; Expenses)</t>
        </is>
      </c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</row>
    <row r="2">
      <c r="A2" s="264" t="n"/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264" t="n"/>
      <c r="L2" s="264" t="n"/>
    </row>
    <row r="3">
      <c r="A3" s="265" t="inlineStr">
        <is>
          <t>SUMMARY</t>
        </is>
      </c>
      <c r="B3" s="266" t="inlineStr">
        <is>
          <t>May 2026</t>
        </is>
      </c>
      <c r="C3" s="266" t="inlineStr">
        <is>
          <t>Jun 2026</t>
        </is>
      </c>
      <c r="D3" s="264" t="n"/>
      <c r="E3" s="264" t="n"/>
      <c r="F3" s="264" t="n"/>
      <c r="G3" s="264" t="n"/>
      <c r="H3" s="264" t="n"/>
      <c r="I3" s="264" t="n"/>
      <c r="J3" s="264" t="n"/>
      <c r="K3" s="264" t="n"/>
      <c r="L3" s="264" t="n"/>
    </row>
    <row r="4">
      <c r="A4" s="269" t="inlineStr">
        <is>
          <t>Total Income</t>
        </is>
      </c>
      <c r="B4" s="268">
        <f>SUMIFS('📅 Daily Log'!$F$8:$F$500,'📅 Daily Log'!$B$8:$B$500,"&gt;="&amp;DATE(2026,5,1),'📅 Daily Log'!$B$8:$B$500,"&lt;"&amp;DATE(2026,6,1))</f>
        <v/>
      </c>
      <c r="C4" s="268">
        <f>SUMIFS('📅 Daily Log'!$F$8:$F$500,'📅 Daily Log'!$B$8:$B$500,"&gt;="&amp;DATE(2026,6,1),'📅 Daily Log'!$B$8:$B$500,"&lt;"&amp;DATE(2026,7,1))</f>
        <v/>
      </c>
      <c r="D4" s="264" t="n"/>
      <c r="E4" s="264" t="n"/>
      <c r="F4" s="264" t="n"/>
      <c r="G4" s="264" t="n"/>
      <c r="H4" s="264" t="n"/>
      <c r="I4" s="264" t="n"/>
      <c r="J4" s="264" t="n"/>
      <c r="K4" s="264" t="n"/>
      <c r="L4" s="264" t="n"/>
    </row>
    <row r="5">
      <c r="A5" s="269" t="inlineStr">
        <is>
          <t>Total Expenses</t>
        </is>
      </c>
      <c r="B5" s="268">
        <f>SUMIFS('💸 Expenses'!$F$8:$F$500,'💸 Expenses'!$B$8:$B$500,"&gt;="&amp;DATE(2026,5,1),'💸 Expenses'!$B$8:$B$500,"&lt;"&amp;DATE(2026,6,1))</f>
        <v/>
      </c>
      <c r="C5" s="268">
        <f>SUMIFS('💸 Expenses'!$F$8:$F$500,'💸 Expenses'!$B$8:$B$500,"&gt;="&amp;DATE(2026,6,1),'💸 Expenses'!$B$8:$B$500,"&lt;"&amp;DATE(2026,7,1))</f>
        <v/>
      </c>
      <c r="D5" s="264" t="n"/>
      <c r="E5" s="264" t="n"/>
      <c r="F5" s="264" t="n"/>
      <c r="G5" s="264" t="n"/>
      <c r="H5" s="264" t="n"/>
      <c r="I5" s="264" t="n"/>
      <c r="J5" s="264" t="n"/>
      <c r="K5" s="264" t="n"/>
      <c r="L5" s="264" t="n"/>
    </row>
    <row r="6">
      <c r="A6" s="269" t="inlineStr">
        <is>
          <t>NET PROFIT / LOSS</t>
        </is>
      </c>
      <c r="B6" s="270">
        <f>B4-B5</f>
        <v/>
      </c>
      <c r="C6" s="270">
        <f>C4-C5</f>
        <v/>
      </c>
      <c r="D6" s="264" t="n"/>
      <c r="E6" s="264" t="n"/>
      <c r="F6" s="264" t="n"/>
      <c r="G6" s="264" t="n"/>
      <c r="H6" s="264" t="n"/>
      <c r="I6" s="264" t="n"/>
      <c r="J6" s="264" t="n"/>
      <c r="K6" s="264" t="n"/>
      <c r="L6" s="264" t="n"/>
    </row>
    <row r="7">
      <c r="A7" s="267" t="inlineStr">
        <is>
          <t>Trading Days</t>
        </is>
      </c>
      <c r="B7" s="271">
        <f>COUNTIFS('📅 Daily Log'!$F$8:$F$500,"&gt;0",'📅 Daily Log'!$B$8:$B$500,"&gt;="&amp;DATE(2026,5,1),'📅 Daily Log'!$B$8:$B$500,"&lt;"&amp;DATE(2026,6,1))</f>
        <v/>
      </c>
      <c r="C7" s="271">
        <f>COUNTIFS('📅 Daily Log'!$F$8:$F$500,"&gt;0",'📅 Daily Log'!$B$8:$B$500,"&gt;="&amp;DATE(2026,6,1),'📅 Daily Log'!$B$8:$B$500,"&lt;"&amp;DATE(2026,7,1))</f>
        <v/>
      </c>
      <c r="D7" s="264" t="n"/>
      <c r="E7" s="264" t="n"/>
      <c r="F7" s="264" t="n"/>
      <c r="G7" s="264" t="n"/>
      <c r="H7" s="264" t="n"/>
      <c r="I7" s="264" t="n"/>
      <c r="J7" s="264" t="n"/>
      <c r="K7" s="264" t="n"/>
      <c r="L7" s="264" t="n"/>
    </row>
    <row r="8">
      <c r="A8" s="267" t="inlineStr">
        <is>
          <t>Avg Income / Day</t>
        </is>
      </c>
      <c r="B8" s="268">
        <f>IFERROR(B4/B7,0)</f>
        <v/>
      </c>
      <c r="C8" s="268">
        <f>IFERROR(C4/C7,0)</f>
        <v/>
      </c>
      <c r="D8" s="264" t="n"/>
      <c r="E8" s="264" t="n"/>
      <c r="F8" s="264" t="n"/>
      <c r="G8" s="264" t="n"/>
      <c r="H8" s="264" t="n"/>
      <c r="I8" s="264" t="n"/>
      <c r="J8" s="264" t="n"/>
      <c r="K8" s="264" t="n"/>
      <c r="L8" s="264" t="n"/>
    </row>
    <row r="9">
      <c r="A9" s="264" t="n"/>
      <c r="B9" s="264" t="n"/>
      <c r="C9" s="264" t="n"/>
      <c r="D9" s="264" t="n"/>
      <c r="E9" s="264" t="n"/>
      <c r="F9" s="264" t="n"/>
      <c r="G9" s="264" t="n"/>
      <c r="H9" s="264" t="n"/>
      <c r="I9" s="264" t="n"/>
      <c r="J9" s="264" t="n"/>
      <c r="K9" s="264" t="n"/>
      <c r="L9" s="264" t="n"/>
    </row>
    <row r="10">
      <c r="A10" s="265" t="inlineStr">
        <is>
          <t>INCOME BY TYPE</t>
        </is>
      </c>
      <c r="B10" s="266" t="inlineStr">
        <is>
          <t>May 2026</t>
        </is>
      </c>
      <c r="C10" s="266" t="inlineStr">
        <is>
          <t>Jun 2026</t>
        </is>
      </c>
      <c r="D10" s="264" t="n"/>
      <c r="E10" s="264" t="n"/>
      <c r="F10" s="264" t="n"/>
      <c r="G10" s="264" t="n"/>
      <c r="H10" s="264" t="n"/>
      <c r="I10" s="264" t="n"/>
      <c r="J10" s="264" t="n"/>
      <c r="K10" s="264" t="n"/>
      <c r="L10" s="264" t="n"/>
    </row>
    <row r="11">
      <c r="A11" s="267" t="inlineStr">
        <is>
          <t>Card</t>
        </is>
      </c>
      <c r="B11" s="268">
        <f>SUMIFS('📅 Daily Log'!$D$8:$D$500,'📅 Daily Log'!$B$8:$B$500,"&gt;="&amp;DATE(2026,5,1),'📅 Daily Log'!$B$8:$B$500,"&lt;"&amp;DATE(2026,6,1))</f>
        <v/>
      </c>
      <c r="C11" s="268">
        <f>SUMIFS('📅 Daily Log'!$D$8:$D$500,'📅 Daily Log'!$B$8:$B$500,"&gt;="&amp;DATE(2026,6,1),'📅 Daily Log'!$B$8:$B$500,"&lt;"&amp;DATE(2026,7,1))</f>
        <v/>
      </c>
      <c r="D11" s="264" t="n"/>
      <c r="E11" s="264" t="n"/>
      <c r="F11" s="264" t="n"/>
      <c r="G11" s="264" t="n"/>
      <c r="H11" s="264" t="n"/>
      <c r="I11" s="264" t="n"/>
      <c r="J11" s="264" t="n"/>
      <c r="K11" s="264" t="n"/>
      <c r="L11" s="264" t="n"/>
    </row>
    <row r="12">
      <c r="A12" s="267" t="inlineStr">
        <is>
          <t>Cash</t>
        </is>
      </c>
      <c r="B12" s="268">
        <f>SUMIFS('📅 Daily Log'!$E$8:$E$500,'📅 Daily Log'!$B$8:$B$500,"&gt;="&amp;DATE(2026,5,1),'📅 Daily Log'!$B$8:$B$500,"&lt;"&amp;DATE(2026,6,1))</f>
        <v/>
      </c>
      <c r="C12" s="268">
        <f>SUMIFS('📅 Daily Log'!$E$8:$E$500,'📅 Daily Log'!$B$8:$B$500,"&gt;="&amp;DATE(2026,6,1),'📅 Daily Log'!$B$8:$B$500,"&lt;"&amp;DATE(2026,7,1))</f>
        <v/>
      </c>
      <c r="D12" s="264" t="n"/>
      <c r="E12" s="264" t="n"/>
      <c r="F12" s="264" t="n"/>
      <c r="G12" s="264" t="n"/>
      <c r="H12" s="264" t="n"/>
      <c r="I12" s="264" t="n"/>
      <c r="J12" s="264" t="n"/>
      <c r="K12" s="264" t="n"/>
      <c r="L12" s="264" t="n"/>
    </row>
    <row r="13">
      <c r="A13" s="267" t="inlineStr">
        <is>
          <t>Transfer</t>
        </is>
      </c>
      <c r="B13" s="268">
        <f>SUMIFS('📅 Daily Log'!$G$8:$G$500,'📅 Daily Log'!$B$8:$B$500,"&gt;="&amp;DATE(2026,5,1),'📅 Daily Log'!$B$8:$B$500,"&lt;"&amp;DATE(2026,6,1))</f>
        <v/>
      </c>
      <c r="C13" s="268">
        <f>SUMIFS('📅 Daily Log'!$G$8:$G$500,'📅 Daily Log'!$B$8:$B$500,"&gt;="&amp;DATE(2026,6,1),'📅 Daily Log'!$B$8:$B$500,"&lt;"&amp;DATE(2026,7,1))</f>
        <v/>
      </c>
      <c r="D13" s="264" t="n"/>
      <c r="E13" s="264" t="n"/>
      <c r="F13" s="264" t="n"/>
      <c r="G13" s="264" t="n"/>
      <c r="H13" s="264" t="n"/>
      <c r="I13" s="264" t="n"/>
      <c r="J13" s="264" t="n"/>
      <c r="K13" s="264" t="n"/>
      <c r="L13" s="264" t="n"/>
    </row>
    <row r="14">
      <c r="A14" s="269" t="inlineStr">
        <is>
          <t>Total Income</t>
        </is>
      </c>
      <c r="B14" s="270">
        <f>B11+B12+B13</f>
        <v/>
      </c>
      <c r="C14" s="270">
        <f>C11+C12+C13</f>
        <v/>
      </c>
      <c r="D14" s="264" t="n"/>
      <c r="E14" s="264" t="n"/>
      <c r="F14" s="264" t="n"/>
      <c r="G14" s="264" t="n"/>
      <c r="H14" s="264" t="n"/>
      <c r="I14" s="264" t="n"/>
      <c r="J14" s="264" t="n"/>
      <c r="K14" s="264" t="n"/>
      <c r="L14" s="264" t="n"/>
    </row>
    <row r="15">
      <c r="A15" s="264" t="n"/>
      <c r="B15" s="264" t="n"/>
      <c r="C15" s="264" t="n"/>
      <c r="D15" s="264" t="n"/>
      <c r="E15" s="264" t="n"/>
      <c r="F15" s="264" t="n"/>
      <c r="G15" s="264" t="n"/>
      <c r="H15" s="264" t="n"/>
      <c r="I15" s="264" t="n"/>
      <c r="J15" s="264" t="n"/>
      <c r="K15" s="264" t="n"/>
      <c r="L15" s="264" t="n"/>
    </row>
    <row r="16">
      <c r="A16" s="265" t="inlineStr">
        <is>
          <t>EXPENSES BY CATEGORY (high → low)</t>
        </is>
      </c>
      <c r="B16" s="266" t="inlineStr">
        <is>
          <t>May 2026</t>
        </is>
      </c>
      <c r="C16" s="266" t="inlineStr">
        <is>
          <t>Jun 2026</t>
        </is>
      </c>
      <c r="D16" s="264" t="n"/>
      <c r="E16" s="264" t="n"/>
      <c r="F16" s="264" t="n"/>
      <c r="G16" s="264" t="n"/>
      <c r="H16" s="264" t="n"/>
      <c r="I16" s="264" t="n"/>
      <c r="J16" s="264" t="n"/>
      <c r="K16" s="264" t="n"/>
      <c r="L16" s="264" t="n"/>
    </row>
    <row r="17">
      <c r="A17" s="267" t="inlineStr">
        <is>
          <t>Staff - Salary</t>
        </is>
      </c>
      <c r="B17" s="268">
        <f>SUMIFS('💸 Expenses'!$F$8:$F$500,'💸 Expenses'!$E$8:$E$500,$A17,'💸 Expenses'!$B$8:$B$500,"&gt;="&amp;DATE(2026,5,1),'💸 Expenses'!$B$8:$B$500,"&lt;"&amp;DATE(2026,6,1))</f>
        <v/>
      </c>
      <c r="C17" s="268">
        <f>SUMIFS('💸 Expenses'!$F$8:$F$500,'💸 Expenses'!$E$8:$E$500,$A17,'💸 Expenses'!$B$8:$B$500,"&gt;="&amp;DATE(2026,6,1),'💸 Expenses'!$B$8:$B$500,"&lt;"&amp;DATE(2026,7,1))</f>
        <v/>
      </c>
      <c r="D17" s="264" t="n"/>
      <c r="E17" s="264" t="n"/>
      <c r="F17" s="264" t="n"/>
      <c r="G17" s="264" t="n"/>
      <c r="H17" s="264" t="n"/>
      <c r="I17" s="264" t="n"/>
      <c r="J17" s="264" t="n"/>
      <c r="K17" s="264" t="n"/>
      <c r="L17" s="264" t="n"/>
    </row>
    <row r="18">
      <c r="A18" s="267" t="inlineStr">
        <is>
          <t>Ingredients - Meat</t>
        </is>
      </c>
      <c r="B18" s="268">
        <f>SUMIFS('💸 Expenses'!$F$8:$F$500,'💸 Expenses'!$E$8:$E$500,$A18,'💸 Expenses'!$B$8:$B$500,"&gt;="&amp;DATE(2026,5,1),'💸 Expenses'!$B$8:$B$500,"&lt;"&amp;DATE(2026,6,1))</f>
        <v/>
      </c>
      <c r="C18" s="268">
        <f>SUMIFS('💸 Expenses'!$F$8:$F$500,'💸 Expenses'!$E$8:$E$500,$A18,'💸 Expenses'!$B$8:$B$500,"&gt;="&amp;DATE(2026,6,1),'💸 Expenses'!$B$8:$B$500,"&lt;"&amp;DATE(2026,7,1))</f>
        <v/>
      </c>
      <c r="D18" s="264" t="n"/>
      <c r="E18" s="264" t="n"/>
      <c r="F18" s="264" t="n"/>
      <c r="G18" s="264" t="n"/>
      <c r="H18" s="264" t="n"/>
      <c r="I18" s="264" t="n"/>
      <c r="J18" s="264" t="n"/>
      <c r="K18" s="264" t="n"/>
      <c r="L18" s="264" t="n"/>
    </row>
    <row r="19">
      <c r="A19" s="267" t="inlineStr">
        <is>
          <t>Rent</t>
        </is>
      </c>
      <c r="B19" s="268">
        <f>SUMIFS('💸 Expenses'!$F$8:$F$500,'💸 Expenses'!$E$8:$E$500,$A19,'💸 Expenses'!$B$8:$B$500,"&gt;="&amp;DATE(2026,5,1),'💸 Expenses'!$B$8:$B$500,"&lt;"&amp;DATE(2026,6,1))</f>
        <v/>
      </c>
      <c r="C19" s="268">
        <f>SUMIFS('💸 Expenses'!$F$8:$F$500,'💸 Expenses'!$E$8:$E$500,$A19,'💸 Expenses'!$B$8:$B$500,"&gt;="&amp;DATE(2026,6,1),'💸 Expenses'!$B$8:$B$500,"&lt;"&amp;DATE(2026,7,1))</f>
        <v/>
      </c>
      <c r="D19" s="264" t="n"/>
      <c r="E19" s="264" t="n"/>
      <c r="F19" s="264" t="n"/>
      <c r="G19" s="264" t="n"/>
      <c r="H19" s="264" t="n"/>
      <c r="I19" s="264" t="n"/>
      <c r="J19" s="264" t="n"/>
      <c r="K19" s="264" t="n"/>
      <c r="L19" s="264" t="n"/>
    </row>
    <row r="20">
      <c r="A20" s="267" t="inlineStr">
        <is>
          <t>Ingredients - Vegetables</t>
        </is>
      </c>
      <c r="B20" s="268">
        <f>SUMIFS('💸 Expenses'!$F$8:$F$500,'💸 Expenses'!$E$8:$E$500,$A20,'💸 Expenses'!$B$8:$B$500,"&gt;="&amp;DATE(2026,5,1),'💸 Expenses'!$B$8:$B$500,"&lt;"&amp;DATE(2026,6,1))</f>
        <v/>
      </c>
      <c r="C20" s="268">
        <f>SUMIFS('💸 Expenses'!$F$8:$F$500,'💸 Expenses'!$E$8:$E$500,$A20,'💸 Expenses'!$B$8:$B$500,"&gt;="&amp;DATE(2026,6,1),'💸 Expenses'!$B$8:$B$500,"&lt;"&amp;DATE(2026,7,1))</f>
        <v/>
      </c>
      <c r="D20" s="264" t="n"/>
      <c r="E20" s="264" t="n"/>
      <c r="F20" s="264" t="n"/>
      <c r="G20" s="264" t="n"/>
      <c r="H20" s="264" t="n"/>
      <c r="I20" s="264" t="n"/>
      <c r="J20" s="264" t="n"/>
      <c r="K20" s="264" t="n"/>
      <c r="L20" s="264" t="n"/>
    </row>
    <row r="21">
      <c r="A21" s="267" t="inlineStr">
        <is>
          <t>Ingredients - Pantry</t>
        </is>
      </c>
      <c r="B21" s="268">
        <f>SUMIFS('💸 Expenses'!$F$8:$F$500,'💸 Expenses'!$E$8:$E$500,$A21,'💸 Expenses'!$B$8:$B$500,"&gt;="&amp;DATE(2026,5,1),'💸 Expenses'!$B$8:$B$500,"&lt;"&amp;DATE(2026,6,1))</f>
        <v/>
      </c>
      <c r="C21" s="268">
        <f>SUMIFS('💸 Expenses'!$F$8:$F$500,'💸 Expenses'!$E$8:$E$500,$A21,'💸 Expenses'!$B$8:$B$500,"&gt;="&amp;DATE(2026,6,1),'💸 Expenses'!$B$8:$B$500,"&lt;"&amp;DATE(2026,7,1))</f>
        <v/>
      </c>
      <c r="D21" s="264" t="n"/>
      <c r="E21" s="264" t="n"/>
      <c r="F21" s="264" t="n"/>
      <c r="G21" s="264" t="n"/>
      <c r="H21" s="264" t="n"/>
      <c r="I21" s="264" t="n"/>
      <c r="J21" s="264" t="n"/>
      <c r="K21" s="264" t="n"/>
      <c r="L21" s="264" t="n"/>
    </row>
    <row r="22">
      <c r="A22" s="267" t="inlineStr">
        <is>
          <t>Ingredients - Beverages</t>
        </is>
      </c>
      <c r="B22" s="268">
        <f>SUMIFS('💸 Expenses'!$F$8:$F$500,'💸 Expenses'!$E$8:$E$500,$A22,'💸 Expenses'!$B$8:$B$500,"&gt;="&amp;DATE(2026,5,1),'💸 Expenses'!$B$8:$B$500,"&lt;"&amp;DATE(2026,6,1))</f>
        <v/>
      </c>
      <c r="C22" s="268">
        <f>SUMIFS('💸 Expenses'!$F$8:$F$500,'💸 Expenses'!$E$8:$E$500,$A22,'💸 Expenses'!$B$8:$B$500,"&gt;="&amp;DATE(2026,6,1),'💸 Expenses'!$B$8:$B$500,"&lt;"&amp;DATE(2026,7,1))</f>
        <v/>
      </c>
      <c r="D22" s="264" t="n"/>
      <c r="E22" s="264" t="n"/>
      <c r="F22" s="264" t="n"/>
      <c r="G22" s="264" t="n"/>
      <c r="H22" s="264" t="n"/>
      <c r="I22" s="264" t="n"/>
      <c r="J22" s="264" t="n"/>
      <c r="K22" s="264" t="n"/>
      <c r="L22" s="264" t="n"/>
    </row>
    <row r="23">
      <c r="A23" s="267" t="inlineStr">
        <is>
          <t>Ingredients - Dairy</t>
        </is>
      </c>
      <c r="B23" s="268">
        <f>SUMIFS('💸 Expenses'!$F$8:$F$500,'💸 Expenses'!$E$8:$E$500,$A23,'💸 Expenses'!$B$8:$B$500,"&gt;="&amp;DATE(2026,5,1),'💸 Expenses'!$B$8:$B$500,"&lt;"&amp;DATE(2026,6,1))</f>
        <v/>
      </c>
      <c r="C23" s="268">
        <f>SUMIFS('💸 Expenses'!$F$8:$F$500,'💸 Expenses'!$E$8:$E$500,$A23,'💸 Expenses'!$B$8:$B$500,"&gt;="&amp;DATE(2026,6,1),'💸 Expenses'!$B$8:$B$500,"&lt;"&amp;DATE(2026,7,1))</f>
        <v/>
      </c>
      <c r="D23" s="264" t="n"/>
      <c r="E23" s="264" t="n"/>
      <c r="F23" s="264" t="n"/>
      <c r="G23" s="264" t="n"/>
      <c r="H23" s="264" t="n"/>
      <c r="I23" s="264" t="n"/>
      <c r="J23" s="264" t="n"/>
      <c r="K23" s="264" t="n"/>
      <c r="L23" s="264" t="n"/>
    </row>
    <row r="24">
      <c r="A24" s="267" t="inlineStr">
        <is>
          <t>Supermarket / General</t>
        </is>
      </c>
      <c r="B24" s="268">
        <f>SUMIFS('💸 Expenses'!$F$8:$F$500,'💸 Expenses'!$E$8:$E$500,$A24,'💸 Expenses'!$B$8:$B$500,"&gt;="&amp;DATE(2026,5,1),'💸 Expenses'!$B$8:$B$500,"&lt;"&amp;DATE(2026,6,1))</f>
        <v/>
      </c>
      <c r="C24" s="268">
        <f>SUMIFS('💸 Expenses'!$F$8:$F$500,'💸 Expenses'!$E$8:$E$500,$A24,'💸 Expenses'!$B$8:$B$500,"&gt;="&amp;DATE(2026,6,1),'💸 Expenses'!$B$8:$B$500,"&lt;"&amp;DATE(2026,7,1))</f>
        <v/>
      </c>
      <c r="D24" s="264" t="n"/>
      <c r="E24" s="264" t="n"/>
      <c r="F24" s="264" t="n"/>
      <c r="G24" s="264" t="n"/>
      <c r="H24" s="264" t="n"/>
      <c r="I24" s="264" t="n"/>
      <c r="J24" s="264" t="n"/>
      <c r="K24" s="264" t="n"/>
      <c r="L24" s="264" t="n"/>
    </row>
    <row r="25">
      <c r="A25" s="267" t="inlineStr">
        <is>
          <t>Maintenance</t>
        </is>
      </c>
      <c r="B25" s="268">
        <f>SUMIFS('💸 Expenses'!$F$8:$F$500,'💸 Expenses'!$E$8:$E$500,$A25,'💸 Expenses'!$B$8:$B$500,"&gt;="&amp;DATE(2026,5,1),'💸 Expenses'!$B$8:$B$500,"&lt;"&amp;DATE(2026,6,1))</f>
        <v/>
      </c>
      <c r="C25" s="268">
        <f>SUMIFS('💸 Expenses'!$F$8:$F$500,'💸 Expenses'!$E$8:$E$500,$A25,'💸 Expenses'!$B$8:$B$500,"&gt;="&amp;DATE(2026,6,1),'💸 Expenses'!$B$8:$B$500,"&lt;"&amp;DATE(2026,7,1))</f>
        <v/>
      </c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</row>
    <row r="26">
      <c r="A26" s="267" t="inlineStr">
        <is>
          <t>Supplies / Other</t>
        </is>
      </c>
      <c r="B26" s="268">
        <f>SUMIFS('💸 Expenses'!$F$8:$F$500,'💸 Expenses'!$E$8:$E$500,$A26,'💸 Expenses'!$B$8:$B$500,"&gt;="&amp;DATE(2026,5,1),'💸 Expenses'!$B$8:$B$500,"&lt;"&amp;DATE(2026,6,1))</f>
        <v/>
      </c>
      <c r="C26" s="268">
        <f>SUMIFS('💸 Expenses'!$F$8:$F$500,'💸 Expenses'!$E$8:$E$500,$A26,'💸 Expenses'!$B$8:$B$500,"&gt;="&amp;DATE(2026,6,1),'💸 Expenses'!$B$8:$B$500,"&lt;"&amp;DATE(2026,7,1))</f>
        <v/>
      </c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</row>
    <row r="27">
      <c r="A27" s="267" t="inlineStr">
        <is>
          <t>Ingredients - Bread</t>
        </is>
      </c>
      <c r="B27" s="268">
        <f>SUMIFS('💸 Expenses'!$F$8:$F$500,'💸 Expenses'!$E$8:$E$500,$A27,'💸 Expenses'!$B$8:$B$500,"&gt;="&amp;DATE(2026,5,1),'💸 Expenses'!$B$8:$B$500,"&lt;"&amp;DATE(2026,6,1))</f>
        <v/>
      </c>
      <c r="C27" s="268">
        <f>SUMIFS('💸 Expenses'!$F$8:$F$500,'💸 Expenses'!$E$8:$E$500,$A27,'💸 Expenses'!$B$8:$B$500,"&gt;="&amp;DATE(2026,6,1),'💸 Expenses'!$B$8:$B$500,"&lt;"&amp;DATE(2026,7,1))</f>
        <v/>
      </c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</row>
    <row r="28">
      <c r="A28" s="267" t="inlineStr">
        <is>
          <t>Ingredients - Meat &amp; Fish</t>
        </is>
      </c>
      <c r="B28" s="268">
        <f>SUMIFS('💸 Expenses'!$F$8:$F$500,'💸 Expenses'!$E$8:$E$500,$A28,'💸 Expenses'!$B$8:$B$500,"&gt;="&amp;DATE(2026,5,1),'💸 Expenses'!$B$8:$B$500,"&lt;"&amp;DATE(2026,6,1))</f>
        <v/>
      </c>
      <c r="C28" s="268">
        <f>SUMIFS('💸 Expenses'!$F$8:$F$500,'💸 Expenses'!$E$8:$E$500,$A28,'💸 Expenses'!$B$8:$B$500,"&gt;="&amp;DATE(2026,6,1),'💸 Expenses'!$B$8:$B$500,"&lt;"&amp;DATE(2026,7,1))</f>
        <v/>
      </c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</row>
    <row r="29">
      <c r="A29" s="267" t="inlineStr">
        <is>
          <t>Ingredients - Fruit</t>
        </is>
      </c>
      <c r="B29" s="268">
        <f>SUMIFS('💸 Expenses'!$F$8:$F$500,'💸 Expenses'!$E$8:$E$500,$A29,'💸 Expenses'!$B$8:$B$500,"&gt;="&amp;DATE(2026,5,1),'💸 Expenses'!$B$8:$B$500,"&lt;"&amp;DATE(2026,6,1))</f>
        <v/>
      </c>
      <c r="C29" s="268">
        <f>SUMIFS('💸 Expenses'!$F$8:$F$500,'💸 Expenses'!$E$8:$E$500,$A29,'💸 Expenses'!$B$8:$B$500,"&gt;="&amp;DATE(2026,6,1),'💸 Expenses'!$B$8:$B$500,"&lt;"&amp;DATE(2026,7,1))</f>
        <v/>
      </c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</row>
    <row r="30">
      <c r="A30" s="267" t="inlineStr">
        <is>
          <t>Ingredients - Other</t>
        </is>
      </c>
      <c r="B30" s="268">
        <f>SUMIFS('💸 Expenses'!$F$8:$F$500,'💸 Expenses'!$E$8:$E$500,$A30,'💸 Expenses'!$B$8:$B$500,"&gt;="&amp;DATE(2026,5,1),'💸 Expenses'!$B$8:$B$500,"&lt;"&amp;DATE(2026,6,1))</f>
        <v/>
      </c>
      <c r="C30" s="268">
        <f>SUMIFS('💸 Expenses'!$F$8:$F$500,'💸 Expenses'!$E$8:$E$500,$A30,'💸 Expenses'!$B$8:$B$500,"&gt;="&amp;DATE(2026,6,1),'💸 Expenses'!$B$8:$B$500,"&lt;"&amp;DATE(2026,7,1))</f>
        <v/>
      </c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</row>
    <row r="31">
      <c r="A31" s="267" t="inlineStr">
        <is>
          <t>Staff - Advance</t>
        </is>
      </c>
      <c r="B31" s="268">
        <f>SUMIFS('💸 Expenses'!$F$8:$F$500,'💸 Expenses'!$E$8:$E$500,$A31,'💸 Expenses'!$B$8:$B$500,"&gt;="&amp;DATE(2026,5,1),'💸 Expenses'!$B$8:$B$500,"&lt;"&amp;DATE(2026,6,1))</f>
        <v/>
      </c>
      <c r="C31" s="268">
        <f>SUMIFS('💸 Expenses'!$F$8:$F$500,'💸 Expenses'!$E$8:$E$500,$A31,'💸 Expenses'!$B$8:$B$500,"&gt;="&amp;DATE(2026,6,1),'💸 Expenses'!$B$8:$B$500,"&lt;"&amp;DATE(2026,7,1))</f>
        <v/>
      </c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</row>
    <row r="32">
      <c r="A32" s="267" t="inlineStr">
        <is>
          <t>Utilities / Internet</t>
        </is>
      </c>
      <c r="B32" s="268">
        <f>SUMIFS('💸 Expenses'!$F$8:$F$500,'💸 Expenses'!$E$8:$E$500,$A32,'💸 Expenses'!$B$8:$B$500,"&gt;="&amp;DATE(2026,5,1),'💸 Expenses'!$B$8:$B$500,"&lt;"&amp;DATE(2026,6,1))</f>
        <v/>
      </c>
      <c r="C32" s="268">
        <f>SUMIFS('💸 Expenses'!$F$8:$F$500,'💸 Expenses'!$E$8:$E$500,$A32,'💸 Expenses'!$B$8:$B$500,"&gt;="&amp;DATE(2026,6,1),'💸 Expenses'!$B$8:$B$500,"&lt;"&amp;DATE(2026,7,1))</f>
        <v/>
      </c>
      <c r="D32" s="264" t="n"/>
      <c r="E32" s="264" t="n"/>
      <c r="F32" s="264" t="n"/>
      <c r="G32" s="264" t="n"/>
      <c r="H32" s="264" t="n"/>
      <c r="I32" s="264" t="n"/>
      <c r="J32" s="264" t="n"/>
      <c r="K32" s="264" t="n"/>
      <c r="L32" s="264" t="n"/>
    </row>
    <row r="33">
      <c r="A33" s="267" t="inlineStr">
        <is>
          <t>Ingredients - Desserts</t>
        </is>
      </c>
      <c r="B33" s="268">
        <f>SUMIFS('💸 Expenses'!$F$8:$F$500,'💸 Expenses'!$E$8:$E$500,$A33,'💸 Expenses'!$B$8:$B$500,"&gt;="&amp;DATE(2026,5,1),'💸 Expenses'!$B$8:$B$500,"&lt;"&amp;DATE(2026,6,1))</f>
        <v/>
      </c>
      <c r="C33" s="268">
        <f>SUMIFS('💸 Expenses'!$F$8:$F$500,'💸 Expenses'!$E$8:$E$500,$A33,'💸 Expenses'!$B$8:$B$500,"&gt;="&amp;DATE(2026,6,1),'💸 Expenses'!$B$8:$B$500,"&lt;"&amp;DATE(2026,7,1))</f>
        <v/>
      </c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</row>
    <row r="34">
      <c r="A34" s="267" t="inlineStr">
        <is>
          <t>Ingredients - Produce</t>
        </is>
      </c>
      <c r="B34" s="268">
        <f>SUMIFS('💸 Expenses'!$F$8:$F$500,'💸 Expenses'!$E$8:$E$500,$A34,'💸 Expenses'!$B$8:$B$500,"&gt;="&amp;DATE(2026,5,1),'💸 Expenses'!$B$8:$B$500,"&lt;"&amp;DATE(2026,6,1))</f>
        <v/>
      </c>
      <c r="C34" s="268">
        <f>SUMIFS('💸 Expenses'!$F$8:$F$500,'💸 Expenses'!$E$8:$E$500,$A34,'💸 Expenses'!$B$8:$B$500,"&gt;="&amp;DATE(2026,6,1),'💸 Expenses'!$B$8:$B$500,"&lt;"&amp;DATE(2026,7,1))</f>
        <v/>
      </c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</row>
    <row r="35">
      <c r="A35" s="269" t="inlineStr">
        <is>
          <t>TOTAL EXPENSES</t>
        </is>
      </c>
      <c r="B35" s="270">
        <f>SUMIFS('💸 Expenses'!$F$8:$F$500,'💸 Expenses'!$B$8:$B$500,"&gt;="&amp;DATE(2026,5,1),'💸 Expenses'!$B$8:$B$500,"&lt;"&amp;DATE(2026,6,1))</f>
        <v/>
      </c>
      <c r="C35" s="270">
        <f>SUMIFS('💸 Expenses'!$F$8:$F$500,'💸 Expenses'!$B$8:$B$500,"&gt;="&amp;DATE(2026,6,1),'💸 Expenses'!$B$8:$B$500,"&lt;"&amp;DATE(2026,7,1))</f>
        <v/>
      </c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</row>
    <row r="36">
      <c r="A36" s="269" t="inlineStr">
        <is>
          <t>NET PROFIT / LOSS</t>
        </is>
      </c>
      <c r="B36" s="270">
        <f>B4-B35</f>
        <v/>
      </c>
      <c r="C36" s="270">
        <f>C4-C35</f>
        <v/>
      </c>
      <c r="D36" s="264" t="n"/>
      <c r="E36" s="264" t="n"/>
      <c r="F36" s="264" t="n"/>
      <c r="G36" s="264" t="n"/>
      <c r="H36" s="264" t="n"/>
      <c r="I36" s="264" t="n"/>
      <c r="J36" s="264" t="n"/>
      <c r="K36" s="264" t="n"/>
      <c r="L36" s="264" t="n"/>
    </row>
    <row r="37">
      <c r="A37" s="264" t="n"/>
      <c r="B37" s="264" t="n"/>
      <c r="C37" s="264" t="n"/>
      <c r="D37" s="264" t="n"/>
      <c r="E37" s="264" t="n"/>
      <c r="F37" s="264" t="n"/>
      <c r="G37" s="264" t="n"/>
      <c r="H37" s="264" t="n"/>
      <c r="I37" s="264" t="n"/>
      <c r="J37" s="264" t="n"/>
      <c r="K37" s="264" t="n"/>
      <c r="L37" s="264" t="n"/>
    </row>
    <row r="38">
      <c r="A38" s="264" t="n"/>
      <c r="B38" s="264" t="n"/>
      <c r="C38" s="264" t="n"/>
      <c r="D38" s="264" t="n"/>
      <c r="E38" s="264" t="n"/>
      <c r="F38" s="264" t="n"/>
      <c r="G38" s="264" t="n"/>
      <c r="H38" s="264" t="n"/>
      <c r="I38" s="264" t="n"/>
      <c r="J38" s="264" t="n"/>
      <c r="K38" s="264" t="n"/>
      <c r="L38" s="264" t="n"/>
    </row>
    <row r="39">
      <c r="A39" s="264" t="n"/>
      <c r="B39" s="264" t="n"/>
      <c r="C39" s="264" t="n"/>
      <c r="D39" s="264" t="n"/>
      <c r="E39" s="264" t="n"/>
      <c r="F39" s="264" t="n"/>
      <c r="G39" s="264" t="n"/>
      <c r="H39" s="264" t="n"/>
      <c r="I39" s="264" t="n"/>
      <c r="J39" s="264" t="n"/>
      <c r="K39" s="264" t="n"/>
      <c r="L39" s="264" t="n"/>
    </row>
    <row r="40">
      <c r="A40" s="264" t="n"/>
      <c r="B40" s="264" t="n"/>
      <c r="C40" s="264" t="n"/>
      <c r="D40" s="264" t="n"/>
      <c r="E40" s="264" t="n"/>
      <c r="F40" s="264" t="n"/>
      <c r="G40" s="264" t="n"/>
      <c r="H40" s="264" t="n"/>
      <c r="I40" s="264" t="n"/>
      <c r="J40" s="264" t="n"/>
      <c r="K40" s="264" t="n"/>
      <c r="L40" s="264" t="n"/>
    </row>
    <row r="41">
      <c r="A41" s="264" t="n"/>
      <c r="B41" s="264" t="n"/>
      <c r="C41" s="264" t="n"/>
      <c r="D41" s="264" t="n"/>
      <c r="E41" s="264" t="n"/>
      <c r="F41" s="264" t="n"/>
      <c r="G41" s="264" t="n"/>
      <c r="H41" s="264" t="n"/>
      <c r="I41" s="264" t="n"/>
      <c r="J41" s="264" t="n"/>
      <c r="K41" s="264" t="n"/>
      <c r="L41" s="264" t="n"/>
    </row>
    <row r="42">
      <c r="A42" s="264" t="n"/>
      <c r="B42" s="264" t="n"/>
      <c r="C42" s="264" t="n"/>
      <c r="D42" s="264" t="n"/>
      <c r="E42" s="264" t="n"/>
      <c r="F42" s="264" t="n"/>
      <c r="G42" s="264" t="n"/>
      <c r="H42" s="264" t="n"/>
      <c r="I42" s="264" t="n"/>
      <c r="J42" s="264" t="n"/>
      <c r="K42" s="264" t="n"/>
      <c r="L42" s="264" t="n"/>
    </row>
    <row r="43">
      <c r="A43" s="264" t="n"/>
      <c r="B43" s="264" t="n"/>
      <c r="C43" s="264" t="n"/>
      <c r="D43" s="264" t="n"/>
      <c r="E43" s="264" t="n"/>
      <c r="F43" s="264" t="n"/>
      <c r="G43" s="264" t="n"/>
      <c r="H43" s="264" t="n"/>
      <c r="I43" s="264" t="n"/>
      <c r="J43" s="264" t="n"/>
      <c r="K43" s="264" t="n"/>
      <c r="L43" s="264" t="n"/>
    </row>
    <row r="44">
      <c r="A44" s="264" t="n"/>
      <c r="B44" s="264" t="n"/>
      <c r="C44" s="264" t="n"/>
      <c r="D44" s="264" t="n"/>
      <c r="E44" s="264" t="n"/>
      <c r="F44" s="264" t="n"/>
      <c r="G44" s="264" t="n"/>
      <c r="H44" s="264" t="n"/>
      <c r="I44" s="264" t="n"/>
      <c r="J44" s="264" t="n"/>
      <c r="K44" s="264" t="n"/>
      <c r="L44" s="264" t="n"/>
    </row>
    <row r="45">
      <c r="A45" s="264" t="n"/>
      <c r="B45" s="264" t="n"/>
      <c r="C45" s="264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A46" s="264" t="n"/>
      <c r="B46" s="264" t="n"/>
      <c r="C46" s="264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A47" s="264" t="n"/>
      <c r="B47" s="264" t="n"/>
      <c r="C47" s="264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A48" s="264" t="n"/>
      <c r="B48" s="264" t="n"/>
      <c r="C48" s="264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A49" s="264" t="n"/>
      <c r="B49" s="264" t="n"/>
      <c r="C49" s="264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A50" s="264" t="n"/>
      <c r="B50" s="264" t="n"/>
      <c r="C50" s="264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A51" s="264" t="n"/>
      <c r="B51" s="264" t="n"/>
      <c r="C51" s="264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>
      <c r="A52" s="264" t="n"/>
      <c r="B52" s="264" t="n"/>
      <c r="C52" s="264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A53" s="264" t="n"/>
      <c r="B53" s="264" t="n"/>
      <c r="C53" s="264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A54" s="264" t="n"/>
      <c r="B54" s="264" t="n"/>
      <c r="C54" s="264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A55" s="264" t="n"/>
      <c r="B55" s="264" t="n"/>
      <c r="C55" s="264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A56" s="264" t="n"/>
      <c r="B56" s="264" t="n"/>
      <c r="C56" s="264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</row>
    <row r="57">
      <c r="A57" s="264" t="n"/>
      <c r="B57" s="264" t="n"/>
      <c r="C57" s="264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</row>
    <row r="58">
      <c r="A58" s="264" t="n"/>
      <c r="B58" s="264" t="n"/>
      <c r="C58" s="264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</row>
    <row r="59">
      <c r="A59" s="264" t="n"/>
      <c r="B59" s="264" t="n"/>
      <c r="C59" s="264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</row>
    <row r="60">
      <c r="A60" s="264" t="n"/>
      <c r="B60" s="264" t="n"/>
      <c r="C60" s="264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4" min="1" max="1"/>
    <col width="46" customWidth="1" style="274" min="2" max="2"/>
    <col width="18" customWidth="1" style="274" min="3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5.95" customHeight="1" s="274">
      <c r="A1" s="372" t="inlineStr">
        <is>
          <t>LOHITH — OWNER LEDGER &amp; PERSONAL BALANCE TRACKER</t>
        </is>
      </c>
    </row>
    <row r="3" ht="30" customHeight="1" s="274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2026-06-21T21:04:01Z</dcterms:modified>
  <cp:lastModifiedBy>LOHITH REDDY</cp:lastModifiedBy>
</cp:coreProperties>
</file>