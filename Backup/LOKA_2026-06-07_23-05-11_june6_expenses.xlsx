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6 Jun 2026  |  Capital, Acquisition &amp; Pre-Opening Expenses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D42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  <c r="C17" s="266" t="n">
        <v>46177</v>
      </c>
      <c r="D17" t="n">
        <v>4500</v>
      </c>
      <c r="E17" t="inlineStr">
        <is>
          <t>Lohith Reddy</t>
        </is>
      </c>
      <c r="F17" t="inlineStr">
        <is>
          <t>✅ PAID</t>
        </is>
      </c>
      <c r="G17" t="inlineStr">
        <is>
          <t>Capital payment — from main budget — transferred to different account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D36" t="n">
        <v>500</v>
      </c>
      <c r="E36" t="inlineStr">
        <is>
          <t>Soft App</t>
        </is>
      </c>
      <c r="F36" t="inlineStr">
        <is>
          <t>POS Hardware</t>
        </is>
      </c>
      <c r="G36" t="inlineStr">
        <is>
          <t>MP card terminal fee</t>
        </is>
      </c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D49" t="n">
        <v>3000</v>
      </c>
      <c r="E49" t="inlineStr">
        <is>
          <t>Alejandra</t>
        </is>
      </c>
      <c r="F49" t="inlineStr">
        <is>
          <t>Professional Services</t>
        </is>
      </c>
      <c r="G49" t="inlineStr">
        <is>
          <t>Documentation &amp; assistance — pre-opening</t>
        </is>
      </c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D61" t="n">
        <v>745</v>
      </c>
      <c r="E61" t="inlineStr">
        <is>
          <t>Various</t>
        </is>
      </c>
      <c r="F61" t="inlineStr">
        <is>
          <t>Equipment / Decor</t>
        </is>
      </c>
      <c r="G61" t="inlineStr">
        <is>
          <t>Board games for restaurant ambiance</t>
        </is>
      </c>
    </row>
    <row r="62" ht="22.05" customHeight="1" s="186">
      <c r="B62" s="23" t="inlineStr">
        <is>
          <t>Special menu board</t>
        </is>
      </c>
      <c r="C62" s="196" t="n"/>
      <c r="D62" s="196" t="n">
        <v>204</v>
      </c>
      <c r="E62" s="196" t="inlineStr">
        <is>
          <t>Sign Maker</t>
        </is>
      </c>
      <c r="F62" s="196" t="inlineStr">
        <is>
          <t>Branding / Signage</t>
        </is>
      </c>
      <c r="G62" s="196" t="inlineStr">
        <is>
          <t>Special menu board</t>
        </is>
      </c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</t>
        </is>
      </c>
      <c r="C72" s="223">
        <f>SUM(D6:D8)</f>
        <v/>
      </c>
      <c r="D72" s="215" t="n"/>
      <c r="E72" s="228" t="inlineStr">
        <is>
          <t>100% of committed capital</t>
        </is>
      </c>
    </row>
    <row r="73" ht="19.95" customHeight="1" s="186">
      <c r="B73" s="230" t="inlineStr">
        <is>
          <t>Acquisition Total</t>
        </is>
      </c>
      <c r="C73" s="246">
        <f>D13</f>
        <v/>
      </c>
      <c r="D73" s="231">
        <f>C73/C72</f>
        <v/>
      </c>
      <c r="E73" s="230" t="inlineStr">
        <is>
          <t>To be paid to previous owners</t>
        </is>
      </c>
    </row>
    <row r="74">
      <c r="B74" s="228" t="inlineStr">
        <is>
          <t>Advance Paid</t>
        </is>
      </c>
      <c r="C74" s="223">
        <f>D14</f>
        <v/>
      </c>
      <c r="D74" s="215">
        <f>C74/C72</f>
        <v/>
      </c>
      <c r="E74" s="228" t="inlineStr">
        <is>
          <t>✅ Already paid</t>
        </is>
      </c>
    </row>
    <row r="75">
      <c r="B75" s="230" t="inlineStr">
        <is>
          <t>Balance Remaining</t>
        </is>
      </c>
      <c r="C75" s="246">
        <f>D23</f>
        <v/>
      </c>
      <c r="D75" s="231">
        <f>C75/C72</f>
        <v/>
      </c>
      <c r="E75" s="230" t="inlineStr">
        <is>
          <t>⏳ Pending — funded by transfers</t>
        </is>
      </c>
    </row>
    <row r="76">
      <c r="B76" s="228" t="inlineStr">
        <is>
          <t>Kashi Ops (excl tr)</t>
        </is>
      </c>
      <c r="C76" s="223">
        <f>SUM(D35:D36)</f>
        <v/>
      </c>
      <c r="D76" s="215">
        <f>C76/C72</f>
        <v/>
      </c>
      <c r="E76" s="228" t="inlineStr">
        <is>
          <t>Soft license + terminal</t>
        </is>
      </c>
    </row>
    <row r="77">
      <c r="B77" s="230" t="inlineStr">
        <is>
          <t>Kashi Transfer</t>
        </is>
      </c>
      <c r="C77" s="246">
        <f>D34</f>
        <v/>
      </c>
      <c r="D77" s="231">
        <f>C77/C72</f>
        <v/>
      </c>
      <c r="E77" s="230" t="n"/>
    </row>
    <row r="78">
      <c r="B78" s="228" t="inlineStr">
        <is>
          <t>Lohith Pre-Opening</t>
        </is>
      </c>
      <c r="C78" s="223">
        <f>D55</f>
        <v/>
      </c>
      <c r="D78" s="215">
        <f>C78/C72</f>
        <v/>
      </c>
      <c r="E78" s="228" t="inlineStr">
        <is>
          <t>Advance + Notary + Poliza + Alejandra</t>
        </is>
      </c>
    </row>
    <row r="79">
      <c r="B79" s="230" t="inlineStr">
        <is>
          <t>Shashi Transfer</t>
        </is>
      </c>
      <c r="C79" s="246">
        <f>D59</f>
        <v/>
      </c>
      <c r="D79" s="231">
        <f>C79/C72</f>
        <v/>
      </c>
      <c r="E79" s="230" t="n"/>
    </row>
    <row r="80">
      <c r="B80" s="228" t="inlineStr">
        <is>
          <t>Shashi Other Exp</t>
        </is>
      </c>
      <c r="C80" s="223">
        <f>SUM(D60:D67)</f>
        <v/>
      </c>
      <c r="D80" s="215">
        <f>C80/C72</f>
        <v/>
      </c>
      <c r="E80" s="228" t="inlineStr">
        <is>
          <t>Yellow rows above</t>
        </is>
      </c>
    </row>
    <row r="81">
      <c r="B81" s="195" t="inlineStr">
        <is>
          <t>Total Cash Out</t>
        </is>
      </c>
      <c r="C81" s="198">
        <f>C73+C76+C78+C80</f>
        <v/>
      </c>
      <c r="D81" s="213">
        <f>C81/C72</f>
        <v/>
      </c>
      <c r="E81" s="195" t="inlineStr">
        <is>
          <t>Actual cash leaving the partnership</t>
        </is>
      </c>
    </row>
    <row r="82">
      <c r="B82" s="195" t="inlineStr">
        <is>
          <t>Remaining Budget</t>
        </is>
      </c>
      <c r="C82" s="198">
        <f>C72-C81</f>
        <v/>
      </c>
      <c r="D82" s="213">
        <f>C82/C72</f>
        <v/>
      </c>
      <c r="E82" s="195" t="n"/>
    </row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SUM(D35:D41)</f>
        <v/>
      </c>
      <c r="F86">
        <f>C86-D86-E86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C87-D87-E87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>
        <f>C6</f>
        <v/>
      </c>
      <c r="D92">
        <f>C92*D13</f>
        <v/>
      </c>
      <c r="E92">
        <f>D14</f>
        <v/>
      </c>
      <c r="F92">
        <f>D92-E92</f>
        <v/>
      </c>
      <c r="G92">
        <f>E83-F83</f>
        <v/>
      </c>
    </row>
    <row r="93">
      <c r="B93" t="inlineStr">
        <is>
          <t>Kashigoud Patil</t>
        </is>
      </c>
      <c r="C93">
        <f>C7</f>
        <v/>
      </c>
      <c r="D93">
        <f>C93*D13</f>
        <v/>
      </c>
      <c r="E93" t="n">
        <v>0</v>
      </c>
      <c r="F93">
        <f>D93-E93</f>
        <v/>
      </c>
      <c r="G93">
        <f>E84-F84</f>
        <v/>
      </c>
    </row>
    <row r="94">
      <c r="B94" t="inlineStr">
        <is>
          <t>Shashirekha Basavaraju</t>
        </is>
      </c>
      <c r="C94">
        <f>C8</f>
        <v/>
      </c>
      <c r="D94">
        <f>C94*D13</f>
        <v/>
      </c>
      <c r="E94" t="n">
        <v>0</v>
      </c>
      <c r="F94">
        <f>D94-E94</f>
        <v/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D92+D93+D94</f>
        <v/>
      </c>
      <c r="E95">
        <f>E92+E93+E94</f>
        <v/>
      </c>
      <c r="F95">
        <f>F92+F93+F94</f>
        <v/>
      </c>
      <c r="G95">
        <f>G83+G84+G85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inlineStr">
        <is>
          <t>06-Jun-2026</t>
        </is>
      </c>
      <c r="C27" s="74" t="inlineStr">
        <is>
          <t>Sat</t>
        </is>
      </c>
      <c r="D27" s="75" t="n">
        <v>580</v>
      </c>
      <c r="E27" s="76" t="n">
        <v>1754</v>
      </c>
      <c r="F27" s="77">
        <f>IFERROR(D27+E27+G27,0)</f>
        <v/>
      </c>
      <c r="G27" s="78" t="n"/>
      <c r="H27" s="79" t="n">
        <v>5000</v>
      </c>
      <c r="I27" s="80">
        <f>IFERROR(F27-H27,0)</f>
        <v/>
      </c>
      <c r="J27" s="81">
        <f>IFERROR(I27/F27,0)</f>
        <v/>
      </c>
      <c r="K27" s="82" t="n"/>
      <c r="L27" s="45" t="inlineStr">
        <is>
          <t>Manual Bills</t>
        </is>
      </c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9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>
        <v>46179</v>
      </c>
      <c r="C195" s="96" t="inlineStr">
        <is>
          <t>John — Salary Parcial Week 3 (Sat)</t>
        </is>
      </c>
      <c r="D195" s="95" t="inlineStr">
        <is>
          <t>Nomina</t>
        </is>
      </c>
      <c r="E195" s="96" t="inlineStr">
        <is>
          <t>Staff - Salary</t>
        </is>
      </c>
      <c r="F195" s="97" t="n">
        <v>2500</v>
      </c>
      <c r="G195" s="50" t="inlineStr">
        <is>
          <t>Restaurant</t>
        </is>
      </c>
      <c r="H195" s="50" t="inlineStr">
        <is>
          <t>Cash</t>
        </is>
      </c>
      <c r="I195" s="82" t="inlineStr">
        <is>
          <t>✅ Paid</t>
        </is>
      </c>
      <c r="J195" t="inlineStr">
        <is>
          <t>Week 3 partial — $1,250 balance due Mon 8 Jun</t>
        </is>
      </c>
    </row>
    <row r="196">
      <c r="B196" s="91" t="n">
        <v>46179</v>
      </c>
      <c r="C196" s="92" t="inlineStr">
        <is>
          <t>Debi — Salary Parcial Week 3 (Sat)</t>
        </is>
      </c>
      <c r="D196" s="93" t="inlineStr">
        <is>
          <t>Nomina</t>
        </is>
      </c>
      <c r="E196" s="92" t="inlineStr">
        <is>
          <t>Staff - Salary</t>
        </is>
      </c>
      <c r="F196" s="94" t="n">
        <v>1000</v>
      </c>
      <c r="G196" s="41" t="inlineStr">
        <is>
          <t>Restaurant</t>
        </is>
      </c>
      <c r="H196" s="41" t="inlineStr">
        <is>
          <t>Cash</t>
        </is>
      </c>
      <c r="I196" s="70" t="inlineStr">
        <is>
          <t>✅ Paid</t>
        </is>
      </c>
      <c r="J196" t="inlineStr">
        <is>
          <t>Week 3 partial — $500 balance due Mon 8 Jun</t>
        </is>
      </c>
    </row>
    <row r="197">
      <c r="B197" s="91" t="n">
        <v>46179</v>
      </c>
      <c r="C197" s="96" t="inlineStr">
        <is>
          <t>Judith — Salary Parcial Week 3 (Sat)</t>
        </is>
      </c>
      <c r="D197" s="95" t="inlineStr">
        <is>
          <t>Nomina</t>
        </is>
      </c>
      <c r="E197" s="96" t="inlineStr">
        <is>
          <t>Staff - Salary</t>
        </is>
      </c>
      <c r="F197" s="97" t="n">
        <v>1500</v>
      </c>
      <c r="G197" s="50" t="inlineStr">
        <is>
          <t>Restaurant</t>
        </is>
      </c>
      <c r="H197" s="50" t="inlineStr">
        <is>
          <t>Cash</t>
        </is>
      </c>
      <c r="I197" s="82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91" t="n">
        <v>46181</v>
      </c>
      <c r="C198" s="92" t="inlineStr">
        <is>
          <t>John — Salary Balance Week 3 (Mon)</t>
        </is>
      </c>
      <c r="D198" s="93" t="inlineStr">
        <is>
          <t>Nomina</t>
        </is>
      </c>
      <c r="E198" s="92" t="inlineStr">
        <is>
          <t>Staff - Salary</t>
        </is>
      </c>
      <c r="F198" s="94" t="n">
        <v>1250</v>
      </c>
      <c r="G198" s="41" t="inlineStr">
        <is>
          <t>Restaurant</t>
        </is>
      </c>
      <c r="H198" s="41" t="inlineStr">
        <is>
          <t>Cash</t>
        </is>
      </c>
      <c r="I198" s="70" t="inlineStr">
        <is>
          <t>⏳ Pending</t>
        </is>
      </c>
      <c r="J198" t="inlineStr">
        <is>
          <t>Week 3 balance — to pay Mon 8 Jun</t>
        </is>
      </c>
    </row>
    <row r="199">
      <c r="B199" s="91" t="n">
        <v>46181</v>
      </c>
      <c r="C199" s="96" t="inlineStr">
        <is>
          <t>Debi — Salary Balance Week 3 (Mon)</t>
        </is>
      </c>
      <c r="D199" s="95" t="inlineStr">
        <is>
          <t>Nomina</t>
        </is>
      </c>
      <c r="E199" s="96" t="inlineStr">
        <is>
          <t>Staff - Salary</t>
        </is>
      </c>
      <c r="F199" s="97" t="n">
        <v>500</v>
      </c>
      <c r="G199" s="50" t="inlineStr">
        <is>
          <t>Restaurant</t>
        </is>
      </c>
      <c r="H199" s="50" t="inlineStr">
        <is>
          <t>Cash</t>
        </is>
      </c>
      <c r="I199" s="82" t="inlineStr">
        <is>
          <t>⏳ Pending</t>
        </is>
      </c>
      <c r="J199" t="inlineStr">
        <is>
          <t>Week 3 balance — to pay Mon 8 Jun</t>
        </is>
      </c>
    </row>
    <row r="200">
      <c r="B200" s="91" t="n">
        <v>46181</v>
      </c>
      <c r="C200" s="92" t="inlineStr">
        <is>
          <t>Judith — Salary Balance Week 3 (Mon)</t>
        </is>
      </c>
      <c r="D200" s="93" t="inlineStr">
        <is>
          <t>Nomina</t>
        </is>
      </c>
      <c r="E200" s="92" t="inlineStr">
        <is>
          <t>Staff - Salary</t>
        </is>
      </c>
      <c r="F200" s="94" t="n">
        <v>166.65</v>
      </c>
      <c r="G200" s="41" t="inlineStr">
        <is>
          <t>Restaurant</t>
        </is>
      </c>
      <c r="H200" s="41" t="inlineStr">
        <is>
          <t>Cash</t>
        </is>
      </c>
      <c r="I200" s="70" t="inlineStr">
        <is>
          <t>⏳ Pending</t>
        </is>
      </c>
      <c r="J200" t="inlineStr">
        <is>
          <t>Week 3 balance — to pay Mon 8 Jun (0.5 day)</t>
        </is>
      </c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3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t="inlineStr">
        <is>
          <t>TOTALS &amp; CURRENT BALANCE</t>
        </is>
      </c>
      <c r="E68">
        <f>SUM(E59:E62)</f>
        <v/>
      </c>
      <c r="F68">
        <f>SUM(F59:F62)</f>
        <v/>
      </c>
      <c r="G68">
        <f>G67</f>
        <v/>
      </c>
      <c r="H68">
        <f>IF(G62&gt;0,"⏳ Restaurant owes Lohith",IF(G62&lt;0,"💵 Lohith holds restaurant funds","✅ Zero balance"))</f>
        <v/>
      </c>
    </row>
    <row r="70">
      <c r="B70" t="inlineStr">
        <is>
          <t>HOW TO USE:</t>
        </is>
      </c>
    </row>
    <row r="71">
      <c r="B71" t="inlineStr">
        <is>
          <t>Add new rows above TOTALS. Spent by Lohith = restaurant expenses he paid personally.</t>
        </is>
      </c>
    </row>
    <row r="72">
      <c r="B72" t="inlineStr">
        <is>
          <t>Transferred to Lohith = customer bank transfers received in his personal account.</t>
        </is>
      </c>
    </row>
    <row r="73">
      <c r="B73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2026-06-08T05:01:14Z</dcterms:modified>
  <cp:lastModifiedBy>LOHITH REDDY</cp:lastModifiedBy>
</cp:coreProperties>
</file>