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/>
      <c r="E32" s="37" t="n"/>
      <c r="F32" s="38">
        <f>IFERROR(D32+E32+G32,0)</f>
        <v/>
      </c>
      <c r="G32" s="39" t="n"/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Expenses logged — revenue pending EOD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n"/>
      <c r="C33" s="47" t="n"/>
      <c r="D33" s="48" t="n"/>
      <c r="E33" s="49" t="n"/>
      <c r="F33" s="50" t="n"/>
      <c r="G33" s="51" t="n"/>
      <c r="H33" s="52" t="n"/>
      <c r="I33" s="53" t="n"/>
      <c r="J33" s="54" t="n"/>
      <c r="K33" s="55" t="n"/>
      <c r="L33" s="18" t="n"/>
      <c r="M33" s="21" t="n"/>
      <c r="N33" s="56" t="n"/>
      <c r="O33" s="57" t="n"/>
      <c r="P33" s="58" t="n"/>
      <c r="Q33" s="56" t="n"/>
    </row>
    <row r="34" ht="16.5" customHeight="1" s="274">
      <c r="B34" s="34" t="n"/>
      <c r="C34" s="35" t="n"/>
      <c r="D34" s="36" t="n"/>
      <c r="E34" s="37" t="n"/>
      <c r="F34" s="38" t="n"/>
      <c r="G34" s="39" t="n"/>
      <c r="H34" s="40" t="n"/>
      <c r="I34" s="41" t="n"/>
      <c r="J34" s="42" t="n"/>
      <c r="K34" s="43" t="n"/>
      <c r="L34" s="9" t="n"/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Restaurant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Restaurant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/>
      <c r="C246" s="65" t="n"/>
      <c r="D246" s="66" t="n"/>
      <c r="E246" s="65" t="n"/>
      <c r="F246" s="67" t="n"/>
      <c r="G246" s="14" t="n"/>
      <c r="H246" s="14" t="n"/>
      <c r="I246" s="43" t="n"/>
    </row>
    <row r="247">
      <c r="B247" s="64" t="n"/>
      <c r="C247" s="69" t="n"/>
      <c r="D247" s="68" t="n"/>
      <c r="E247" s="69" t="n"/>
      <c r="F247" s="70" t="n"/>
      <c r="G247" s="23" t="n"/>
      <c r="H247" s="23" t="n"/>
      <c r="I247" s="55" t="n"/>
    </row>
    <row r="248">
      <c r="B248" s="64" t="n"/>
      <c r="C248" s="65" t="n"/>
      <c r="D248" s="66" t="n"/>
      <c r="E248" s="65" t="n"/>
      <c r="F248" s="67" t="n"/>
      <c r="G248" s="14" t="n"/>
      <c r="H248" s="14" t="n"/>
      <c r="I248" s="43" t="n"/>
    </row>
    <row r="249">
      <c r="B249" s="64" t="n"/>
      <c r="C249" s="69" t="n"/>
      <c r="D249" s="68" t="n"/>
      <c r="E249" s="69" t="n"/>
      <c r="F249" s="70" t="n"/>
      <c r="G249" s="23" t="n"/>
      <c r="H249" s="23" t="n"/>
      <c r="I249" s="55" t="n"/>
    </row>
    <row r="250">
      <c r="B250" s="64" t="n"/>
      <c r="C250" s="65" t="n"/>
      <c r="D250" s="66" t="n"/>
      <c r="E250" s="65" t="n"/>
      <c r="F250" s="67" t="n"/>
      <c r="G250" s="14" t="n"/>
      <c r="H250" s="14" t="n"/>
      <c r="I250" s="43" t="n"/>
    </row>
    <row r="251">
      <c r="B251" s="64" t="n"/>
      <c r="C251" s="69" t="n"/>
      <c r="D251" s="68" t="n"/>
      <c r="E251" s="69" t="n"/>
      <c r="F251" s="70" t="n"/>
      <c r="G251" s="23" t="n"/>
      <c r="H251" s="23" t="n"/>
      <c r="I251" s="55" t="n"/>
    </row>
    <row r="252">
      <c r="B252" s="64" t="n"/>
      <c r="C252" s="65" t="n"/>
      <c r="D252" s="66" t="n"/>
      <c r="E252" s="65" t="n"/>
      <c r="F252" s="67" t="n"/>
      <c r="G252" s="14" t="n"/>
      <c r="H252" s="14" t="n"/>
      <c r="I252" s="43" t="n"/>
    </row>
    <row r="253">
      <c r="B253" s="64" t="n"/>
      <c r="C253" s="69" t="n"/>
      <c r="D253" s="68" t="n"/>
      <c r="E253" s="69" t="n"/>
      <c r="F253" s="70" t="n"/>
      <c r="G253" s="23" t="n"/>
      <c r="H253" s="23" t="n"/>
      <c r="I253" s="55" t="n"/>
    </row>
    <row r="254">
      <c r="B254" s="64" t="n"/>
      <c r="C254" s="65" t="n"/>
      <c r="D254" s="66" t="n"/>
      <c r="E254" s="65" t="n"/>
      <c r="F254" s="67" t="n"/>
      <c r="G254" s="14" t="n"/>
      <c r="H254" s="14" t="n"/>
      <c r="I254" s="43" t="n"/>
    </row>
    <row r="255">
      <c r="B255" s="64" t="n"/>
      <c r="C255" s="69" t="n"/>
      <c r="D255" s="68" t="n"/>
      <c r="E255" s="69" t="n"/>
      <c r="F255" s="70" t="n"/>
      <c r="G255" s="23" t="n"/>
      <c r="H255" s="23" t="n"/>
      <c r="I255" s="55" t="n"/>
    </row>
    <row r="256">
      <c r="B256" s="64" t="n"/>
      <c r="C256" s="65" t="n"/>
      <c r="D256" s="66" t="n"/>
      <c r="E256" s="65" t="n"/>
      <c r="F256" s="67" t="n"/>
      <c r="G256" s="14" t="n"/>
      <c r="H256" s="14" t="n"/>
      <c r="I256" s="43" t="n"/>
    </row>
    <row r="257">
      <c r="B257" s="64" t="n"/>
      <c r="C257" s="69" t="n"/>
      <c r="D257" s="68" t="n"/>
      <c r="E257" s="69" t="n"/>
      <c r="F257" s="70" t="n"/>
      <c r="G257" s="23" t="n"/>
      <c r="H257" s="23" t="n"/>
      <c r="I257" s="55" t="n"/>
    </row>
    <row r="258">
      <c r="B258" s="64" t="n"/>
      <c r="C258" s="65" t="n"/>
      <c r="D258" s="66" t="n"/>
      <c r="E258" s="65" t="n"/>
      <c r="F258" s="67" t="n"/>
      <c r="G258" s="14" t="n"/>
      <c r="H258" s="14" t="n"/>
      <c r="I258" s="43" t="n"/>
    </row>
    <row r="259">
      <c r="B259" s="64" t="n"/>
      <c r="C259" s="69" t="n"/>
      <c r="D259" s="68" t="n"/>
      <c r="E259" s="69" t="n"/>
      <c r="F259" s="70" t="n"/>
      <c r="G259" s="23" t="n"/>
      <c r="H259" s="23" t="n"/>
      <c r="I259" s="55" t="n"/>
    </row>
    <row r="260">
      <c r="B260" s="64" t="n"/>
      <c r="C260" s="65" t="n"/>
      <c r="D260" s="66" t="n"/>
      <c r="E260" s="65" t="n"/>
      <c r="F260" s="67" t="n"/>
      <c r="G260" s="14" t="n"/>
      <c r="H260" s="14" t="n"/>
      <c r="I260" s="43" t="n"/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9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133.33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Full Day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$133.33/day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26" t="inlineStr">
        <is>
          <t>TOTALS &amp; CURRENT BALANCE</t>
        </is>
      </c>
      <c r="B74" s="219" t="n"/>
      <c r="C74" s="219" t="n"/>
      <c r="D74" s="256">
        <f>SUM(D63:D73)</f>
        <v/>
      </c>
      <c r="E74" s="257">
        <f>SUM(E63:E73)</f>
        <v/>
      </c>
      <c r="F74" s="258">
        <f>F73</f>
        <v/>
      </c>
      <c r="G74" s="226">
        <f>IF(F73&gt;0,"⏳ Restaurant owes Lohith $"&amp;TEXT(F73,"#,##0"),IF(F73&lt;0,"💵 Lohith holds $"&amp;TEXT(ABS(F73),"#,##0"),"✅ Zero balance"))</f>
        <v/>
      </c>
    </row>
    <row r="76">
      <c r="A76" s="242" t="inlineStr">
        <is>
          <t>HOW TO USE:</t>
        </is>
      </c>
      <c r="B76" s="242" t="n"/>
      <c r="C76" s="242" t="n"/>
      <c r="D76" s="242" t="n"/>
      <c r="E76" s="242" t="n"/>
      <c r="F76" s="242" t="n"/>
      <c r="G76" s="242" t="n"/>
      <c r="H76" s="242" t="n"/>
    </row>
    <row r="77">
      <c r="A77" s="242" t="inlineStr">
        <is>
          <t>Add new rows above TOTALS. Spent by Lohith = restaurant expenses he paid personally.</t>
        </is>
      </c>
      <c r="B77" s="242" t="n"/>
      <c r="C77" s="242" t="n"/>
      <c r="D77" s="242" t="n"/>
      <c r="E77" s="242" t="n"/>
      <c r="F77" s="242" t="n"/>
      <c r="G77" s="242" t="n"/>
      <c r="H77" s="242" t="n"/>
    </row>
    <row r="78">
      <c r="A78" s="242" t="inlineStr">
        <is>
          <t>Transferred to Lohith = customer bank transfers received in his personal account.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Positive balance = restaurant owes Lohith. Negative = Lohith holds restaurant funds.</t>
        </is>
      </c>
      <c r="B79" s="242" t="n"/>
      <c r="C79" s="242" t="n"/>
      <c r="D79" s="242" t="n"/>
      <c r="E79" s="242" t="n"/>
      <c r="F79" s="242" t="n"/>
      <c r="G79" s="242" t="n"/>
      <c r="H79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2026-06-11T23:41:40Z</dcterms:modified>
  <cp:lastModifiedBy>LOHITH REDDY</cp:lastModifiedBy>
</cp:coreProperties>
</file>