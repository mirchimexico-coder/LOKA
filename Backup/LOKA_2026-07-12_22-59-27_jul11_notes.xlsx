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9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0"/>
  </cellStyleXfs>
  <cellXfs count="41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20" pivotButton="0" quotePrefix="0" xfId="0"/>
    <xf numFmtId="0" fontId="92" fillId="56" borderId="21" applyAlignment="1" pivotButton="0" quotePrefix="0" xfId="0">
      <alignment horizontal="left"/>
    </xf>
    <xf numFmtId="0" fontId="92" fillId="56" borderId="21" applyAlignment="1" pivotButton="0" quotePrefix="0" xfId="0">
      <alignment horizontal="right"/>
    </xf>
    <xf numFmtId="0" fontId="93" fillId="0" borderId="21" applyAlignment="1" pivotButton="0" quotePrefix="0" xfId="0">
      <alignment horizontal="left"/>
    </xf>
    <xf numFmtId="174" fontId="90" fillId="0" borderId="21" applyAlignment="1" pivotButton="0" quotePrefix="0" xfId="0">
      <alignment horizontal="right"/>
    </xf>
    <xf numFmtId="174" fontId="93" fillId="0" borderId="21" applyAlignment="1" pivotButton="0" quotePrefix="0" xfId="0">
      <alignment horizontal="right"/>
    </xf>
    <xf numFmtId="0" fontId="90" fillId="0" borderId="21" applyAlignment="1" pivotButton="0" quotePrefix="0" xfId="0">
      <alignment horizontal="left"/>
    </xf>
    <xf numFmtId="3" fontId="90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4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3" fillId="0" borderId="21" pivotButton="0" quotePrefix="0" xfId="0"/>
    <xf numFmtId="0" fontId="95" fillId="0" borderId="0" applyAlignment="1" pivotButton="0" quotePrefix="0" xfId="0">
      <alignment horizontal="left"/>
    </xf>
    <xf numFmtId="0" fontId="95" fillId="0" borderId="0" pivotButton="0" quotePrefix="0" xfId="0"/>
    <xf numFmtId="0" fontId="93" fillId="0" borderId="0" pivotButton="0" quotePrefix="0" xfId="0"/>
    <xf numFmtId="0" fontId="96" fillId="0" borderId="0" pivotButton="0" quotePrefix="0" xfId="0"/>
    <xf numFmtId="10" fontId="93" fillId="0" borderId="0" pivotButton="0" quotePrefix="0" xfId="0"/>
    <xf numFmtId="174" fontId="0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174" fontId="0" fillId="0" borderId="19" pivotButton="0" quotePrefix="0" xfId="0"/>
    <xf numFmtId="0" fontId="85" fillId="51" borderId="19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5" fillId="0" borderId="19" pivotButton="0" quotePrefix="0" xfId="0"/>
    <xf numFmtId="0" fontId="75" fillId="44" borderId="19" applyAlignment="1" pivotButton="0" quotePrefix="0" xfId="0">
      <alignment horizontal="left" vertical="center"/>
    </xf>
    <xf numFmtId="0" fontId="2" fillId="3" borderId="19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9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19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9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19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9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9" applyAlignment="1" pivotButton="0" quotePrefix="0" xfId="0">
      <alignment horizontal="center" vertical="center"/>
    </xf>
    <xf numFmtId="0" fontId="91" fillId="55" borderId="20" applyAlignment="1" pivotButton="0" quotePrefix="0" xfId="0">
      <alignment horizontal="center"/>
    </xf>
    <xf numFmtId="0" fontId="0" fillId="55" borderId="19" pivotButton="0" quotePrefix="0" xfId="0"/>
    <xf numFmtId="0" fontId="1" fillId="2" borderId="20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 wrapText="1"/>
    </xf>
    <xf numFmtId="0" fontId="75" fillId="44" borderId="20" applyAlignment="1" pivotButton="0" quotePrefix="0" xfId="0">
      <alignment horizontal="left" vertical="center"/>
    </xf>
    <xf numFmtId="0" fontId="95" fillId="0" borderId="20" pivotButton="0" quotePrefix="0" xfId="0"/>
    <xf numFmtId="0" fontId="6" fillId="10" borderId="20" applyAlignment="1" pivotButton="0" quotePrefix="0" xfId="0">
      <alignment horizontal="left" vertical="center"/>
    </xf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26" fillId="2" borderId="20" applyAlignment="1" pivotButton="0" quotePrefix="0" xfId="0">
      <alignment horizontal="left" vertical="center"/>
    </xf>
    <xf numFmtId="0" fontId="30" fillId="4" borderId="20" applyAlignment="1" pivotButton="0" quotePrefix="0" xfId="0">
      <alignment horizontal="left" vertical="center"/>
    </xf>
    <xf numFmtId="175" fontId="51" fillId="19" borderId="13" applyAlignment="1" pivotButton="0" quotePrefix="0" xfId="0">
      <alignment horizontal="center" vertical="center"/>
    </xf>
    <xf numFmtId="0" fontId="0" fillId="0" borderId="20" pivotButton="0" quotePrefix="0" xfId="0"/>
    <xf numFmtId="0" fontId="6" fillId="10" borderId="20" applyAlignment="1" pivotButton="0" quotePrefix="0" xfId="0">
      <alignment horizontal="center" vertical="center"/>
    </xf>
    <xf numFmtId="0" fontId="7" fillId="10" borderId="20" applyAlignment="1" pivotButton="0" quotePrefix="0" xfId="0">
      <alignment horizontal="center" vertical="center"/>
    </xf>
    <xf numFmtId="0" fontId="85" fillId="51" borderId="20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0" fillId="0" borderId="20" pivotButton="0" quotePrefix="0" xfId="0"/>
    <xf numFmtId="0" fontId="98" fillId="57" borderId="26" applyAlignment="1" pivotButton="0" quotePrefix="0" xfId="0">
      <alignment horizontal="center"/>
    </xf>
    <xf numFmtId="0" fontId="0" fillId="57" borderId="20" pivotButton="0" quotePrefix="0" xfId="0"/>
    <xf numFmtId="0" fontId="97" fillId="0" borderId="26" pivotButton="0" quotePrefix="0" xfId="0"/>
    <xf numFmtId="0" fontId="99" fillId="58" borderId="27" applyAlignment="1" pivotButton="0" quotePrefix="0" xfId="0">
      <alignment horizontal="left"/>
    </xf>
    <xf numFmtId="0" fontId="99" fillId="58" borderId="27" applyAlignment="1" pivotButton="0" quotePrefix="0" xfId="0">
      <alignment horizontal="right"/>
    </xf>
    <xf numFmtId="0" fontId="100" fillId="0" borderId="27" applyAlignment="1" pivotButton="0" quotePrefix="0" xfId="0">
      <alignment horizontal="left"/>
    </xf>
    <xf numFmtId="176" fontId="97" fillId="0" borderId="27" applyAlignment="1" pivotButton="0" quotePrefix="0" xfId="0">
      <alignment horizontal="right"/>
    </xf>
    <xf numFmtId="176" fontId="100" fillId="0" borderId="27" applyAlignment="1" pivotButton="0" quotePrefix="0" xfId="0">
      <alignment horizontal="right"/>
    </xf>
    <xf numFmtId="0" fontId="97" fillId="0" borderId="27" applyAlignment="1" pivotButton="0" quotePrefix="0" xfId="0">
      <alignment horizontal="left"/>
    </xf>
    <xf numFmtId="3" fontId="97" fillId="0" borderId="27" applyAlignment="1" pivotButton="0" quotePrefix="0" xfId="0">
      <alignment horizontal="right"/>
    </xf>
    <xf numFmtId="0" fontId="98" fillId="57" borderId="28" applyAlignment="1" pivotButton="0" quotePrefix="0" xfId="0">
      <alignment horizont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07" min="1" max="1"/>
    <col width="48" customWidth="1" style="307" min="2" max="2"/>
    <col width="18" customWidth="1" style="309" min="3" max="3"/>
    <col width="20" customWidth="1" style="309" min="4" max="6"/>
    <col width="71.77734375" customWidth="1" style="307" min="7" max="7"/>
    <col width="26" customWidth="1" style="307" min="8" max="8"/>
  </cols>
  <sheetData>
    <row r="1" ht="36" customHeight="1" s="307">
      <c r="B1" s="391" t="inlineStr">
        <is>
          <t>LOKA  —  CAPITAL, OWNERSHIP &amp; PRE-OPENING EXPENSES</t>
        </is>
      </c>
    </row>
    <row r="2" ht="24" customHeight="1" s="307">
      <c r="B2" s="392" t="inlineStr">
        <is>
          <t>Last updated: 1 Jul 2026  |  Capital, Acquisition, Pre-Opening, Renovation CapEx &amp; Operations↔Capital</t>
        </is>
      </c>
    </row>
    <row r="4" ht="25.95" customHeight="1" s="307">
      <c r="B4" s="393" t="inlineStr">
        <is>
          <t xml:space="preserve">  A.  OWNERSHIP STRUCTURE</t>
        </is>
      </c>
    </row>
    <row r="5" ht="22.05" customHeight="1" s="307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07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07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07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07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07">
      <c r="B11" s="393" t="inlineStr">
        <is>
          <t xml:space="preserve">  B.  RESTAURANT ACQUISITION  —  $390,000 TOTAL</t>
        </is>
      </c>
    </row>
    <row r="12" ht="22.05" customHeight="1" s="307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07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07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07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07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07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07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07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07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07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07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07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07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07">
      <c r="A26" s="275" t="n"/>
      <c r="B26" s="283" t="inlineStr">
        <is>
          <t>Payment to Previous Owners — Jun 22</t>
        </is>
      </c>
      <c r="C26" s="284" t="n">
        <v>46195</v>
      </c>
      <c r="D26" s="285" t="n">
        <v>60000</v>
      </c>
      <c r="E26" s="286" t="inlineStr">
        <is>
          <t>Lohith Reddy</t>
        </is>
      </c>
      <c r="F26" s="286" t="inlineStr">
        <is>
          <t>✅ PAID</t>
        </is>
      </c>
      <c r="G26" s="283" t="inlineStr">
        <is>
          <t>Capital payment to previous owners — 22 Jun 2026</t>
        </is>
      </c>
    </row>
    <row r="27" ht="19.95" customHeight="1" s="307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07">
      <c r="B28" s="149" t="n"/>
      <c r="C28" s="180" t="n"/>
      <c r="D28" s="157" t="n"/>
      <c r="E28" s="172" t="n"/>
      <c r="F28" s="172" t="n"/>
      <c r="G28" s="149" t="n"/>
    </row>
    <row r="29" ht="19.95" customHeight="1" s="307">
      <c r="B29" s="149" t="n"/>
      <c r="C29" s="180" t="n"/>
      <c r="D29" s="157" t="n"/>
      <c r="E29" s="172" t="n"/>
      <c r="F29" s="172" t="n"/>
      <c r="G29" s="149" t="n"/>
    </row>
    <row r="30" ht="19.95" customHeight="1" s="307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07">
      <c r="B32" s="189" t="n"/>
      <c r="C32" s="236" t="n"/>
      <c r="D32" s="191" t="n"/>
      <c r="E32" s="190" t="n"/>
      <c r="F32" s="190" t="n"/>
      <c r="G32" s="189" t="n"/>
    </row>
    <row r="33" ht="22.05" customHeight="1" s="307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07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07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07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07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07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07"/>
    <row r="40" ht="19.95" customHeight="1" s="307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07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07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07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07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14" t="n"/>
    </row>
    <row r="46" ht="19.95" customHeight="1" s="307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07">
      <c r="B47" s="137" t="n"/>
      <c r="C47" s="137" t="n"/>
      <c r="D47" s="162" t="n"/>
      <c r="E47" s="137" t="n"/>
      <c r="F47" s="137" t="n"/>
      <c r="G47" s="137" t="n"/>
    </row>
    <row r="48" ht="19.95" customHeight="1" s="307">
      <c r="B48" s="137" t="n"/>
      <c r="C48" s="137" t="n"/>
      <c r="D48" s="162" t="n"/>
      <c r="E48" s="137" t="n"/>
      <c r="F48" s="137" t="n"/>
      <c r="G48" s="137" t="n"/>
    </row>
    <row r="49" ht="19.95" customHeight="1" s="307">
      <c r="B49" s="137" t="n"/>
      <c r="C49" s="137" t="n"/>
      <c r="D49" s="162" t="n"/>
      <c r="E49" s="137" t="n"/>
      <c r="F49" s="137" t="n"/>
      <c r="G49" s="137" t="n"/>
    </row>
    <row r="50" ht="19.95" customHeight="1" s="307">
      <c r="B50" s="137" t="n"/>
      <c r="C50" s="137" t="n"/>
      <c r="D50" s="162" t="n"/>
      <c r="E50" s="137" t="n"/>
      <c r="F50" s="137" t="n"/>
      <c r="G50" s="137" t="n"/>
    </row>
    <row r="51" ht="19.95" customHeight="1" s="307">
      <c r="B51" s="137" t="n"/>
      <c r="C51" s="137" t="n"/>
      <c r="D51" s="162" t="n"/>
      <c r="E51" s="137" t="n"/>
      <c r="F51" s="137" t="n"/>
      <c r="G51" s="137" t="n"/>
    </row>
    <row r="52" ht="19.95" customHeight="1" s="307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07"/>
    <row r="54" ht="19.95" customHeight="1" s="307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07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07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07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07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07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14" t="n"/>
    </row>
    <row r="61" ht="22.05" customHeight="1" s="307">
      <c r="B61" s="237" t="inlineStr">
        <is>
          <t>Reimbursement to Shashirekha (over-budget expenses)</t>
        </is>
      </c>
      <c r="C61" s="297" t="n">
        <v>46210</v>
      </c>
      <c r="D61" s="298" t="n">
        <v>1034</v>
      </c>
      <c r="E61" s="299" t="inlineStr">
        <is>
          <t>Shashirekha B.</t>
        </is>
      </c>
      <c r="F61" s="299" t="inlineStr">
        <is>
          <t>Partner Settlement</t>
        </is>
      </c>
      <c r="G61" s="300" t="inlineStr">
        <is>
          <t>Reimbursed Shashi for spending $1,034 over her $120k budget (menu + syrup) — 7 Jul 2026</t>
        </is>
      </c>
    </row>
    <row r="62" ht="22.05" customHeight="1" s="307">
      <c r="B62" s="237" t="n"/>
      <c r="C62" s="236" t="n"/>
      <c r="D62" s="191" t="n"/>
      <c r="E62" s="190" t="n"/>
      <c r="F62" s="190" t="n"/>
      <c r="G62" s="189" t="n"/>
    </row>
    <row r="63" ht="19.95" customHeight="1" s="307">
      <c r="B63" s="137" t="n"/>
      <c r="C63" s="137" t="n"/>
      <c r="D63" s="162" t="n"/>
      <c r="E63" s="137" t="n"/>
      <c r="F63" s="137" t="n"/>
      <c r="G63" s="137" t="n"/>
    </row>
    <row r="64" ht="19.95" customHeight="1" s="307">
      <c r="B64" s="137" t="n"/>
      <c r="C64" s="137" t="n"/>
      <c r="D64" s="162" t="n"/>
      <c r="E64" s="137" t="n"/>
      <c r="F64" s="137" t="n"/>
      <c r="G64" s="137" t="n"/>
    </row>
    <row r="65" ht="19.95" customHeight="1" s="307">
      <c r="B65" s="137" t="n"/>
      <c r="C65" s="137" t="n"/>
      <c r="D65" s="162" t="n"/>
      <c r="E65" s="137" t="n"/>
      <c r="F65" s="137" t="n"/>
      <c r="G65" s="137" t="n"/>
    </row>
    <row r="66" ht="19.95" customHeight="1" s="307">
      <c r="B66" s="137" t="n"/>
      <c r="C66" s="137" t="n"/>
      <c r="D66" s="162" t="n"/>
      <c r="E66" s="137" t="n"/>
      <c r="F66" s="137" t="n"/>
      <c r="G66" s="137" t="n"/>
    </row>
    <row r="67" ht="19.95" customHeight="1" s="307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07"/>
    <row r="69" ht="19.95" customHeight="1" s="307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07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07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07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07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14" t="n"/>
    </row>
    <row r="75" ht="19.95" customHeight="1" s="307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07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07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07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07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07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07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07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14" t="n"/>
    </row>
    <row r="83" ht="19.95" customHeight="1" s="307"/>
    <row r="84" ht="19.95" customHeight="1" s="307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07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07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07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07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07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07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07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.05" customHeight="1" s="307">
      <c r="B142" s="287" t="inlineStr">
        <is>
          <t xml:space="preserve">  K.  OPERATIONS ↔ CAPITAL  —  RUNNING POSITION</t>
        </is>
      </c>
    </row>
    <row r="143">
      <c r="B143" s="288" t="inlineStr">
        <is>
          <t>Operating Income (all-time, from Daily Log)</t>
        </is>
      </c>
      <c r="C143" s="289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8" t="inlineStr">
        <is>
          <t>Operating Expenses (all-time, from Expenses)</t>
        </is>
      </c>
      <c r="C144" s="289">
        <f>SUM('💸 Expenses'!F8:F500)</f>
        <v/>
      </c>
      <c r="D144" s="191" t="n"/>
      <c r="E144" s="190" t="n"/>
      <c r="F144" s="190" t="n"/>
      <c r="G144" s="189" t="n"/>
    </row>
    <row r="145">
      <c r="B145" s="288" t="inlineStr">
        <is>
          <t>MP Commission (auto: card × 4.06%)</t>
        </is>
      </c>
      <c r="C145" s="272">
        <f>SUM('📅 Daily Log'!R8:R500)</f>
        <v/>
      </c>
    </row>
    <row r="146">
      <c r="B146" s="290" t="inlineStr">
        <is>
          <t>OPERATING RESULT  (income − expenses − commission)</t>
        </is>
      </c>
      <c r="C146" s="272">
        <f>C143-C144-C145</f>
        <v/>
      </c>
      <c r="E146" s="291" t="n"/>
    </row>
    <row r="147">
      <c r="B147" s="270" t="inlineStr">
        <is>
          <t>ADVANCE OWED by Operations to Capital</t>
        </is>
      </c>
      <c r="C147" s="272" t="n">
        <v>39314.81</v>
      </c>
      <c r="E147" s="292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4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07" min="1" max="1"/>
    <col width="18" customWidth="1" style="307" min="2" max="2"/>
    <col width="14" customWidth="1" style="307" min="3" max="7"/>
    <col width="16" customWidth="1" style="307" min="8" max="8"/>
    <col width="14" customWidth="1" style="307" min="9" max="14"/>
  </cols>
  <sheetData>
    <row r="1" ht="4.5" customHeight="1" s="307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07">
      <c r="A2" s="395" t="inlineStr">
        <is>
          <t>🍽️  LOKA Cafe Restaurante</t>
        </is>
      </c>
      <c r="H2" s="396" t="inlineStr">
        <is>
          <t>Restaurant Manager — powered by Soft + Excel</t>
        </is>
      </c>
    </row>
    <row r="3" ht="3.75" customHeight="1" s="307">
      <c r="A3" s="397" t="n"/>
    </row>
    <row r="4" ht="7.5" customHeight="1" s="307"/>
    <row r="5" ht="36" customHeight="1" s="307">
      <c r="B5" s="361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35" t="n"/>
      <c r="D5" s="335" t="n"/>
      <c r="E5" s="335" t="n"/>
      <c r="F5" s="335" t="n"/>
      <c r="G5" s="335" t="n"/>
      <c r="H5" s="335" t="n"/>
      <c r="I5" s="335" t="n"/>
      <c r="J5" s="335" t="n"/>
      <c r="K5" s="335" t="n"/>
      <c r="L5" s="335" t="n"/>
      <c r="M5" s="335" t="n"/>
    </row>
    <row r="6" ht="9.75" customHeight="1" s="307"/>
    <row r="7" ht="19.5" customHeight="1" s="307">
      <c r="B7" s="334" t="inlineStr">
        <is>
          <t xml:space="preserve">  💰  REVENUE  (auto-pulled from Daily Log)</t>
        </is>
      </c>
      <c r="C7" s="335" t="n"/>
      <c r="D7" s="335" t="n"/>
      <c r="E7" s="335" t="n"/>
      <c r="F7" s="335" t="n"/>
      <c r="G7" s="335" t="n"/>
      <c r="H7" s="335" t="n"/>
      <c r="I7" s="335" t="n"/>
      <c r="J7" s="335" t="n"/>
      <c r="K7" s="335" t="n"/>
      <c r="L7" s="335" t="n"/>
      <c r="M7" s="335" t="n"/>
    </row>
    <row r="8" ht="6" customHeight="1" s="307"/>
    <row r="9" ht="18" customHeight="1" s="307">
      <c r="B9" s="322" t="inlineStr">
        <is>
          <t>TODAY'S REVENUE</t>
        </is>
      </c>
      <c r="C9" s="320" t="n"/>
      <c r="D9" s="322" t="inlineStr">
        <is>
          <t>WEEK REVENUE</t>
        </is>
      </c>
      <c r="E9" s="320" t="n"/>
      <c r="F9" s="322" t="inlineStr">
        <is>
          <t>MONTH REVENUE</t>
        </is>
      </c>
      <c r="G9" s="320" t="n"/>
      <c r="H9" s="322" t="inlineStr">
        <is>
          <t>TODAY'S EXPENSES</t>
        </is>
      </c>
      <c r="I9" s="320" t="n"/>
      <c r="J9" s="322" t="inlineStr">
        <is>
          <t>TODAY'S NET PROFIT</t>
        </is>
      </c>
      <c r="K9" s="320" t="n"/>
      <c r="L9" s="322" t="inlineStr">
        <is>
          <t>AVG TICKET</t>
        </is>
      </c>
      <c r="M9" s="320" t="n"/>
    </row>
    <row r="10" ht="19.5" customHeight="1" s="307">
      <c r="B10" s="355">
        <f>'📅 Daily Log'!F6</f>
        <v/>
      </c>
      <c r="C10" s="325" t="n"/>
      <c r="D10" s="324">
        <f>'📅 Daily Log'!N6</f>
        <v/>
      </c>
      <c r="E10" s="325" t="n"/>
      <c r="F10" s="351">
        <f>'📅 Daily Log'!O6</f>
        <v/>
      </c>
      <c r="G10" s="325" t="n"/>
      <c r="H10" s="329">
        <f>'📅 Daily Log'!H6</f>
        <v/>
      </c>
      <c r="I10" s="325" t="n"/>
      <c r="J10" s="355">
        <f>'📅 Daily Log'!I6</f>
        <v/>
      </c>
      <c r="K10" s="325" t="n"/>
      <c r="L10" s="374">
        <f>IFERROR('📅 Daily Log'!F6/'📅 Daily Log'!G6,0)</f>
        <v/>
      </c>
      <c r="M10" s="325" t="n"/>
    </row>
    <row r="11" ht="19.5" customHeight="1" s="307">
      <c r="B11" s="326" t="n"/>
      <c r="D11" s="326" t="n"/>
      <c r="F11" s="326" t="n"/>
      <c r="H11" s="326" t="n"/>
      <c r="J11" s="326" t="n"/>
      <c r="L11" s="326" t="n"/>
    </row>
    <row r="12" ht="19.5" customHeight="1" s="307">
      <c r="B12" s="326" t="n"/>
      <c r="D12" s="326" t="n"/>
      <c r="F12" s="326" t="n"/>
      <c r="H12" s="326" t="n"/>
      <c r="J12" s="326" t="n"/>
      <c r="L12" s="326" t="n"/>
    </row>
    <row r="13" ht="9.75" customHeight="1" s="307"/>
    <row r="14" ht="19.5" customHeight="1" s="307">
      <c r="B14" s="334" t="inlineStr">
        <is>
          <t xml:space="preserve">  📊  OPERATIONS</t>
        </is>
      </c>
      <c r="C14" s="335" t="n"/>
      <c r="D14" s="335" t="n"/>
      <c r="E14" s="335" t="n"/>
      <c r="F14" s="335" t="n"/>
      <c r="G14" s="335" t="n"/>
      <c r="H14" s="335" t="n"/>
      <c r="I14" s="335" t="n"/>
      <c r="J14" s="335" t="n"/>
      <c r="K14" s="335" t="n"/>
      <c r="L14" s="335" t="n"/>
      <c r="M14" s="335" t="n"/>
    </row>
    <row r="15" ht="6" customHeight="1" s="307"/>
    <row r="16" ht="18" customHeight="1" s="307">
      <c r="B16" s="322" t="inlineStr">
        <is>
          <t>TODAY'S ORDERS</t>
        </is>
      </c>
      <c r="C16" s="320" t="n"/>
      <c r="D16" s="322" t="inlineStr">
        <is>
          <t>WEEK ORDERS</t>
        </is>
      </c>
      <c r="E16" s="320" t="n"/>
      <c r="F16" s="322" t="inlineStr">
        <is>
          <t>PROFIT MARGIN %</t>
        </is>
      </c>
      <c r="G16" s="320" t="n"/>
      <c r="H16" s="322" t="inlineStr">
        <is>
          <t>LOW STOCK ITEMS</t>
        </is>
      </c>
      <c r="I16" s="320" t="n"/>
      <c r="J16" s="322" t="inlineStr">
        <is>
          <t>WEEK EXPENSES</t>
        </is>
      </c>
      <c r="K16" s="320" t="n"/>
      <c r="L16" s="322" t="inlineStr">
        <is>
          <t>PENDING ORDERS</t>
        </is>
      </c>
      <c r="M16" s="320" t="n"/>
    </row>
    <row r="17" ht="19.5" customHeight="1" s="307">
      <c r="B17" s="357">
        <f>'📅 Daily Log'!G6</f>
        <v/>
      </c>
      <c r="C17" s="325" t="n"/>
      <c r="D17" s="357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25" t="n"/>
      <c r="F17" s="363">
        <f>IFERROR('📅 Daily Log'!J6,0)</f>
        <v/>
      </c>
      <c r="G17" s="325" t="n"/>
      <c r="H17" s="364">
        <f>'📦 Inventory'!H5</f>
        <v/>
      </c>
      <c r="I17" s="325" t="n"/>
      <c r="J17" s="329">
        <f>'📅 Daily Log'!P6</f>
        <v/>
      </c>
      <c r="K17" s="325" t="n"/>
      <c r="L17" s="331">
        <f>'🚚 Suppliers'!H5</f>
        <v/>
      </c>
      <c r="M17" s="325" t="n"/>
    </row>
    <row r="18" ht="19.5" customHeight="1" s="307">
      <c r="B18" s="326" t="n"/>
      <c r="D18" s="326" t="n"/>
      <c r="F18" s="326" t="n"/>
      <c r="H18" s="326" t="n"/>
      <c r="J18" s="326" t="n"/>
      <c r="L18" s="326" t="n"/>
    </row>
    <row r="19" ht="19.5" customHeight="1" s="307">
      <c r="B19" s="326" t="n"/>
      <c r="D19" s="326" t="n"/>
      <c r="F19" s="326" t="n"/>
      <c r="H19" s="326" t="n"/>
      <c r="J19" s="326" t="n"/>
      <c r="L19" s="326" t="n"/>
    </row>
    <row r="20" ht="9.75" customHeight="1" s="307"/>
    <row r="21" ht="19.5" customHeight="1" s="307">
      <c r="B21" s="334" t="inlineStr">
        <is>
          <t xml:space="preserve">  📅  LAST 10 DAYS  (from Daily Log — updates automatically)</t>
        </is>
      </c>
      <c r="C21" s="335" t="n"/>
      <c r="D21" s="335" t="n"/>
      <c r="E21" s="335" t="n"/>
      <c r="F21" s="335" t="n"/>
      <c r="G21" s="335" t="n"/>
      <c r="H21" s="335" t="n"/>
      <c r="I21" s="335" t="n"/>
      <c r="J21" s="335" t="n"/>
      <c r="K21" s="335" t="n"/>
      <c r="L21" s="335" t="n"/>
      <c r="M21" s="335" t="n"/>
    </row>
    <row r="22" ht="27.75" customHeight="1" s="307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2" t="inlineStr">
        <is>
          <t>vs Prev Day</t>
        </is>
      </c>
      <c r="L22" s="320" t="n"/>
      <c r="M22" s="316" t="n"/>
    </row>
    <row r="23" ht="16.5" customHeight="1" s="307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37" t="inlineStr">
        <is>
          <t>—</t>
        </is>
      </c>
      <c r="L23" s="320" t="n"/>
      <c r="M23" s="316" t="n"/>
    </row>
    <row r="24" ht="16.5" customHeight="1" s="307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19">
        <f>IFERROR(IF(D24&gt;D23,"▲ +"&amp;TEXT(D24-D23,"$#,##0"),IF(D24&lt;D23,"▼ "&amp;TEXT(D24-D23,"$#,##0"),"— same")),"")</f>
        <v/>
      </c>
      <c r="L24" s="320" t="n"/>
      <c r="M24" s="316" t="n"/>
    </row>
    <row r="25" ht="16.5" customHeight="1" s="307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37">
        <f>IFERROR(IF(D25&gt;D24,"▲ +"&amp;TEXT(D25-D24,"$#,##0"),IF(D25&lt;D24,"▼ "&amp;TEXT(D25-D24,"$#,##0"),"— same")),"")</f>
        <v/>
      </c>
      <c r="L25" s="320" t="n"/>
      <c r="M25" s="316" t="n"/>
    </row>
    <row r="26" ht="16.5" customHeight="1" s="307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19">
        <f>IFERROR(IF(D26&gt;D25,"▲ +"&amp;TEXT(D26-D25,"$#,##0"),IF(D26&lt;D25,"▼ "&amp;TEXT(D26-D25,"$#,##0"),"— same")),"")</f>
        <v/>
      </c>
      <c r="L26" s="320" t="n"/>
      <c r="M26" s="316" t="n"/>
    </row>
    <row r="27" ht="16.5" customHeight="1" s="307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37">
        <f>IFERROR(IF(D27&gt;D26,"▲ +"&amp;TEXT(D27-D26,"$#,##0"),IF(D27&lt;D26,"▼ "&amp;TEXT(D27-D26,"$#,##0"),"— same")),"")</f>
        <v/>
      </c>
      <c r="L27" s="320" t="n"/>
      <c r="M27" s="316" t="n"/>
    </row>
    <row r="28" ht="16.5" customHeight="1" s="307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19">
        <f>IFERROR(IF(D28&gt;D27,"▲ +"&amp;TEXT(D28-D27,"$#,##0"),IF(D28&lt;D27,"▼ "&amp;TEXT(D28-D27,"$#,##0"),"— same")),"")</f>
        <v/>
      </c>
      <c r="L28" s="320" t="n"/>
      <c r="M28" s="316" t="n"/>
    </row>
    <row r="29" ht="16.5" customHeight="1" s="307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37">
        <f>IFERROR(IF(D29&gt;D28,"▲ +"&amp;TEXT(D29-D28,"$#,##0"),IF(D29&lt;D28,"▼ "&amp;TEXT(D29-D28,"$#,##0"),"— same")),"")</f>
        <v/>
      </c>
      <c r="L29" s="320" t="n"/>
      <c r="M29" s="316" t="n"/>
    </row>
    <row r="30" ht="16.5" customHeight="1" s="307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19">
        <f>IFERROR(IF(D30&gt;D29,"▲ +"&amp;TEXT(D30-D29,"$#,##0"),IF(D30&lt;D29,"▼ "&amp;TEXT(D30-D29,"$#,##0"),"— same")),"")</f>
        <v/>
      </c>
      <c r="L30" s="320" t="n"/>
      <c r="M30" s="316" t="n"/>
    </row>
    <row r="31" ht="16.5" customHeight="1" s="307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37">
        <f>IFERROR(IF(D31&gt;D30,"▲ +"&amp;TEXT(D31-D30,"$#,##0"),IF(D31&lt;D30,"▼ "&amp;TEXT(D31-D30,"$#,##0"),"— same")),"")</f>
        <v/>
      </c>
      <c r="L31" s="320" t="n"/>
      <c r="M31" s="316" t="n"/>
    </row>
    <row r="32" ht="16.5" customHeight="1" s="307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19">
        <f>IFERROR(IF(D32&gt;D31,"▲ +"&amp;TEXT(D32-D31,"$#,##0"),IF(D32&lt;D31,"▼ "&amp;TEXT(D32-D31,"$#,##0"),"— same")),"")</f>
        <v/>
      </c>
      <c r="L32" s="320" t="n"/>
      <c r="M32" s="316" t="n"/>
    </row>
    <row r="33" ht="9.75" customHeight="1" s="307"/>
    <row r="34" ht="19.5" customHeight="1" s="307">
      <c r="B34" s="334" t="inlineStr">
        <is>
          <t xml:space="preserve">  ⚠️  INVENTORY ALERTS  (from Inventory sheet)</t>
        </is>
      </c>
      <c r="C34" s="335" t="n"/>
      <c r="D34" s="335" t="n"/>
      <c r="E34" s="335" t="n"/>
      <c r="F34" s="335" t="n"/>
      <c r="G34" s="335" t="n"/>
      <c r="H34" s="335" t="n"/>
      <c r="I34" s="335" t="n"/>
      <c r="J34" s="335" t="n"/>
      <c r="K34" s="335" t="n"/>
      <c r="L34" s="335" t="n"/>
      <c r="M34" s="335" t="n"/>
    </row>
    <row r="35" ht="27.75" customHeight="1" s="307">
      <c r="B35" s="315" t="inlineStr">
        <is>
          <t>Ingredient</t>
        </is>
      </c>
      <c r="C35" s="320" t="n"/>
      <c r="D35" s="316" t="n"/>
      <c r="E35" s="6" t="n"/>
      <c r="F35" s="315" t="inlineStr">
        <is>
          <t>Min Level</t>
        </is>
      </c>
      <c r="G35" s="316" t="n"/>
      <c r="H35" s="315" t="inlineStr">
        <is>
          <t>Status</t>
        </is>
      </c>
      <c r="I35" s="316" t="n"/>
      <c r="J35" s="315" t="inlineStr">
        <is>
          <t>Action Needed</t>
        </is>
      </c>
      <c r="K35" s="320" t="n"/>
      <c r="L35" s="320" t="n"/>
      <c r="M35" s="316" t="n"/>
    </row>
    <row r="36" ht="16.5" customHeight="1" s="307">
      <c r="B36" s="360">
        <f>'📦 Inventory'!B9</f>
        <v/>
      </c>
      <c r="C36" s="320" t="n"/>
      <c r="D36" s="320" t="n"/>
      <c r="E36" s="345">
        <f>'📦 Inventory'!E9</f>
        <v/>
      </c>
      <c r="F36" s="320" t="n"/>
      <c r="G36" s="354">
        <f>'📦 Inventory'!F9</f>
        <v/>
      </c>
      <c r="H36" s="320" t="n"/>
      <c r="I36" s="327">
        <f>'📦 Inventory'!J9</f>
        <v/>
      </c>
      <c r="J36" s="320" t="n"/>
      <c r="K36" s="327">
        <f>IF('📦 Inventory'!E9=0,"🚫 Order immediately",IF('📦 Inventory'!E9&lt;='📦 Inventory'!F9,"⚠️ Reorder soon","✅ OK"))</f>
        <v/>
      </c>
      <c r="L36" s="320" t="n"/>
      <c r="M36" s="320" t="n"/>
    </row>
    <row r="37" ht="16.5" customHeight="1" s="307">
      <c r="B37" s="336">
        <f>'📦 Inventory'!B10</f>
        <v/>
      </c>
      <c r="C37" s="320" t="n"/>
      <c r="D37" s="320" t="n"/>
      <c r="E37" s="370">
        <f>'📦 Inventory'!E10</f>
        <v/>
      </c>
      <c r="F37" s="320" t="n"/>
      <c r="G37" s="371">
        <f>'📦 Inventory'!F10</f>
        <v/>
      </c>
      <c r="H37" s="320" t="n"/>
      <c r="I37" s="372">
        <f>'📦 Inventory'!J10</f>
        <v/>
      </c>
      <c r="J37" s="320" t="n"/>
      <c r="K37" s="372">
        <f>IF('📦 Inventory'!E10=0,"🚫 Order immediately",IF('📦 Inventory'!E10&lt;='📦 Inventory'!F10,"⚠️ Reorder soon","✅ OK"))</f>
        <v/>
      </c>
      <c r="L37" s="320" t="n"/>
      <c r="M37" s="320" t="n"/>
    </row>
    <row r="38" ht="16.5" customHeight="1" s="307">
      <c r="B38" s="360">
        <f>'📦 Inventory'!B11</f>
        <v/>
      </c>
      <c r="C38" s="320" t="n"/>
      <c r="D38" s="320" t="n"/>
      <c r="E38" s="345">
        <f>'📦 Inventory'!E11</f>
        <v/>
      </c>
      <c r="F38" s="320" t="n"/>
      <c r="G38" s="354">
        <f>'📦 Inventory'!F11</f>
        <v/>
      </c>
      <c r="H38" s="320" t="n"/>
      <c r="I38" s="327">
        <f>'📦 Inventory'!J11</f>
        <v/>
      </c>
      <c r="J38" s="320" t="n"/>
      <c r="K38" s="327">
        <f>IF('📦 Inventory'!E11=0,"🚫 Order immediately",IF('📦 Inventory'!E11&lt;='📦 Inventory'!F11,"⚠️ Reorder soon","✅ OK"))</f>
        <v/>
      </c>
      <c r="L38" s="320" t="n"/>
      <c r="M38" s="320" t="n"/>
    </row>
    <row r="39" ht="16.5" customHeight="1" s="307">
      <c r="B39" s="336">
        <f>'📦 Inventory'!B12</f>
        <v/>
      </c>
      <c r="C39" s="320" t="n"/>
      <c r="D39" s="320" t="n"/>
      <c r="E39" s="370">
        <f>'📦 Inventory'!E12</f>
        <v/>
      </c>
      <c r="F39" s="320" t="n"/>
      <c r="G39" s="371">
        <f>'📦 Inventory'!F12</f>
        <v/>
      </c>
      <c r="H39" s="320" t="n"/>
      <c r="I39" s="372">
        <f>'📦 Inventory'!J12</f>
        <v/>
      </c>
      <c r="J39" s="320" t="n"/>
      <c r="K39" s="372">
        <f>IF('📦 Inventory'!E12=0,"🚫 Order immediately",IF('📦 Inventory'!E12&lt;='📦 Inventory'!F12,"⚠️ Reorder soon","✅ OK"))</f>
        <v/>
      </c>
      <c r="L39" s="320" t="n"/>
      <c r="M39" s="320" t="n"/>
    </row>
    <row r="40" ht="16.5" customHeight="1" s="307">
      <c r="B40" s="360">
        <f>'📦 Inventory'!B13</f>
        <v/>
      </c>
      <c r="C40" s="320" t="n"/>
      <c r="D40" s="320" t="n"/>
      <c r="E40" s="345">
        <f>'📦 Inventory'!E13</f>
        <v/>
      </c>
      <c r="F40" s="320" t="n"/>
      <c r="G40" s="354">
        <f>'📦 Inventory'!F13</f>
        <v/>
      </c>
      <c r="H40" s="320" t="n"/>
      <c r="I40" s="327">
        <f>'📦 Inventory'!J13</f>
        <v/>
      </c>
      <c r="J40" s="320" t="n"/>
      <c r="K40" s="327">
        <f>IF('📦 Inventory'!E13=0,"🚫 Order immediately",IF('📦 Inventory'!E13&lt;='📦 Inventory'!F13,"⚠️ Reorder soon","✅ OK"))</f>
        <v/>
      </c>
      <c r="L40" s="320" t="n"/>
      <c r="M40" s="320" t="n"/>
    </row>
    <row r="41" ht="7.5" customHeight="1" s="307"/>
    <row r="42" ht="30" customHeight="1" s="307">
      <c r="B42" s="398" t="inlineStr">
        <is>
          <t>💼  CAPITAL &amp; ACQUISITION STATUS  —  live from Capital &amp; Ownership sheet</t>
        </is>
      </c>
    </row>
    <row r="43" ht="6" customHeight="1" s="307"/>
    <row r="44" ht="16.05" customHeight="1" s="307">
      <c r="B44" s="373" t="inlineStr">
        <is>
          <t>TOTAL BUDGET</t>
        </is>
      </c>
      <c r="C44" s="314" t="n"/>
      <c r="D44" s="383" t="inlineStr">
        <is>
          <t>TOTAL CASH OUT</t>
        </is>
      </c>
      <c r="E44" s="314" t="n"/>
      <c r="F44" s="384" t="inlineStr">
        <is>
          <t>REMAINING BUDGET</t>
        </is>
      </c>
      <c r="G44" s="314" t="n"/>
      <c r="H44" s="380" t="inlineStr">
        <is>
          <t>ACQUISITION PRICE</t>
        </is>
      </c>
      <c r="I44" s="314" t="n"/>
      <c r="J44" s="377" t="inlineStr">
        <is>
          <t>ADVANCE PAID</t>
        </is>
      </c>
      <c r="K44" s="314" t="n"/>
      <c r="L44" s="365" t="inlineStr">
        <is>
          <t>BALANCE PENDING</t>
        </is>
      </c>
      <c r="M44" s="314" t="n"/>
    </row>
    <row r="45" ht="22.05" customHeight="1" s="307">
      <c r="B45" s="375">
        <f>'Capital &amp; Ownership'!C75</f>
        <v/>
      </c>
      <c r="C45" s="314" t="n"/>
      <c r="D45" s="333">
        <f>'Capital &amp; Ownership'!C86</f>
        <v/>
      </c>
      <c r="E45" s="314" t="n"/>
      <c r="F45" s="356">
        <f>'Capital &amp; Ownership'!C87</f>
        <v/>
      </c>
      <c r="G45" s="314" t="n"/>
      <c r="H45" s="343">
        <f>'Capital &amp; Ownership'!C76</f>
        <v/>
      </c>
      <c r="I45" s="314" t="n"/>
      <c r="J45" s="339">
        <f>'Capital &amp; Ownership'!C77</f>
        <v/>
      </c>
      <c r="K45" s="314" t="n"/>
      <c r="L45" s="340">
        <f>'Capital &amp; Ownership'!C78</f>
        <v/>
      </c>
      <c r="M45" s="314" t="n"/>
    </row>
    <row r="46" ht="16.05" customHeight="1" s="307">
      <c r="B46" s="378" t="inlineStr">
        <is>
          <t>All 3 partners</t>
        </is>
      </c>
      <c r="C46" s="314" t="n"/>
      <c r="D46" s="379" t="inlineStr">
        <is>
          <t>Excl. internal transfers</t>
        </is>
      </c>
      <c r="E46" s="314" t="n"/>
      <c r="F46" s="362" t="inlineStr">
        <is>
          <t>Available for operations</t>
        </is>
      </c>
      <c r="G46" s="314" t="n"/>
      <c r="H46" s="381" t="inlineStr">
        <is>
          <t>To previous owners</t>
        </is>
      </c>
      <c r="I46" s="314" t="n"/>
      <c r="J46" s="366" t="inlineStr">
        <is>
          <t>✅ Paid by Lohith</t>
        </is>
      </c>
      <c r="K46" s="314" t="n"/>
      <c r="L46" s="367" t="inlineStr">
        <is>
          <t>⏳ Outstanding</t>
        </is>
      </c>
      <c r="M46" s="314" t="n"/>
    </row>
    <row r="47" ht="7.95" customHeight="1" s="307"/>
    <row r="48" ht="22.05" customHeight="1" s="307">
      <c r="B48" s="399" t="inlineStr">
        <is>
          <t xml:space="preserve">  👥  OWNER CAPITAL SUMMARY</t>
        </is>
      </c>
    </row>
    <row r="49" ht="19.95" customHeight="1" s="307">
      <c r="B49" s="347" t="inlineStr">
        <is>
          <t>OWNER</t>
        </is>
      </c>
      <c r="C49" s="314" t="n"/>
      <c r="D49" s="347" t="inlineStr">
        <is>
          <t>SHARE %</t>
        </is>
      </c>
      <c r="E49" s="314" t="n"/>
      <c r="F49" s="347" t="inlineStr">
        <is>
          <t>CAPITAL ($)</t>
        </is>
      </c>
      <c r="G49" s="347" t="inlineStr">
        <is>
          <t>ROLE</t>
        </is>
      </c>
      <c r="H49" s="347" t="inlineStr">
        <is>
          <t>EXPENSES ($)</t>
        </is>
      </c>
      <c r="I49" s="314" t="n"/>
      <c r="J49" s="347" t="inlineStr">
        <is>
          <t>REMAINING ($)</t>
        </is>
      </c>
      <c r="K49" s="314" t="n"/>
      <c r="L49" s="347" t="inlineStr">
        <is>
          <t>% SPENT</t>
        </is>
      </c>
      <c r="M49" s="314" t="n"/>
    </row>
    <row r="50" ht="19.95" customHeight="1" s="307">
      <c r="B50" s="346">
        <f>'Capital &amp; Ownership'!B6</f>
        <v/>
      </c>
      <c r="C50" s="314" t="n"/>
      <c r="D50" s="332">
        <f>'Capital &amp; Ownership'!C6</f>
        <v/>
      </c>
      <c r="E50" s="314" t="n"/>
      <c r="F50" s="341">
        <f>'Capital &amp; Ownership'!D6</f>
        <v/>
      </c>
      <c r="G50" s="323" t="inlineStr">
        <is>
          <t>50% — Managing Partner</t>
        </is>
      </c>
      <c r="H50" s="341">
        <f>'Capital &amp; Ownership'!E6</f>
        <v/>
      </c>
      <c r="I50" s="314" t="n"/>
      <c r="J50" s="341">
        <f>'Capital &amp; Ownership'!F6</f>
        <v/>
      </c>
      <c r="K50" s="314" t="n"/>
      <c r="L50" s="332">
        <f>IFERROR('Capital &amp; Ownership'!E6/'Capital &amp; Ownership'!D6,0)</f>
        <v/>
      </c>
      <c r="M50" s="314" t="n"/>
    </row>
    <row r="51" ht="19.95" customHeight="1" s="307">
      <c r="B51" s="348">
        <f>'Capital &amp; Ownership'!B7</f>
        <v/>
      </c>
      <c r="C51" s="314" t="n"/>
      <c r="D51" s="350">
        <f>'Capital &amp; Ownership'!C7</f>
        <v/>
      </c>
      <c r="E51" s="314" t="n"/>
      <c r="F51" s="368">
        <f>'Capital &amp; Ownership'!D7</f>
        <v/>
      </c>
      <c r="G51" s="26" t="inlineStr">
        <is>
          <t>30% — Partner</t>
        </is>
      </c>
      <c r="H51" s="368">
        <f>'Capital &amp; Ownership'!E7</f>
        <v/>
      </c>
      <c r="I51" s="314" t="n"/>
      <c r="J51" s="368">
        <f>'Capital &amp; Ownership'!F7</f>
        <v/>
      </c>
      <c r="K51" s="314" t="n"/>
      <c r="L51" s="350">
        <f>IFERROR('Capital &amp; Ownership'!E7/'Capital &amp; Ownership'!D7,0)</f>
        <v/>
      </c>
      <c r="M51" s="314" t="n"/>
    </row>
    <row r="52" ht="19.95" customHeight="1" s="307">
      <c r="B52" s="346">
        <f>'Capital &amp; Ownership'!B8</f>
        <v/>
      </c>
      <c r="C52" s="314" t="n"/>
      <c r="D52" s="332">
        <f>'Capital &amp; Ownership'!C8</f>
        <v/>
      </c>
      <c r="E52" s="314" t="n"/>
      <c r="F52" s="341">
        <f>'Capital &amp; Ownership'!D8</f>
        <v/>
      </c>
      <c r="G52" s="323" t="inlineStr">
        <is>
          <t>20% — Partner</t>
        </is>
      </c>
      <c r="H52" s="341">
        <f>'Capital &amp; Ownership'!E8</f>
        <v/>
      </c>
      <c r="I52" s="314" t="n"/>
      <c r="J52" s="341">
        <f>'Capital &amp; Ownership'!F8</f>
        <v/>
      </c>
      <c r="K52" s="314" t="n"/>
      <c r="L52" s="332">
        <f>IFERROR('Capital &amp; Ownership'!E8/'Capital &amp; Ownership'!D8,0)</f>
        <v/>
      </c>
      <c r="M52" s="314" t="n"/>
    </row>
    <row r="53" ht="22.05" customHeight="1" s="307">
      <c r="B53" s="358" t="inlineStr">
        <is>
          <t>TOTAL</t>
        </is>
      </c>
      <c r="C53" s="314" t="n"/>
      <c r="D53" s="330">
        <f>'Capital &amp; Ownership'!C9</f>
        <v/>
      </c>
      <c r="E53" s="314" t="n"/>
      <c r="F53" s="313">
        <f>'Capital &amp; Ownership'!D9</f>
        <v/>
      </c>
      <c r="G53" s="347" t="n"/>
      <c r="H53" s="313">
        <f>'Capital &amp; Ownership'!E9</f>
        <v/>
      </c>
      <c r="I53" s="314" t="n"/>
      <c r="J53" s="313">
        <f>'Capital &amp; Ownership'!F9</f>
        <v/>
      </c>
      <c r="K53" s="314" t="n"/>
      <c r="L53" s="330">
        <f>IFERROR('Capital &amp; Ownership'!E9/'Capital &amp; Ownership'!D9,0)</f>
        <v/>
      </c>
      <c r="M53" s="314" t="n"/>
    </row>
    <row r="54" ht="7.95" customHeight="1" s="307"/>
    <row r="55" ht="22.05" customHeight="1" s="307">
      <c r="B55" s="399" t="inlineStr">
        <is>
          <t xml:space="preserve">  🧾  PRE-OPENING EXPENSES BREAKDOWN</t>
        </is>
      </c>
    </row>
    <row r="56" ht="19.95" customHeight="1" s="307">
      <c r="B56" s="347" t="inlineStr">
        <is>
          <t>EXPENSE ITEM</t>
        </is>
      </c>
      <c r="C56" s="318" t="n"/>
      <c r="D56" s="314" t="n"/>
      <c r="E56" s="347" t="inlineStr">
        <is>
          <t>PAID BY</t>
        </is>
      </c>
      <c r="F56" s="314" t="n"/>
      <c r="G56" s="347" t="inlineStr">
        <is>
          <t>AMOUNT ($)</t>
        </is>
      </c>
      <c r="H56" s="314" t="n"/>
      <c r="I56" s="347" t="inlineStr">
        <is>
          <t>CATEGORY</t>
        </is>
      </c>
      <c r="J56" s="314" t="n"/>
      <c r="K56" s="347" t="inlineStr">
        <is>
          <t>STATUS</t>
        </is>
      </c>
      <c r="L56" s="314" t="n"/>
    </row>
    <row r="57" ht="19.95" customHeight="1" s="307">
      <c r="B57" s="328">
        <f>'Capital &amp; Ownership'!B13</f>
        <v/>
      </c>
      <c r="C57" s="318" t="n"/>
      <c r="D57" s="314" t="n"/>
      <c r="E57" s="353" t="inlineStr">
        <is>
          <t>All Partners</t>
        </is>
      </c>
      <c r="F57" s="314" t="n"/>
      <c r="G57" s="338">
        <f>'Capital &amp; Ownership'!D13</f>
        <v/>
      </c>
      <c r="H57" s="314" t="n"/>
      <c r="I57" s="353" t="inlineStr">
        <is>
          <t>Acquisition</t>
        </is>
      </c>
      <c r="J57" s="314" t="n"/>
      <c r="K57" s="353" t="inlineStr">
        <is>
          <t>⚠️ Not Fully Paid</t>
        </is>
      </c>
      <c r="L57" s="314" t="n"/>
    </row>
    <row r="58" ht="19.95" customHeight="1" s="307">
      <c r="B58" s="317">
        <f>'Capital &amp; Ownership'!B14</f>
        <v/>
      </c>
      <c r="C58" s="318" t="n"/>
      <c r="D58" s="314" t="n"/>
      <c r="E58" s="342" t="inlineStr">
        <is>
          <t>Lohith Reddy</t>
        </is>
      </c>
      <c r="F58" s="314" t="n"/>
      <c r="G58" s="344">
        <f>'Capital &amp; Ownership'!D14</f>
        <v/>
      </c>
      <c r="H58" s="314" t="n"/>
      <c r="I58" s="342" t="inlineStr">
        <is>
          <t>Acquisition Advance</t>
        </is>
      </c>
      <c r="J58" s="314" t="n"/>
      <c r="K58" s="342" t="inlineStr">
        <is>
          <t>✅ Paid</t>
        </is>
      </c>
      <c r="L58" s="314" t="n"/>
    </row>
    <row r="59" ht="19.95" customHeight="1" s="307">
      <c r="B59" s="317">
        <f>'Capital &amp; Ownership'!B35</f>
        <v/>
      </c>
      <c r="C59" s="318" t="n"/>
      <c r="D59" s="314" t="n"/>
      <c r="E59" s="342" t="inlineStr">
        <is>
          <t>Kashigoud Patil</t>
        </is>
      </c>
      <c r="F59" s="314" t="n"/>
      <c r="G59" s="344">
        <f>'Capital &amp; Ownership'!D35</f>
        <v/>
      </c>
      <c r="H59" s="314" t="n"/>
      <c r="I59" s="342" t="inlineStr">
        <is>
          <t>Software / License</t>
        </is>
      </c>
      <c r="J59" s="314" t="n"/>
      <c r="K59" s="342" t="inlineStr">
        <is>
          <t>✅ Paid</t>
        </is>
      </c>
      <c r="L59" s="314" t="n"/>
    </row>
    <row r="60" ht="19.95" customHeight="1" s="307">
      <c r="B60" s="317">
        <f>'Capital &amp; Ownership'!B36</f>
        <v/>
      </c>
      <c r="C60" s="318" t="n"/>
      <c r="D60" s="314" t="n"/>
      <c r="E60" s="342" t="inlineStr">
        <is>
          <t>Kashigoud Patil</t>
        </is>
      </c>
      <c r="F60" s="314" t="n"/>
      <c r="G60" s="344">
        <f>'Capital &amp; Ownership'!D36</f>
        <v/>
      </c>
      <c r="H60" s="314" t="n"/>
      <c r="I60" s="342" t="inlineStr">
        <is>
          <t>Equipment</t>
        </is>
      </c>
      <c r="J60" s="314" t="n"/>
      <c r="K60" s="342" t="inlineStr">
        <is>
          <t>✅ Paid</t>
        </is>
      </c>
      <c r="L60" s="314" t="n"/>
    </row>
    <row r="61" ht="19.95" customHeight="1" s="307">
      <c r="B61" s="346">
        <f>'Capital &amp; Ownership'!B47</f>
        <v/>
      </c>
      <c r="C61" s="318" t="n"/>
      <c r="D61" s="314" t="n"/>
      <c r="E61" s="323" t="inlineStr">
        <is>
          <t>Lohith Reddy</t>
        </is>
      </c>
      <c r="F61" s="314" t="n"/>
      <c r="G61" s="341">
        <f>'Capital &amp; Ownership'!D47</f>
        <v/>
      </c>
      <c r="H61" s="314" t="n"/>
      <c r="I61" s="323" t="inlineStr">
        <is>
          <t>Legal / Notary</t>
        </is>
      </c>
      <c r="J61" s="314" t="n"/>
      <c r="K61" s="323" t="inlineStr">
        <is>
          <t>✅ Paid</t>
        </is>
      </c>
      <c r="L61" s="314" t="n"/>
    </row>
    <row r="62" ht="19.95" customHeight="1" s="307">
      <c r="B62" s="346">
        <f>'Capital &amp; Ownership'!B50</f>
        <v/>
      </c>
      <c r="C62" s="318" t="n"/>
      <c r="D62" s="314" t="n"/>
      <c r="E62" s="323" t="inlineStr">
        <is>
          <t>Lohith Reddy</t>
        </is>
      </c>
      <c r="F62" s="314" t="n"/>
      <c r="G62" s="341">
        <f>'Capital &amp; Ownership'!D50</f>
        <v/>
      </c>
      <c r="H62" s="314" t="n"/>
      <c r="I62" s="323" t="inlineStr">
        <is>
          <t>Legal / Insurance</t>
        </is>
      </c>
      <c r="J62" s="314" t="n"/>
      <c r="K62" s="323" t="inlineStr">
        <is>
          <t>✅ Paid</t>
        </is>
      </c>
      <c r="L62" s="314" t="n"/>
    </row>
    <row r="63" ht="19.95" customHeight="1" s="307">
      <c r="B63" s="346">
        <f>'Capital &amp; Ownership'!B51</f>
        <v/>
      </c>
      <c r="C63" s="318" t="n"/>
      <c r="D63" s="314" t="n"/>
      <c r="E63" s="323" t="inlineStr">
        <is>
          <t>Lohith Reddy</t>
        </is>
      </c>
      <c r="F63" s="314" t="n"/>
      <c r="G63" s="341">
        <f>'Capital &amp; Ownership'!D51</f>
        <v/>
      </c>
      <c r="H63" s="314" t="n"/>
      <c r="I63" s="323" t="inlineStr">
        <is>
          <t>Professional Services</t>
        </is>
      </c>
      <c r="J63" s="314" t="n"/>
      <c r="K63" s="323" t="inlineStr">
        <is>
          <t>✅ Paid</t>
        </is>
      </c>
      <c r="L63" s="314" t="n"/>
    </row>
    <row r="64" ht="19.95" customHeight="1" s="307">
      <c r="B64" s="382" t="inlineStr">
        <is>
          <t xml:space="preserve">  ℹ️  Internal transfers:  Kashigoud → Lohith  $125,000  |  Shashirekha → Lohith  $100,000  (not counted as expenses — capital reallocation only)</t>
        </is>
      </c>
      <c r="C64" s="318" t="n"/>
      <c r="D64" s="318" t="n"/>
      <c r="E64" s="318" t="n"/>
      <c r="F64" s="318" t="n"/>
      <c r="G64" s="318" t="n"/>
      <c r="H64" s="318" t="n"/>
      <c r="I64" s="318" t="n"/>
      <c r="J64" s="318" t="n"/>
      <c r="K64" s="318" t="n"/>
      <c r="L64" s="318" t="n"/>
      <c r="M64" s="314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X372"/>
  <sheetViews>
    <sheetView showGridLines="0" tabSelected="1" topLeftCell="K1" zoomScaleNormal="100" workbookViewId="0">
      <pane ySplit="7" topLeftCell="A53" activePane="bottomLeft" state="frozen"/>
      <selection pane="bottomLeft" activeCell="T65" sqref="T65"/>
    </sheetView>
  </sheetViews>
  <sheetFormatPr baseColWidth="8" defaultColWidth="8.6640625" defaultRowHeight="14.4" customHeight="1"/>
  <cols>
    <col width="4" customWidth="1" style="307" min="1" max="1"/>
    <col width="18" customWidth="1" style="307" min="2" max="2"/>
    <col width="16" customWidth="1" style="307" min="3" max="5"/>
    <col width="12" customWidth="1" style="307" min="6" max="6"/>
    <col width="14" customWidth="1" style="307" min="7" max="7"/>
    <col width="16" customWidth="1" style="307" min="8" max="9"/>
    <col width="12" customWidth="1" style="307" min="10" max="10"/>
    <col width="30" customWidth="1" style="307" min="11" max="11"/>
    <col width="16" customWidth="1" style="307" min="12" max="17"/>
    <col width="14.33203125" bestFit="1" customWidth="1" style="307" min="21" max="21"/>
  </cols>
  <sheetData>
    <row r="1" ht="4.5" customHeight="1" s="307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07">
      <c r="A2" s="395" t="inlineStr">
        <is>
          <t>📅  LOKA — DAILY LOG</t>
        </is>
      </c>
      <c r="I2" s="396" t="inlineStr">
        <is>
          <t>Enter 2 values from Soft App each day → everything else calculates</t>
        </is>
      </c>
    </row>
    <row r="3" ht="3.75" customHeight="1" s="307">
      <c r="A3" s="397" t="n"/>
    </row>
    <row r="4" ht="7.5" customHeight="1" s="307"/>
    <row r="5" ht="49.5" customHeight="1" s="307">
      <c r="B5" s="361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35" t="n"/>
      <c r="D5" s="335" t="n"/>
      <c r="E5" s="335" t="n"/>
      <c r="F5" s="335" t="n"/>
      <c r="G5" s="335" t="n"/>
      <c r="H5" s="335" t="n"/>
      <c r="I5" s="335" t="n"/>
      <c r="J5" s="335" t="n"/>
      <c r="K5" s="335" t="n"/>
      <c r="L5" s="335" t="n"/>
      <c r="M5" s="335" t="n"/>
      <c r="N5" s="335" t="n"/>
      <c r="O5" s="335" t="n"/>
      <c r="P5" s="335" t="n"/>
    </row>
    <row r="6" ht="7.5" customHeight="1" s="307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07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293" t="inlineStr">
        <is>
          <t>MP Comm $</t>
        </is>
      </c>
      <c r="S7" s="294" t="inlineStr">
        <is>
          <t>MP Rate</t>
        </is>
      </c>
      <c r="T7" s="295" t="n">
        <v>0.0406</v>
      </c>
      <c r="U7" s="293" t="inlineStr">
        <is>
          <t>Soft Rest Card $</t>
        </is>
      </c>
      <c r="V7" s="293" t="inlineStr">
        <is>
          <t>Soft Comm $</t>
        </is>
      </c>
      <c r="W7" s="294" t="inlineStr">
        <is>
          <t>Soft Rate</t>
        </is>
      </c>
      <c r="X7" s="295" t="n">
        <v>0.0205</v>
      </c>
    </row>
    <row r="8" ht="16.5" customHeight="1" s="307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296">
        <f>IFERROR(D8*$T$7,0)</f>
        <v/>
      </c>
    </row>
    <row r="9" ht="16.5" customHeight="1" s="307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296">
        <f>IFERROR(D9*$T$7,0)</f>
        <v/>
      </c>
    </row>
    <row r="10" ht="16.5" customHeight="1" s="307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296">
        <f>IFERROR(D10*$T$7,0)</f>
        <v/>
      </c>
    </row>
    <row r="11" ht="16.5" customHeight="1" s="307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296">
        <f>IFERROR(D11*$T$7,0)</f>
        <v/>
      </c>
    </row>
    <row r="12" ht="16.5" customHeight="1" s="307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296">
        <f>IFERROR(D12*$T$7,0)</f>
        <v/>
      </c>
    </row>
    <row r="13" ht="16.5" customHeight="1" s="307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296">
        <f>IFERROR(D13*$T$7,0)</f>
        <v/>
      </c>
    </row>
    <row r="14" ht="16.5" customHeight="1" s="307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296">
        <f>IFERROR(D14*$T$7,0)</f>
        <v/>
      </c>
    </row>
    <row r="15" ht="16.5" customHeight="1" s="307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296">
        <f>IFERROR(D15*$T$7,0)</f>
        <v/>
      </c>
    </row>
    <row r="16" ht="16.5" customHeight="1" s="307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296">
        <f>IFERROR(D16*$T$7,0)</f>
        <v/>
      </c>
    </row>
    <row r="17" ht="16.5" customHeight="1" s="307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296">
        <f>IFERROR(D17*$T$7,0)</f>
        <v/>
      </c>
    </row>
    <row r="18" ht="16.5" customHeight="1" s="307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296">
        <f>IFERROR(D18*$T$7,0)</f>
        <v/>
      </c>
    </row>
    <row r="19" ht="16.5" customHeight="1" s="307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296">
        <f>IFERROR(D19*$T$7,0)</f>
        <v/>
      </c>
    </row>
    <row r="20" ht="16.5" customHeight="1" s="307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296">
        <f>IFERROR(D20*$T$7,0)</f>
        <v/>
      </c>
    </row>
    <row r="21" ht="16.5" customHeight="1" s="307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296">
        <f>IFERROR(D21*$T$7,0)</f>
        <v/>
      </c>
    </row>
    <row r="22" ht="16.5" customHeight="1" s="307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296">
        <f>IFERROR(D22*$T$7,0)</f>
        <v/>
      </c>
    </row>
    <row r="23" ht="16.5" customHeight="1" s="307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296">
        <f>IFERROR(D23*$T$7,0)</f>
        <v/>
      </c>
    </row>
    <row r="24" ht="16.5" customHeight="1" s="307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296">
        <f>IFERROR(D24*$T$7,0)</f>
        <v/>
      </c>
    </row>
    <row r="25" ht="16.5" customHeight="1" s="307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296">
        <f>IFERROR(D25*$T$7,0)</f>
        <v/>
      </c>
    </row>
    <row r="26" ht="16.5" customHeight="1" s="307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296">
        <f>IFERROR(D26*$T$7,0)</f>
        <v/>
      </c>
    </row>
    <row r="27" ht="16.5" customHeight="1" s="307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296">
        <f>IFERROR(D27*$T$7,0)</f>
        <v/>
      </c>
    </row>
    <row r="28" ht="16.5" customHeight="1" s="307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296">
        <f>IFERROR(D28*$T$7,0)</f>
        <v/>
      </c>
    </row>
    <row r="29" ht="16.5" customHeight="1" s="307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296">
        <f>IFERROR(D29*$T$7,0)</f>
        <v/>
      </c>
    </row>
    <row r="30" ht="16.5" customHeight="1" s="307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296">
        <f>IFERROR(D30*$T$7,0)</f>
        <v/>
      </c>
    </row>
    <row r="31" ht="16.5" customHeight="1" s="307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296">
        <f>IFERROR(D31*$T$7,0)</f>
        <v/>
      </c>
    </row>
    <row r="32" ht="16.5" customHeight="1" s="307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296">
        <f>IFERROR(D32*$T$7,0)</f>
        <v/>
      </c>
    </row>
    <row r="33" ht="16.5" customHeight="1" s="307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296">
        <f>IFERROR(D33*$T$7,0)</f>
        <v/>
      </c>
    </row>
    <row r="34" ht="16.5" customHeight="1" s="307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296">
        <f>IFERROR(D34*$T$7,0)</f>
        <v/>
      </c>
    </row>
    <row r="35" ht="16.5" customHeight="1" s="307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296">
        <f>IFERROR(D35*$T$7,0)</f>
        <v/>
      </c>
    </row>
    <row r="36" ht="16.5" customHeight="1" s="307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296">
        <f>IFERROR(D36*$T$7,0)</f>
        <v/>
      </c>
    </row>
    <row r="37" ht="16.5" customHeight="1" s="307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296">
        <f>IFERROR(D37*$T$7,0)</f>
        <v/>
      </c>
    </row>
    <row r="38" ht="16.5" customHeight="1" s="307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296">
        <f>IFERROR(D38*$T$7,0)</f>
        <v/>
      </c>
    </row>
    <row r="39" ht="16.5" customHeight="1" s="307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296">
        <f>IFERROR(D39*$T$7,0)</f>
        <v/>
      </c>
    </row>
    <row r="40" ht="16.5" customHeight="1" s="307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296">
        <f>IFERROR(D40*$T$7,0)</f>
        <v/>
      </c>
    </row>
    <row r="41" ht="16.5" customHeight="1" s="307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296">
        <f>IFERROR(D41*$T$7,0)</f>
        <v/>
      </c>
    </row>
    <row r="42" ht="16.5" customHeight="1" s="307">
      <c r="B42" s="229" t="n">
        <v>46194</v>
      </c>
      <c r="C42" s="276" t="inlineStr">
        <is>
          <t>Sun</t>
        </is>
      </c>
      <c r="D42" s="277" t="n">
        <v>0</v>
      </c>
      <c r="E42" s="37" t="n">
        <v>0</v>
      </c>
      <c r="F42" s="38">
        <f>IFERROR(D42+E42+G42,0)</f>
        <v/>
      </c>
      <c r="G42" s="278" t="n">
        <v>0</v>
      </c>
      <c r="H42" s="279">
        <f>SUMIFS('💸 Expenses'!$F$8:$F$500,'💸 Expenses'!$B$8:$B$500,"&gt;="&amp;B42,'💸 Expenses'!$B$8:$B$500,"&lt;"&amp;(B42+1))</f>
        <v/>
      </c>
      <c r="I42" s="280">
        <f>IFERROR(F42-H42,0)</f>
        <v/>
      </c>
      <c r="J42" s="281">
        <f>IFERROR(I42/F42,0)</f>
        <v/>
      </c>
      <c r="K42" s="250" t="n"/>
      <c r="L42" s="282" t="inlineStr">
        <is>
          <t>Cierre via loka.py</t>
        </is>
      </c>
      <c r="M42" s="12" t="n"/>
      <c r="N42" s="44" t="n"/>
      <c r="O42" s="45" t="n"/>
      <c r="P42" s="46" t="n"/>
      <c r="Q42" s="44" t="n"/>
      <c r="R42" s="296">
        <f>IFERROR(D42*$T$7,0)</f>
        <v/>
      </c>
    </row>
    <row r="43" ht="16.5" customHeight="1" s="307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296">
        <f>IFERROR(D43*$T$7,0)</f>
        <v/>
      </c>
    </row>
    <row r="44" ht="16.5" customHeight="1" s="307">
      <c r="B44" s="229" t="n">
        <v>46196</v>
      </c>
      <c r="C44" s="276" t="inlineStr">
        <is>
          <t>Tue</t>
        </is>
      </c>
      <c r="D44" s="277" t="n">
        <v>1452</v>
      </c>
      <c r="E44" s="37" t="n">
        <v>1515</v>
      </c>
      <c r="F44" s="38">
        <f>IFERROR(D44+E44+G44,0)</f>
        <v/>
      </c>
      <c r="G44" s="278" t="n">
        <v>0</v>
      </c>
      <c r="H44" s="279">
        <f>SUMIFS('💸 Expenses'!$F$8:$F$500,'💸 Expenses'!$B$8:$B$500,"&gt;="&amp;B44,'💸 Expenses'!$B$8:$B$500,"&lt;"&amp;(B44+1))</f>
        <v/>
      </c>
      <c r="I44" s="280">
        <f>IFERROR(F44-H44,0)</f>
        <v/>
      </c>
      <c r="J44" s="281">
        <f>IFERROR(I44/F44,0)</f>
        <v/>
      </c>
      <c r="K44" s="250" t="n"/>
      <c r="L44" s="282" t="inlineStr">
        <is>
          <t>Cierre via loka.py</t>
        </is>
      </c>
      <c r="M44" s="12" t="n"/>
      <c r="N44" s="44" t="n"/>
      <c r="O44" s="45" t="n"/>
      <c r="P44" s="46" t="n"/>
      <c r="Q44" s="44" t="n"/>
      <c r="R44" s="296">
        <f>IFERROR(D44*$T$7,0)</f>
        <v/>
      </c>
    </row>
    <row r="45" ht="16.5" customHeight="1" s="307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296">
        <f>IFERROR(D45*$T$7,0)</f>
        <v/>
      </c>
    </row>
    <row r="46" ht="16.5" customHeight="1" s="307">
      <c r="B46" s="229" t="n">
        <v>46198</v>
      </c>
      <c r="C46" s="276" t="inlineStr">
        <is>
          <t>Thu</t>
        </is>
      </c>
      <c r="D46" s="277" t="n">
        <v>1735</v>
      </c>
      <c r="E46" s="37" t="n">
        <v>1853</v>
      </c>
      <c r="F46" s="38">
        <f>IFERROR(D46+E46+G46,0)</f>
        <v/>
      </c>
      <c r="G46" s="278" t="n">
        <v>0</v>
      </c>
      <c r="H46" s="279">
        <f>SUMIFS('💸 Expenses'!$F$8:$F$500,'💸 Expenses'!$B$8:$B$500,"&gt;="&amp;B46,'💸 Expenses'!$B$8:$B$500,"&lt;"&amp;(B46+1))</f>
        <v/>
      </c>
      <c r="I46" s="280">
        <f>IFERROR(F46-H46,0)</f>
        <v/>
      </c>
      <c r="J46" s="281">
        <f>IFERROR(I46/F46,0)</f>
        <v/>
      </c>
      <c r="K46" s="250" t="n"/>
      <c r="L46" s="282" t="inlineStr">
        <is>
          <t>Cierre via loka.py</t>
        </is>
      </c>
      <c r="M46" s="12" t="n"/>
      <c r="N46" s="44" t="n"/>
      <c r="O46" s="45" t="n"/>
      <c r="P46" s="46" t="n"/>
      <c r="Q46" s="44" t="n"/>
      <c r="R46" s="296">
        <f>IFERROR(D46*$T$7,0)</f>
        <v/>
      </c>
    </row>
    <row r="47" ht="16.5" customHeight="1" s="307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296">
        <f>IFERROR(D47*$T$7,0)</f>
        <v/>
      </c>
    </row>
    <row r="48" ht="16.5" customHeight="1" s="307">
      <c r="B48" s="229" t="n">
        <v>46200</v>
      </c>
      <c r="C48" s="276" t="inlineStr">
        <is>
          <t>Sat</t>
        </is>
      </c>
      <c r="D48" s="277" t="n">
        <v>175</v>
      </c>
      <c r="E48" s="37" t="n">
        <v>1854</v>
      </c>
      <c r="F48" s="38">
        <f>IFERROR(D48+E48+G48,0)</f>
        <v/>
      </c>
      <c r="G48" s="278" t="n">
        <v>0</v>
      </c>
      <c r="H48" s="279">
        <f>SUMIFS('💸 Expenses'!$F$8:$F$500,'💸 Expenses'!$B$8:$B$500,"&gt;="&amp;B48,'💸 Expenses'!$B$8:$B$500,"&lt;"&amp;(B48+1))</f>
        <v/>
      </c>
      <c r="I48" s="280">
        <f>IFERROR(F48-H48,0)</f>
        <v/>
      </c>
      <c r="J48" s="281">
        <f>IFERROR(I48/F48,0)</f>
        <v/>
      </c>
      <c r="K48" s="250" t="n"/>
      <c r="L48" s="282" t="inlineStr">
        <is>
          <t>Cierre via loka.py</t>
        </is>
      </c>
      <c r="M48" s="12" t="n"/>
      <c r="N48" s="44" t="n"/>
      <c r="O48" s="45" t="n"/>
      <c r="P48" s="46" t="n"/>
      <c r="Q48" s="44" t="n"/>
      <c r="R48" s="296">
        <f>IFERROR(D48*$T$7,0)</f>
        <v/>
      </c>
    </row>
    <row r="49" ht="16.5" customHeight="1" s="307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296">
        <f>IFERROR(D49*$T$7,0)</f>
        <v/>
      </c>
    </row>
    <row r="50" ht="16.5" customHeight="1" s="307">
      <c r="B50" s="229" t="n">
        <v>46202</v>
      </c>
      <c r="C50" s="276" t="inlineStr">
        <is>
          <t>Mon</t>
        </is>
      </c>
      <c r="D50" s="277" t="n">
        <v>1814</v>
      </c>
      <c r="E50" s="37" t="n">
        <v>1575</v>
      </c>
      <c r="F50" s="38">
        <f>IFERROR(D50+E50+G50,0)</f>
        <v/>
      </c>
      <c r="G50" s="278" t="n">
        <v>0</v>
      </c>
      <c r="H50" s="279">
        <f>SUMIFS('💸 Expenses'!$F$8:$F$500,'💸 Expenses'!$B$8:$B$500,"&gt;="&amp;B50,'💸 Expenses'!$B$8:$B$500,"&lt;"&amp;(B50+1))</f>
        <v/>
      </c>
      <c r="I50" s="280">
        <f>IFERROR(F50-H50,0)</f>
        <v/>
      </c>
      <c r="J50" s="281">
        <f>IFERROR(I50/F50,0)</f>
        <v/>
      </c>
      <c r="K50" s="250" t="n"/>
      <c r="L50" s="282" t="inlineStr">
        <is>
          <t>Cierre via loka.py</t>
        </is>
      </c>
      <c r="M50" s="12" t="n"/>
      <c r="N50" s="44" t="n"/>
      <c r="O50" s="45" t="n"/>
      <c r="P50" s="46" t="n"/>
      <c r="Q50" s="44" t="n"/>
      <c r="R50" s="296">
        <f>IFERROR(D50*$T$7,0)</f>
        <v/>
      </c>
    </row>
    <row r="51" ht="16.5" customHeight="1" s="307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296">
        <f>IFERROR(D51*$T$7,0)</f>
        <v/>
      </c>
    </row>
    <row r="52" ht="16.5" customHeight="1" s="307">
      <c r="B52" s="229" t="n">
        <v>46204</v>
      </c>
      <c r="C52" s="276" t="inlineStr">
        <is>
          <t>Wed</t>
        </is>
      </c>
      <c r="D52" s="277" t="n">
        <v>2498</v>
      </c>
      <c r="E52" s="37" t="n">
        <v>2024</v>
      </c>
      <c r="F52" s="38">
        <f>IFERROR(D52+E52+G52,0)</f>
        <v/>
      </c>
      <c r="G52" s="278" t="n">
        <v>0</v>
      </c>
      <c r="H52" s="279">
        <f>SUMIFS('💸 Expenses'!$F$8:$F$500,'💸 Expenses'!$B$8:$B$500,"&gt;="&amp;B52,'💸 Expenses'!$B$8:$B$500,"&lt;"&amp;(B52+1))</f>
        <v/>
      </c>
      <c r="I52" s="280">
        <f>IFERROR(F52-H52,0)</f>
        <v/>
      </c>
      <c r="J52" s="281">
        <f>IFERROR(I52/F52,0)</f>
        <v/>
      </c>
      <c r="K52" s="250" t="n"/>
      <c r="L52" s="282" t="inlineStr">
        <is>
          <t>Cierre via loka.py</t>
        </is>
      </c>
      <c r="M52" s="12" t="n"/>
      <c r="N52" s="44" t="n"/>
      <c r="O52" s="45" t="n"/>
      <c r="P52" s="46" t="n"/>
      <c r="Q52" s="44" t="n"/>
      <c r="R52" s="296">
        <f>IFERROR(D52*$T$7,0)</f>
        <v/>
      </c>
    </row>
    <row r="53" ht="16.5" customHeight="1" s="307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296">
        <f>IFERROR(D53*$T$7,0)</f>
        <v/>
      </c>
    </row>
    <row r="54" ht="16.5" customHeight="1" s="307">
      <c r="B54" s="229" t="n">
        <v>46206</v>
      </c>
      <c r="C54" s="276" t="inlineStr">
        <is>
          <t>Fri</t>
        </is>
      </c>
      <c r="D54" s="277" t="n">
        <v>3702</v>
      </c>
      <c r="E54" s="37" t="n">
        <v>2375</v>
      </c>
      <c r="F54" s="38">
        <f>IFERROR(D54+E54+G54,0)</f>
        <v/>
      </c>
      <c r="G54" s="278" t="n">
        <v>0</v>
      </c>
      <c r="H54" s="279">
        <f>SUMIFS('💸 Expenses'!$F$8:$F$500,'💸 Expenses'!$B$8:$B$500,"&gt;="&amp;B54,'💸 Expenses'!$B$8:$B$500,"&lt;"&amp;(B54+1))</f>
        <v/>
      </c>
      <c r="I54" s="280">
        <f>IFERROR(F54-H54,0)</f>
        <v/>
      </c>
      <c r="J54" s="281">
        <f>IFERROR(I54/F54,0)</f>
        <v/>
      </c>
      <c r="K54" s="250" t="inlineStr">
        <is>
          <t>incl +$110 additional cash income (added 04-Jul)</t>
        </is>
      </c>
      <c r="L54" s="282" t="inlineStr">
        <is>
          <t>Cierre via loka.py</t>
        </is>
      </c>
      <c r="M54" s="12" t="n"/>
      <c r="N54" s="44" t="n"/>
      <c r="O54" s="45" t="n"/>
      <c r="P54" s="46" t="n"/>
      <c r="Q54" s="44" t="n"/>
      <c r="R54" s="296">
        <f>IFERROR(D54*$T$7,0)</f>
        <v/>
      </c>
    </row>
    <row r="55" ht="16.5" customHeight="1" s="307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296">
        <f>IFERROR(D55*$T$7,0)</f>
        <v/>
      </c>
    </row>
    <row r="56" ht="16.5" customHeight="1" s="307">
      <c r="B56" s="229" t="n">
        <v>46209</v>
      </c>
      <c r="C56" s="276" t="inlineStr">
        <is>
          <t>Mon</t>
        </is>
      </c>
      <c r="D56" s="277" t="n">
        <v>2190</v>
      </c>
      <c r="E56" s="37" t="n">
        <v>1500</v>
      </c>
      <c r="F56" s="38">
        <f>IFERROR(D56+E56+G56,0)</f>
        <v/>
      </c>
      <c r="G56" s="278" t="n">
        <v>0</v>
      </c>
      <c r="H56" s="279">
        <f>SUMIFS('💸 Expenses'!$F$8:$F$500,'💸 Expenses'!$B$8:$B$500,"&gt;="&amp;B56,'💸 Expenses'!$B$8:$B$500,"&lt;"&amp;(B56+1))</f>
        <v/>
      </c>
      <c r="I56" s="280">
        <f>IFERROR(F56-H56,0)</f>
        <v/>
      </c>
      <c r="J56" s="281">
        <f>IFERROR(I56/F56,0)</f>
        <v/>
      </c>
      <c r="K56" s="250" t="n"/>
      <c r="L56" s="282" t="inlineStr">
        <is>
          <t>Cierre via loka.py</t>
        </is>
      </c>
      <c r="M56" s="12" t="n"/>
      <c r="N56" s="44" t="n"/>
      <c r="O56" s="45" t="n"/>
      <c r="P56" s="46" t="n"/>
      <c r="Q56" s="44" t="n"/>
      <c r="R56" s="296">
        <f>IFERROR(D56*$T$7,0)</f>
        <v/>
      </c>
    </row>
    <row r="57" ht="16.5" customHeight="1" s="307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296">
        <f>IFERROR(D57*$T$7,0)</f>
        <v/>
      </c>
    </row>
    <row r="58" ht="16.5" customHeight="1" s="307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301" t="n"/>
      <c r="N58" s="302" t="n"/>
      <c r="O58" s="303" t="n"/>
      <c r="P58" s="304" t="n"/>
      <c r="Q58" s="302" t="n"/>
      <c r="R58" s="305">
        <f>IFERROR(D58*$T$7,0)</f>
        <v/>
      </c>
      <c r="S58" s="275" t="n"/>
      <c r="T58" s="275" t="n"/>
      <c r="U58" s="305" t="n">
        <v>1078</v>
      </c>
      <c r="V58" s="305" t="n">
        <v>22.1</v>
      </c>
      <c r="W58" s="275" t="n"/>
      <c r="X58" s="275" t="n"/>
    </row>
    <row r="59" ht="16.5" customHeight="1" s="307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301" t="n"/>
      <c r="N59" s="302" t="n"/>
      <c r="O59" s="303" t="n"/>
      <c r="P59" s="304" t="n"/>
      <c r="Q59" s="302" t="n"/>
      <c r="R59" s="305">
        <f>IFERROR(D59*$T$7,0)</f>
        <v/>
      </c>
      <c r="S59" s="275" t="n"/>
      <c r="T59" s="275" t="n"/>
      <c r="U59" s="305" t="n">
        <v>270</v>
      </c>
      <c r="V59" s="305" t="n">
        <v>5.01</v>
      </c>
      <c r="W59" s="275" t="n"/>
      <c r="X59" s="275" t="n"/>
    </row>
    <row r="60" ht="16.5" customHeight="1" s="307">
      <c r="B60" s="405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301" t="n"/>
      <c r="N60" s="302" t="n"/>
      <c r="O60" s="303" t="n"/>
      <c r="P60" s="304" t="n"/>
      <c r="Q60" s="302" t="n"/>
      <c r="R60" s="406">
        <f>IFERROR(D60*$T$7,0)</f>
        <v/>
      </c>
      <c r="S60" s="401" t="n"/>
      <c r="T60" s="401" t="n"/>
      <c r="U60" s="406" t="n">
        <v>0</v>
      </c>
      <c r="V60" s="406" t="n">
        <v>0</v>
      </c>
      <c r="W60" s="401" t="n"/>
      <c r="X60" s="401" t="n"/>
    </row>
    <row r="61" ht="16.5" customHeight="1" s="307">
      <c r="B61" s="405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301" t="n"/>
      <c r="N61" s="302" t="n"/>
      <c r="O61" s="303" t="n"/>
      <c r="P61" s="304" t="n"/>
      <c r="Q61" s="302" t="n"/>
      <c r="R61" s="406">
        <f>IFERROR(D61*$T$7,0)</f>
        <v/>
      </c>
      <c r="S61" s="401" t="n"/>
      <c r="T61" s="401" t="n"/>
      <c r="U61" s="406" t="n">
        <v>1210</v>
      </c>
      <c r="V61" s="406" t="n">
        <v>26.03</v>
      </c>
      <c r="W61" s="401" t="n"/>
      <c r="X61" s="401" t="n"/>
    </row>
    <row r="62" ht="16.5" customHeight="1" s="307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307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307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307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307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307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307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307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307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307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307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307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307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307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307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307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307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307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307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307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307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307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307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307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307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307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307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307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307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307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307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307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307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307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307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307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307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307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307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307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307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307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307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307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307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307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307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307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307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307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307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307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307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307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307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307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307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307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307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307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307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307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307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307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307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307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307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307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307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307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307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307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307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307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307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307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307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307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307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307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307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307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307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307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307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307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307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307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307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307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307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307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307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307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307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307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307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307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307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307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307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307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307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307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307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307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307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307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307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307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307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307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307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307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307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307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307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307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307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307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307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307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307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307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307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307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307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307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307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307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307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307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307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307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307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307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307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307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307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307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307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307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307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307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307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307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307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307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307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307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307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307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307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307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307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307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307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307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307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307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307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307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307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307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307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307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307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307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307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307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307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307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307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307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307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307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307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307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307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307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307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307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307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307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307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307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307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307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307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307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307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307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307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307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307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307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307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307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307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307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307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307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307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307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307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307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307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307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307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307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307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307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307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307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307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307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307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307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307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307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307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307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307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307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307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307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307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307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307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307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307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307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307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307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307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307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307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307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307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307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307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307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307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307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307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307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307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307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307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307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307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307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307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307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307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307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307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307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307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307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307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307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307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307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307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307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307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307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307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307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307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307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307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307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307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307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307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307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307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307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307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307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307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307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307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307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307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307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307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307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307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307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307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307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307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307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307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307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307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307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307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307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307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307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307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307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307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307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307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307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307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07" min="1" max="1"/>
    <col width="14" customWidth="1" style="307" min="2" max="2"/>
    <col width="24" customWidth="1" style="307" min="3" max="3"/>
    <col width="22" customWidth="1" style="307" min="4" max="4"/>
    <col width="19.77734375" customWidth="1" style="307" min="5" max="5"/>
    <col width="16" customWidth="1" style="307" min="6" max="6"/>
    <col width="14" customWidth="1" style="307" min="7" max="7"/>
    <col width="16" customWidth="1" style="307" min="8" max="8"/>
    <col width="18" customWidth="1" style="307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07">
      <c r="A2" s="395" t="inlineStr">
        <is>
          <t>💸  LOKA — EXPENSES TRACKER</t>
        </is>
      </c>
      <c r="E2" s="396" t="inlineStr">
        <is>
          <t>Log every cost: ingredients, staff, utilities, supplies…</t>
        </is>
      </c>
    </row>
    <row r="3">
      <c r="A3" s="397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07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07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07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07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07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07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07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07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07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07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75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75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75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75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75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75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75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75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75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75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75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75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75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75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75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75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75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75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75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75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75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75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75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75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75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75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75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75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75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75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75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75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75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75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75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75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75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75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75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75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75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75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75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75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75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75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75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75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75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75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75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75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75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75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75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75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75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75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75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75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75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75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75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75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75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75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75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75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75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75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75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75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75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75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75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75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75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75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75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75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75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75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75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75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75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75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75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75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75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75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75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75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75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75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75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75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75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75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75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75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75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75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75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75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75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75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75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75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75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75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75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75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75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75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75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75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75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75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75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75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75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75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75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75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75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75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75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75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75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75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75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75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75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75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75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75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75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75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75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75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75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75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75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75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75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75" t="inlineStr">
        <is>
          <t>No receipt; cash</t>
        </is>
      </c>
    </row>
    <row r="452">
      <c r="B452" s="400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401" t="inlineStr">
        <is>
          <t>No receipt; cash</t>
        </is>
      </c>
    </row>
    <row r="453">
      <c r="B453" s="400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401" t="inlineStr">
        <is>
          <t>No receipt; cash</t>
        </is>
      </c>
    </row>
    <row r="454">
      <c r="B454" s="400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401" t="inlineStr">
        <is>
          <t>No receipt; cash</t>
        </is>
      </c>
    </row>
    <row r="455">
      <c r="B455" s="400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401" t="inlineStr">
        <is>
          <t>No receipt; cash</t>
        </is>
      </c>
    </row>
    <row r="456">
      <c r="B456" s="400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401" t="inlineStr">
        <is>
          <t>No receipt; cash</t>
        </is>
      </c>
    </row>
    <row r="457">
      <c r="B457" s="400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401" t="inlineStr">
        <is>
          <t>No receipt; cash</t>
        </is>
      </c>
    </row>
    <row r="458">
      <c r="B458" s="400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401" t="inlineStr">
        <is>
          <t>No receipt; cash; snack/confectionery</t>
        </is>
      </c>
    </row>
    <row r="459">
      <c r="B459" s="400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401" t="inlineStr">
        <is>
          <t>No receipt; cash; crackers</t>
        </is>
      </c>
    </row>
    <row r="460">
      <c r="B460" s="400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401" t="inlineStr">
        <is>
          <t>No receipt; cash; cookies</t>
        </is>
      </c>
    </row>
    <row r="461">
      <c r="B461" s="400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401" t="inlineStr">
        <is>
          <t>Week 8 salary, paid Friday 10 Jul ($800 base + $400 mesero top-up)</t>
        </is>
      </c>
    </row>
    <row r="462">
      <c r="B462" s="400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401" t="inlineStr">
        <is>
          <t>Visa debito ***63 AUT 867321; 11-Jul 11:06; comprado con tarjeta personal de Shashirekha (socio ***7787) - liquidar por transferencia directa fuera de Excel</t>
        </is>
      </c>
    </row>
    <row r="463">
      <c r="B463" s="400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401" t="inlineStr">
        <is>
          <t>No receipt; cash</t>
        </is>
      </c>
    </row>
    <row r="464">
      <c r="B464" s="400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401" t="inlineStr">
        <is>
          <t>No receipt; cash</t>
        </is>
      </c>
    </row>
    <row r="465">
      <c r="B465" s="400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401" t="inlineStr">
        <is>
          <t>Week 8 salary, paid Saturday 11 Jul (prev week $3,800)</t>
        </is>
      </c>
    </row>
    <row r="466">
      <c r="B466" s="400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401" t="inlineStr">
        <is>
          <t>Week 8, paid Saturday 11 Jul (prev week $1,250 for 5 days; $1,000 = 4 days @ $250)</t>
        </is>
      </c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07" min="1" max="1"/>
    <col width="26" customWidth="1" style="307" min="2" max="2"/>
    <col width="16" customWidth="1" style="307" min="3" max="3"/>
    <col width="10" customWidth="1" style="307" min="4" max="4"/>
    <col width="14" customWidth="1" style="307" min="5" max="5"/>
    <col width="12" customWidth="1" style="307" min="6" max="7"/>
    <col width="14" customWidth="1" style="307" min="8" max="8"/>
    <col width="16" customWidth="1" style="307" min="9" max="9"/>
    <col width="20" customWidth="1" style="307" min="10" max="10"/>
    <col width="18" customWidth="1" style="307" min="11" max="11"/>
  </cols>
  <sheetData>
    <row r="1" ht="4.5" customHeight="1" s="307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07">
      <c r="A2" s="395" t="inlineStr">
        <is>
          <t>📦  LOKA — INVENTORY</t>
        </is>
      </c>
      <c r="F2" s="396" t="inlineStr">
        <is>
          <t>Update stock levels when you receive deliveries or do stock checks</t>
        </is>
      </c>
    </row>
    <row r="3" ht="3.75" customHeight="1" s="307">
      <c r="A3" s="397" t="n"/>
    </row>
    <row r="4" ht="7.5" customHeight="1" s="307"/>
    <row r="5" ht="18" customHeight="1" s="307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07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07"/>
    <row r="8" ht="19.5" customHeight="1" s="307">
      <c r="B8" s="385" t="inlineStr">
        <is>
          <t>Item Name  |  Category  |  Unit  |  Min Stock  |  Current Stock  |  Last Ordered  |  Supplier  |  Status  |  Notes</t>
        </is>
      </c>
      <c r="C8" s="320" t="n"/>
      <c r="D8" s="320" t="n"/>
      <c r="E8" s="320" t="n"/>
      <c r="F8" s="320" t="n"/>
      <c r="G8" s="320" t="n"/>
      <c r="H8" s="320" t="n"/>
      <c r="I8" s="320" t="n"/>
      <c r="J8" s="320" t="n"/>
      <c r="K8" s="320" t="n"/>
    </row>
    <row r="9" ht="27.75" customHeight="1" s="307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07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07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07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07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07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07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07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07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07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07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07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07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07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07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07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07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07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07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07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07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07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07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07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07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07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07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07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07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07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07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07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07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07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07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07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07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07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07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07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07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07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07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07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07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07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07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07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07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07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07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07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07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07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07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07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07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07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07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07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07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07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07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07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07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07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07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07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07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07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07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07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07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07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07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07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07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07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07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07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07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07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07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07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07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07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07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07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07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07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07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07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07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07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07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07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07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07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07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07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07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07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07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07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07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07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07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07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07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07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07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07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07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07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07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07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07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07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07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07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07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07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07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07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07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07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07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07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07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07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07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07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07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07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07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07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07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07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07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07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07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07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07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07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07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07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07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07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07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07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07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07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07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07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07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07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07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07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07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07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07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07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07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07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07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07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07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07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07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07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07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07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07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07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07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07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07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07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07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07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07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07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07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07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07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07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07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07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07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07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07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07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07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07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07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07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07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07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07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07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07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07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07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07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07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07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07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07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07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07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07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07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07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07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07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07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07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07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07" min="1" max="1"/>
    <col width="32.5546875" customWidth="1" style="307" min="2" max="2"/>
    <col width="19.44140625" bestFit="1" customWidth="1" style="307" min="3" max="3"/>
    <col width="15.21875" customWidth="1" style="307" min="4" max="4"/>
    <col width="13.88671875" customWidth="1" style="307" min="5" max="6"/>
    <col width="12.33203125" customWidth="1" style="307" min="7" max="7"/>
    <col width="12.88671875" customWidth="1" style="307" min="8" max="8"/>
    <col width="7.33203125" bestFit="1" customWidth="1" style="307" min="9" max="9"/>
    <col width="7.21875" bestFit="1" customWidth="1" style="307" min="10" max="10"/>
    <col width="11" bestFit="1" customWidth="1" style="307" min="11" max="11"/>
    <col width="10.77734375" bestFit="1" customWidth="1" style="307" min="12" max="12"/>
  </cols>
  <sheetData>
    <row r="1" ht="4.5" customHeight="1" s="307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07">
      <c r="A2" s="402" t="inlineStr">
        <is>
          <t>👥  LOKA — STAFF &amp; PAYROLL</t>
        </is>
      </c>
      <c r="D2" s="403" t="inlineStr">
        <is>
          <t>Weekly schedule + auto payroll calculation</t>
        </is>
      </c>
    </row>
    <row r="3" ht="3.75" customHeight="1" s="307"/>
    <row r="4" ht="7.5" customHeight="1" s="307"/>
    <row r="5" ht="7.5" customHeight="1" s="307" thickBot="1"/>
    <row r="6" ht="21.75" customHeight="1" s="307" thickBot="1">
      <c r="A6" s="334" t="inlineStr">
        <is>
          <t xml:space="preserve">  STAFF SCHEDULE  —  Week of:</t>
        </is>
      </c>
      <c r="B6" s="335" t="n"/>
      <c r="C6" s="335" t="n"/>
      <c r="D6" s="192">
        <f>TODAY()-WEEKDAY(TODAY(),2)+1</f>
        <v/>
      </c>
      <c r="E6" s="320" t="n"/>
      <c r="F6" s="320" t="n"/>
      <c r="G6" s="320" t="n"/>
      <c r="H6" s="320" t="n"/>
      <c r="I6" s="320" t="n"/>
      <c r="J6" s="320" t="n"/>
      <c r="K6" s="320" t="n"/>
      <c r="L6" s="320" t="n"/>
    </row>
    <row r="7" ht="27.75" customHeight="1" s="307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07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07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07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07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07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07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07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07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07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07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07"/>
    <row r="19" ht="19.5" customHeight="1" s="307" thickBot="1"/>
    <row r="20" ht="27.75" customHeight="1" s="307" thickBot="1">
      <c r="A20" s="334" t="inlineStr">
        <is>
          <t xml:space="preserve">  MONTHLY PAYROLL PROJECTION</t>
        </is>
      </c>
      <c r="B20" s="335" t="n"/>
      <c r="C20" s="335" t="n"/>
      <c r="D20" s="335" t="n"/>
      <c r="E20" s="335" t="n"/>
      <c r="F20" s="335" t="n"/>
      <c r="G20" s="335" t="n"/>
      <c r="H20" s="335" t="n"/>
      <c r="I20" s="335" t="n"/>
      <c r="J20" s="335" t="n"/>
      <c r="K20" s="335" t="n"/>
      <c r="L20" s="335" t="n"/>
    </row>
    <row r="21" ht="18" customHeight="1" s="307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07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07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07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07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07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07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07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07">
      <c r="A29" s="115">
        <f>A15</f>
        <v/>
      </c>
      <c r="B29" s="320" t="n"/>
      <c r="C29" s="320" t="n"/>
      <c r="D29" s="320" t="n"/>
      <c r="E29" s="194">
        <f>C29*D29</f>
        <v/>
      </c>
      <c r="F29" s="316" t="n"/>
      <c r="G29" s="120">
        <f>E29*(1+F29)</f>
        <v/>
      </c>
      <c r="H29" s="96" t="n"/>
    </row>
    <row r="30" ht="17.4" customHeight="1" s="307">
      <c r="A30" s="387" t="inlineStr">
        <is>
          <t>TOTAL MONTHLY PAYROLL COST</t>
        </is>
      </c>
      <c r="B30" s="320" t="n"/>
      <c r="C30" s="320" t="n"/>
      <c r="D30" s="320" t="n"/>
      <c r="E30" s="320" t="n"/>
      <c r="F30" s="316" t="n"/>
      <c r="G30" s="108">
        <f>SUM(G21:G28)</f>
        <v/>
      </c>
    </row>
    <row r="33" ht="15.6" customHeight="1" s="307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07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07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07"/>
    <row r="61" ht="15.6" customHeight="1" s="307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/>
      <c r="B75" s="262" t="n"/>
      <c r="C75" s="262" t="n"/>
      <c r="D75" s="264" t="n"/>
    </row>
    <row r="76">
      <c r="A76" s="263" t="n"/>
      <c r="B76" s="262" t="n"/>
      <c r="C76" s="262" t="n"/>
      <c r="D76" s="264" t="n"/>
    </row>
    <row r="77">
      <c r="A77" s="263" t="n"/>
      <c r="B77" s="262" t="n"/>
      <c r="C77" s="262" t="n"/>
      <c r="D77" s="264" t="n"/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07" min="1" max="1"/>
    <col width="14" customWidth="1" style="307" min="2" max="2"/>
    <col width="22" customWidth="1" style="307" min="3" max="3"/>
    <col width="20" customWidth="1" style="307" min="4" max="4"/>
    <col width="12" customWidth="1" style="307" min="5" max="5"/>
    <col width="10" customWidth="1" style="307" min="6" max="6"/>
    <col width="12" customWidth="1" style="307" min="7" max="7"/>
    <col width="14" customWidth="1" style="307" min="8" max="9"/>
    <col width="18" customWidth="1" style="307" min="10" max="10"/>
    <col width="16" customWidth="1" style="307" min="11" max="11"/>
  </cols>
  <sheetData>
    <row r="1" ht="4.5" customHeight="1" s="307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07">
      <c r="A2" s="395" t="inlineStr">
        <is>
          <t>🚚  LOKA — SUPPLIER ORDERS</t>
        </is>
      </c>
      <c r="F2" s="396" t="inlineStr">
        <is>
          <t>Track purchase orders from suppliers</t>
        </is>
      </c>
    </row>
    <row r="3" ht="3.75" customHeight="1" s="307">
      <c r="A3" s="397" t="n"/>
    </row>
    <row r="4" ht="7.5" customHeight="1" s="307"/>
    <row r="5" ht="18" customHeight="1" s="307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07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07"/>
    <row r="8" ht="19.5" customHeight="1" s="307">
      <c r="B8" s="385" t="n"/>
      <c r="C8" s="320" t="n"/>
      <c r="D8" s="320" t="n"/>
      <c r="E8" s="320" t="n"/>
      <c r="F8" s="320" t="n"/>
      <c r="G8" s="320" t="n"/>
      <c r="H8" s="320" t="n"/>
      <c r="I8" s="320" t="n"/>
      <c r="J8" s="320" t="n"/>
      <c r="K8" s="320" t="n"/>
    </row>
    <row r="9" ht="27.75" customHeight="1" s="307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07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07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07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07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07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07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07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07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07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07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07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07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07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07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07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07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07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07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07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07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07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07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07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07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07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07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07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07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07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07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07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07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07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07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07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07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07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07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07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07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07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07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07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07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07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07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07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07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07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07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07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07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07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07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07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07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07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07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07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07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07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07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07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07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07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07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07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07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07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07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07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07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07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07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07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07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07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07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07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07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07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07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07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07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07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07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07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07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07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07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07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07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07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07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07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07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07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07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07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07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07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07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07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07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07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07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07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07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07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07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07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07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07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07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07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07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07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07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07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07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07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07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07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07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07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07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07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07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07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07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07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07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07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07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07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07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07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07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07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07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07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07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07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07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07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07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07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07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07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07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07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07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07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07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07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07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07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07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07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07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07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07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07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07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07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07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07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07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07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07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07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07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07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07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07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07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07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07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07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07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07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07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07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07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07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07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07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07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07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07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07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07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07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07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07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07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07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07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07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07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07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07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07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07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07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07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07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07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07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07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07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07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07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07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07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07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07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07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07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07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07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07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07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07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07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07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07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07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07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07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07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07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07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07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07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07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07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07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07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07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07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07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07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07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07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07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07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07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07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07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07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07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07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07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07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07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07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07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07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07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07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07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07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07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07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07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07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07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07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07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07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07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07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07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07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07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07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07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07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07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07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07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07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07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07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07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07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07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07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07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07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07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07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07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07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07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07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07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07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07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07" min="2" max="2"/>
    <col width="14.33203125" bestFit="1" customWidth="1" style="307" min="3" max="3"/>
    <col width="44" bestFit="1" customWidth="1" style="307" min="4" max="4"/>
    <col width="87.77734375" bestFit="1" customWidth="1" style="307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07" min="1" max="1"/>
    <col width="15" bestFit="1" customWidth="1" style="307" min="2" max="2"/>
    <col width="15" customWidth="1" style="307" min="3" max="4"/>
    <col width="15" customWidth="1" style="307" min="4" max="4"/>
    <col width="9" customWidth="1" style="307" min="5" max="14"/>
    <col width="9" customWidth="1" style="307" min="6" max="6"/>
    <col width="9" customWidth="1" style="307" min="7" max="7"/>
    <col width="9" customWidth="1" style="307" min="8" max="8"/>
    <col width="9" customWidth="1" style="307" min="9" max="9"/>
    <col width="9" customWidth="1" style="307" min="10" max="10"/>
    <col width="9" customWidth="1" style="307" min="11" max="11"/>
    <col width="9" customWidth="1" style="307" min="12" max="12"/>
    <col width="9" customWidth="1" style="307" min="13" max="13"/>
    <col width="9" customWidth="1" style="307" min="14" max="14"/>
  </cols>
  <sheetData>
    <row r="1" ht="26" customHeight="1" s="307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Beverages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Dairy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Supplies / Other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Supermarket/General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Software / Subscription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Kitchen Supplies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Packaging / Disposables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Ingredients - Desserts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Eggs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Staff - Propinas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Ingredients - Produce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2" t="inlineStr">
        <is>
          <t>TOTAL EXPENSES</t>
        </is>
      </c>
      <c r="B44" s="414">
        <f>SUMIFS('💸 Expenses'!$F$8:$F$500,'💸 Expenses'!$B$8:$B$500,"&gt;="&amp;DATE(2026,5,1),'💸 Expenses'!$B$8:$B$500,"&lt;"&amp;DATE(2026,6,1))</f>
        <v/>
      </c>
      <c r="C44" s="414">
        <f>SUMIFS('💸 Expenses'!$F$8:$F$500,'💸 Expenses'!$B$8:$B$500,"&gt;="&amp;DATE(2026,6,1),'💸 Expenses'!$B$8:$B$500,"&lt;"&amp;DATE(2026,7,1))</f>
        <v/>
      </c>
      <c r="D44" s="414">
        <f>SUMIFS('💸 Expenses'!$F$8:$F$500,'💸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NET PROFIT / LOSS</t>
        </is>
      </c>
      <c r="B45" s="414">
        <f>B4-B44</f>
        <v/>
      </c>
      <c r="C45" s="414">
        <f>C4-C44</f>
        <v/>
      </c>
      <c r="D45" s="414">
        <f>D4-D44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09" t="n"/>
      <c r="B46" s="409" t="n"/>
      <c r="C46" s="409" t="n"/>
      <c r="D46" s="409" t="n"/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07" min="1" max="1"/>
    <col width="46" customWidth="1" style="307" min="2" max="2"/>
    <col width="18" customWidth="1" style="307" min="3" max="4"/>
    <col width="22" customWidth="1" style="307" min="5" max="5"/>
    <col width="18" customWidth="1" style="307" min="6" max="6"/>
    <col width="22" customWidth="1" style="307" min="7" max="7"/>
    <col width="40" customWidth="1" style="307" min="8" max="8"/>
  </cols>
  <sheetData>
    <row r="1" ht="25.95" customHeight="1" s="307">
      <c r="A1" s="404" t="inlineStr">
        <is>
          <t>LOHITH — OWNER LEDGER &amp; PERSONAL BALANCE TRACKER</t>
        </is>
      </c>
    </row>
    <row r="3" ht="30" customHeight="1" s="307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inlineStr">
        <is>
          <t>TOTALS &amp; CURRENT BALANCE</t>
        </is>
      </c>
      <c r="B37" s="232" t="n"/>
      <c r="C37" s="232" t="n"/>
      <c r="D37" s="232">
        <f>SUM(D4:D36)</f>
        <v/>
      </c>
      <c r="E37" s="233">
        <f>SUM(E4:E36)</f>
        <v/>
      </c>
      <c r="F37" s="233">
        <f>F36</f>
        <v/>
      </c>
      <c r="G37" s="232">
        <f>IF(F36&gt;0,"Restaurant owes Lohith $"&amp;TEXT(F36,"#,##0"),IF(F36&lt;0,"Lohith holds $"&amp;TEXT(ABS(F36),"#,##0"),"Zero balance"))</f>
        <v/>
      </c>
      <c r="H3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2026-07-13T04:57:00Z</dcterms:modified>
  <cp:lastModifiedBy>LOHITH REDDY</cp:lastModifiedBy>
</cp:coreProperties>
</file>