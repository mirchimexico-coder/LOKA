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/>
      <c r="E38" s="37" t="n"/>
      <c r="F38" s="38">
        <f>IFERROR(D38+E38+G38,0)</f>
        <v/>
      </c>
      <c r="G38" s="39" t="n"/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Expenses logged — revenue pending</t>
        </is>
      </c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/>
      <c r="C282" s="69" t="n"/>
      <c r="D282" s="68" t="n"/>
      <c r="E282" s="69" t="n"/>
      <c r="F282" s="70" t="n"/>
      <c r="G282" s="23" t="n"/>
      <c r="H282" s="23" t="n"/>
      <c r="I282" s="55" t="n"/>
    </row>
    <row r="283">
      <c r="B283" s="64" t="n"/>
      <c r="C283" s="65" t="n"/>
      <c r="D283" s="66" t="n"/>
      <c r="E283" s="65" t="n"/>
      <c r="F283" s="67" t="n"/>
      <c r="G283" s="14" t="n"/>
      <c r="H283" s="14" t="n"/>
      <c r="I283" s="43" t="n"/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0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53931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71774.64999999999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-17843.65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14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3852.21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27158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25826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947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Ingredients - Beverages</t>
        </is>
      </c>
      <c r="B16" s="379" t="n">
        <v>905.23</v>
      </c>
      <c r="C16" s="380" t="n">
        <v>5567.39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Bread</t>
        </is>
      </c>
      <c r="B17" s="374" t="n">
        <v>1976.5</v>
      </c>
      <c r="C17" s="361" t="n">
        <v>972.54</v>
      </c>
    </row>
    <row r="18" ht="18" customHeight="1" s="274">
      <c r="A18" s="360" t="inlineStr">
        <is>
          <t>Ingredients - Dairy</t>
        </is>
      </c>
      <c r="B18" s="375" t="n">
        <v>2388.12</v>
      </c>
      <c r="C18" s="376" t="n">
        <v>2732.39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Desserts</t>
        </is>
      </c>
      <c r="B19" s="377" t="n">
        <v>260</v>
      </c>
      <c r="C19" s="378" t="n">
        <v>0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Fruit</t>
        </is>
      </c>
      <c r="B20" s="375" t="n">
        <v>794.0599999999999</v>
      </c>
      <c r="C20" s="376" t="n">
        <v>1043.79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Meat</t>
        </is>
      </c>
      <c r="B21" s="377" t="n">
        <v>5617.49</v>
      </c>
      <c r="C21" s="378" t="n">
        <v>12947.35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Meat &amp; Fish</t>
        </is>
      </c>
      <c r="B22" s="375" t="n">
        <v>1540.7</v>
      </c>
      <c r="C22" s="376" t="n">
        <v>901.4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Ingredients - Other</t>
        </is>
      </c>
      <c r="B23" s="381" t="n">
        <v>0</v>
      </c>
      <c r="C23" s="382" t="n">
        <v>608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Ingredients - Pantry</t>
        </is>
      </c>
      <c r="B24" s="383" t="n">
        <v>3505.54</v>
      </c>
      <c r="C24" s="384" t="n">
        <v>2729.76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Ingredients - Produce</t>
        </is>
      </c>
      <c r="B25" s="385" t="n">
        <v>0</v>
      </c>
      <c r="C25" s="386" t="n">
        <v>48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Vegetables</t>
        </is>
      </c>
      <c r="B26" s="375" t="n">
        <v>3439.79</v>
      </c>
      <c r="C26" s="376" t="n">
        <v>3208.63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Maintenance</t>
        </is>
      </c>
      <c r="B27" s="377" t="n">
        <v>0</v>
      </c>
      <c r="C27" s="378" t="n">
        <v>5000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Rent</t>
        </is>
      </c>
      <c r="B28" s="387" t="n">
        <v>0</v>
      </c>
      <c r="C28" s="388" t="n">
        <v>15000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Staff - Advance</t>
        </is>
      </c>
      <c r="B29" s="379" t="n">
        <v>500</v>
      </c>
      <c r="C29" s="380" t="n">
        <v>0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Salary</t>
        </is>
      </c>
      <c r="B30" s="374" t="n">
        <v>10666</v>
      </c>
      <c r="C30" s="361" t="n">
        <v>14956.65</v>
      </c>
    </row>
    <row r="31" ht="18" customHeight="1" s="274">
      <c r="A31" s="360" t="inlineStr">
        <is>
          <t>Supermarket / General</t>
        </is>
      </c>
      <c r="B31" s="389" t="n">
        <v>698</v>
      </c>
      <c r="C31" s="378" t="n">
        <v>2621.1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Supplies / Other</t>
        </is>
      </c>
      <c r="B32" s="390" t="n">
        <v>628.2</v>
      </c>
      <c r="C32" s="391" t="n">
        <v>3437.65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TOTAL EXPENSES</t>
        </is>
      </c>
      <c r="B33" s="392" t="n">
        <v>32919.63</v>
      </c>
      <c r="C33" s="370" t="n">
        <v>71774.64999999999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362" t="inlineStr">
        <is>
          <t>TOTALS &amp; CURRENT BALANCE</t>
        </is>
      </c>
      <c r="B24" s="362" t="n"/>
      <c r="C24" s="362" t="n"/>
      <c r="D24" s="363">
        <f>SUM(D4:D23)</f>
        <v/>
      </c>
      <c r="E24" s="363">
        <f>SUM(E4:E23)</f>
        <v/>
      </c>
      <c r="F24" s="363">
        <f>F23</f>
        <v/>
      </c>
      <c r="G24" s="362">
        <f>IF(F23&gt;0,"Restaurant owes Lohith $"&amp;TEXT(F23,"#,##0"),IF(F23&lt;0,"Lohith holds $"&amp;TEXT(ABS(F23),"#,##0"),"Zero balance"))</f>
        <v/>
      </c>
      <c r="H24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2026-06-17T18:01:23Z</dcterms:modified>
  <cp:lastModifiedBy>LOHITH REDDY</cp:lastModifiedBy>
</cp:coreProperties>
</file>