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5580.0</v>
      </c>
      <c r="G6" s="31">
        <f>SUMIFS($G$8:$G$5000,$B$8:$B$5000,TODAY())</f>
        <v>965.0</v>
      </c>
      <c r="H6" s="28">
        <f>SUMIFS($H$8:$H$5000,$B$8:$B$5000,TODAY())</f>
        <v>29005.68</v>
      </c>
      <c r="I6" s="32">
        <f>F6-H6</f>
        <v>-23425.68</v>
      </c>
      <c r="J6">
        <f>IFERROR(I6/F6,0)</f>
        <v>-4.198151</v>
      </c>
      <c r="K6" s="28" t="n"/>
      <c r="L6" s="31" t="n"/>
      <c r="M6" s="28">
        <f>SUMIFS($F$8:$F$5000,$B$8:$B$5000,"&gt;="&amp;(TODAY()-WEEKDAY(TODAY(),2)+1),$B$8:$B$5000,"&lt;"&amp;(TODAY()-WEEKDAY(TODAY(),2)+8))</f>
        <v>5580.0</v>
      </c>
      <c r="N6" s="33">
        <f>SUMIFS($F$8:$F$5000,$B$8:$B$5000,"&gt;="&amp;(TODAY()-WEEKDAY(TODAY(),2)+1),$B$8:$B$5000,"&lt;"&amp;(TODAY()-WEEKDAY(TODAY(),2)+8))</f>
        <v>5580.0</v>
      </c>
      <c r="O6" s="33">
        <f>SUMIFS($F$8:$F$5000,$B$8:$B$5000,"&gt;="&amp;DATE(YEAR(TODAY()),MONTH(TODAY()),1),$B$8:$B$5000,"&lt;"&amp;DATE(YEAR(TODAY()),MONTH(TODAY())+1,1))</f>
        <v>14335.0</v>
      </c>
      <c r="P6">
        <f>SUMIFS('💸 Expenses'!$F$8:$F$5000,'💸 Expenses'!$B$8:$B$5000,"&gt;="&amp;(TODAY()-WEEKDAY(TODAY(),2)+1),'💸 Expenses'!$B$8:$B$5000,"&lt;"&amp;(TODAY()-WEEKDAY(TODAY(),2)+8))</f>
        <v>29005.68</v>
      </c>
      <c r="Q6">
        <f>M6-P6</f>
        <v>-23425.68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3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2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inlineStr">
        <is>
          <t>TOTALS &amp; CURRENT BALANCE</t>
        </is>
      </c>
      <c r="B104" s="232" t="n"/>
      <c r="C104" s="232" t="n"/>
      <c r="D104" s="232">
        <f>SUM(D4:D103)</f>
        <v/>
      </c>
      <c r="E104" s="233">
        <f>SUM(E4:E103)</f>
        <v/>
      </c>
      <c r="F104" s="233">
        <f>F103</f>
        <v/>
      </c>
      <c r="G104" s="232">
        <f>IF(F103&gt;0,"Restaurant owes Lohith $"&amp;TEXT(F103,"#,##0"),IF(F103&lt;0,"Lohith holds $"&amp;TEXT(ABS(F103),"#,##0"),"Zero balance"))</f>
        <v/>
      </c>
      <c r="H10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2026-10-06T00:16:15Z</dcterms:modified>
  <cp:lastModifiedBy>LOHITH REDDY</cp:lastModifiedBy>
</cp:coreProperties>
</file>