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-10327.08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115606.92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4365.0</v>
      </c>
      <c r="G6" s="31">
        <f>SUMIFS($G$8:$G$5000,$B$8:$B$5000,TODAY())</f>
        <v>0.0</v>
      </c>
      <c r="H6" s="28">
        <f>SUMIFS($H$8:$H$5000,$B$8:$B$5000,TODAY())</f>
        <v>4199.0</v>
      </c>
      <c r="I6" s="32">
        <f>F6-H6</f>
        <v>166.0</v>
      </c>
      <c r="J6">
        <f>IFERROR(I6/F6,0)</f>
        <v>0.03803</v>
      </c>
      <c r="K6" s="28" t="n"/>
      <c r="L6" s="31" t="n"/>
      <c r="M6" s="28">
        <f>SUMIFS($F$8:$F$5000,$B$8:$B$5000,"&gt;="&amp;(TODAY()-WEEKDAY(TODAY(),2)+1),$B$8:$B$5000,"&lt;"&amp;(TODAY()-WEEKDAY(TODAY(),2)+8))</f>
        <v>11679.0</v>
      </c>
      <c r="N6" s="33">
        <f>SUMIFS($F$8:$F$5000,$B$8:$B$5000,"&gt;="&amp;(TODAY()-WEEKDAY(TODAY(),2)+1),$B$8:$B$5000,"&lt;"&amp;(TODAY()-WEEKDAY(TODAY(),2)+8))</f>
        <v>11679.0</v>
      </c>
      <c r="O6" s="33">
        <f>SUMIFS($F$8:$F$5000,$B$8:$B$5000,"&gt;="&amp;DATE(YEAR(TODAY()),MONTH(TODAY()),1),$B$8:$B$5000,"&lt;"&amp;DATE(YEAR(TODAY()),MONTH(TODAY())+1,1))</f>
        <v>97939.0</v>
      </c>
      <c r="P6">
        <f>SUMIFS('💸 Expenses'!$F$8:$F$5000,'💸 Expenses'!$B$8:$B$5000,"&gt;="&amp;(TODAY()-WEEKDAY(TODAY(),2)+1),'💸 Expenses'!$B$8:$B$5000,"&lt;"&amp;(TODAY()-WEEKDAY(TODAY(),2)+8))</f>
        <v>6523.0</v>
      </c>
      <c r="Q6">
        <f>M6-P6</f>
        <v>5156.0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427" t="n">
        <v>46315</v>
      </c>
      <c r="C144" s="270" t="inlineStr">
        <is>
          <t>Tue</t>
        </is>
      </c>
      <c r="D144" s="271" t="n">
        <v>2565</v>
      </c>
      <c r="E144" s="37" t="n">
        <v>1830</v>
      </c>
      <c r="F144" s="38">
        <f>IFERROR(D144+E144+G144+U144+Y144,0)</f>
        <v>4395.0</v>
      </c>
      <c r="G144" s="272" t="n">
        <v>0</v>
      </c>
      <c r="H144" s="273">
        <f>SUMIFS('💸 Expenses'!$F$8:$F$5000,'💸 Expenses'!$B$8:$B$5000,"&gt;="&amp;B144,'💸 Expenses'!$B$8:$B$5000,"&lt;"&amp;(B144+1))</f>
        <v>11580.0</v>
      </c>
      <c r="I144" s="274">
        <f>IFERROR(F144-H144,0)</f>
        <v>-7185.0</v>
      </c>
      <c r="J144" s="275">
        <f>IFERROR(I144/F144,0)</f>
        <v>-1.634812</v>
      </c>
      <c r="K144" s="250" t="n"/>
      <c r="L144" s="276" t="inlineStr">
        <is>
          <t>Cierre via loka.py</t>
        </is>
      </c>
      <c r="M144" s="323" t="n"/>
      <c r="N144" s="324" t="n"/>
      <c r="O144" s="325" t="n"/>
      <c r="P144" s="326" t="n"/>
      <c r="Q144" s="324" t="n"/>
      <c r="R144" s="428">
        <f>IFERROR(D144*$T$7,0)</f>
        <v>104.14</v>
      </c>
      <c r="S144" s="324" t="n"/>
      <c r="T144" s="324" t="n"/>
      <c r="U144" s="428" t="n">
        <v>0</v>
      </c>
      <c r="V144" s="428" t="n">
        <v>0</v>
      </c>
      <c r="W144" s="324" t="n"/>
      <c r="X144" s="324" t="n"/>
      <c r="Y144" s="428" t="n">
        <v>0</v>
      </c>
      <c r="Z144" s="428" t="n">
        <v>0</v>
      </c>
      <c r="AA144" s="324" t="n"/>
      <c r="AB144" s="324" t="n"/>
    </row>
    <row r="145" ht="16.5" customHeight="1" s="331">
      <c r="B145" s="427" t="n">
        <v>46316</v>
      </c>
      <c r="C145" s="255" t="inlineStr">
        <is>
          <t>Wed</t>
        </is>
      </c>
      <c r="D145" s="256" t="n">
        <v>2665</v>
      </c>
      <c r="E145" s="49" t="n">
        <v>2285</v>
      </c>
      <c r="F145" s="50">
        <f>IFERROR(D145+E145+G145+U145+Y145,0)</f>
        <v>4950.0</v>
      </c>
      <c r="G145" s="257" t="n">
        <v>0</v>
      </c>
      <c r="H145" s="258">
        <f>SUMIFS('💸 Expenses'!$F$8:$F$5000,'💸 Expenses'!$B$8:$B$5000,"&gt;="&amp;B145,'💸 Expenses'!$B$8:$B$5000,"&lt;"&amp;(B145+1))</f>
        <v>3501.0</v>
      </c>
      <c r="I145" s="259">
        <f>IFERROR(F145-H145,0)</f>
        <v>1449.0</v>
      </c>
      <c r="J145" s="260">
        <f>IFERROR(I145/F145,0)</f>
        <v>0.292727</v>
      </c>
      <c r="K145" s="254" t="n"/>
      <c r="L145" s="261" t="inlineStr">
        <is>
          <t>Cierre via loka.py</t>
        </is>
      </c>
      <c r="M145" s="291" t="n"/>
      <c r="N145" s="292" t="n"/>
      <c r="O145" s="293" t="n"/>
      <c r="P145" s="294" t="n"/>
      <c r="Q145" s="292" t="n"/>
      <c r="R145" s="443">
        <f>IFERROR(D145*$T$7,0)</f>
        <v>108.2</v>
      </c>
      <c r="S145" s="292" t="n"/>
      <c r="T145" s="292" t="n"/>
      <c r="U145" s="443" t="n">
        <v>0</v>
      </c>
      <c r="V145" s="443" t="n">
        <v>0</v>
      </c>
      <c r="W145" s="292" t="n"/>
      <c r="X145" s="292" t="n"/>
      <c r="Y145" s="443" t="n">
        <v>0</v>
      </c>
      <c r="Z145" s="443" t="n">
        <v>0</v>
      </c>
      <c r="AA145" s="292" t="n"/>
      <c r="AB145" s="292" t="n"/>
    </row>
    <row r="146" ht="16.5" customHeight="1" s="331">
      <c r="B146" s="427" t="n">
        <v>46317</v>
      </c>
      <c r="C146" s="270" t="inlineStr">
        <is>
          <t>Thu</t>
        </is>
      </c>
      <c r="D146" s="271" t="n">
        <v>1895</v>
      </c>
      <c r="E146" s="37" t="n">
        <v>1365</v>
      </c>
      <c r="F146" s="38">
        <f>IFERROR(D146+E146+G146+U146+Y146,0)</f>
        <v>4690.0</v>
      </c>
      <c r="G146" s="272" t="n">
        <v>0</v>
      </c>
      <c r="H146" s="273">
        <f>SUMIFS('💸 Expenses'!$F$8:$F$5000,'💸 Expenses'!$B$8:$B$5000,"&gt;="&amp;B146,'💸 Expenses'!$B$8:$B$5000,"&lt;"&amp;(B146+1))</f>
        <v>1294.0</v>
      </c>
      <c r="I146" s="274">
        <f>IFERROR(F146-H146,0)</f>
        <v>3396.0</v>
      </c>
      <c r="J146" s="275">
        <f>IFERROR(I146/F146,0)</f>
        <v>0.724094</v>
      </c>
      <c r="K146" s="250" t="n"/>
      <c r="L146" s="276" t="inlineStr">
        <is>
          <t>Cierre via loka.py</t>
        </is>
      </c>
      <c r="M146" s="323" t="n"/>
      <c r="N146" s="324" t="n"/>
      <c r="O146" s="325" t="n"/>
      <c r="P146" s="326" t="n"/>
      <c r="Q146" s="324" t="n"/>
      <c r="R146" s="428">
        <f>IFERROR(D146*$T$7,0)</f>
        <v>76.94</v>
      </c>
      <c r="S146" s="324" t="n"/>
      <c r="T146" s="324" t="n"/>
      <c r="U146" s="428" t="n">
        <v>0</v>
      </c>
      <c r="V146" s="428" t="n">
        <v>0</v>
      </c>
      <c r="W146" s="324" t="n"/>
      <c r="X146" s="324" t="n"/>
      <c r="Y146" s="428" t="n">
        <v>1430</v>
      </c>
      <c r="Z146" s="428" t="n">
        <v>27.17</v>
      </c>
      <c r="AA146" s="324" t="n"/>
      <c r="AB146" s="324" t="n"/>
    </row>
    <row r="147" ht="16.5" customHeight="1" s="331">
      <c r="B147" s="427" t="n">
        <v>46318</v>
      </c>
      <c r="C147" s="255" t="inlineStr">
        <is>
          <t>Fri</t>
        </is>
      </c>
      <c r="D147" s="256" t="n">
        <v>2155</v>
      </c>
      <c r="E147" s="49" t="n">
        <v>2455</v>
      </c>
      <c r="F147" s="50">
        <f>IFERROR(D147+E147+G147+U147+Y147,0)</f>
        <v>7170.0</v>
      </c>
      <c r="G147" s="257" t="n">
        <v>0</v>
      </c>
      <c r="H147" s="258">
        <f>SUMIFS('💸 Expenses'!$F$8:$F$5000,'💸 Expenses'!$B$8:$B$5000,"&gt;="&amp;B147,'💸 Expenses'!$B$8:$B$5000,"&lt;"&amp;(B147+1))</f>
        <v>2619.0</v>
      </c>
      <c r="I147" s="259">
        <f>IFERROR(F147-H147,0)</f>
        <v>4551.0</v>
      </c>
      <c r="J147" s="260">
        <f>IFERROR(I147/F147,0)</f>
        <v>0.634728</v>
      </c>
      <c r="K147" s="254" t="n"/>
      <c r="L147" s="261" t="inlineStr">
        <is>
          <t>Cierre via loka.py</t>
        </is>
      </c>
      <c r="M147" s="291" t="n"/>
      <c r="N147" s="292" t="n"/>
      <c r="O147" s="293" t="n"/>
      <c r="P147" s="294" t="n"/>
      <c r="Q147" s="292" t="n"/>
      <c r="R147" s="443">
        <f>IFERROR(D147*$T$7,0)</f>
        <v>87.49</v>
      </c>
      <c r="S147" s="292" t="n"/>
      <c r="T147" s="292" t="n"/>
      <c r="U147" s="443" t="n">
        <v>0</v>
      </c>
      <c r="V147" s="443" t="n">
        <v>0</v>
      </c>
      <c r="W147" s="292" t="n"/>
      <c r="X147" s="292" t="n"/>
      <c r="Y147" s="443" t="n">
        <v>2560</v>
      </c>
      <c r="Z147" s="443" t="n">
        <v>48.64</v>
      </c>
      <c r="AA147" s="292" t="n"/>
      <c r="AB147" s="292" t="n"/>
    </row>
    <row r="148" ht="16.5" customHeight="1" s="331">
      <c r="B148" s="427" t="n">
        <v>46319</v>
      </c>
      <c r="C148" s="270" t="inlineStr">
        <is>
          <t>Sat</t>
        </is>
      </c>
      <c r="D148" s="271" t="n">
        <v>1425</v>
      </c>
      <c r="E148" s="37" t="n">
        <v>1120</v>
      </c>
      <c r="F148" s="38">
        <f>IFERROR(D148+E148+G148+U148+Y148,0)</f>
        <v>2900.0</v>
      </c>
      <c r="G148" s="272" t="n">
        <v>355</v>
      </c>
      <c r="H148" s="273">
        <f>SUMIFS('💸 Expenses'!$F$8:$F$5000,'💸 Expenses'!$B$8:$B$5000,"&gt;="&amp;B148,'💸 Expenses'!$B$8:$B$5000,"&lt;"&amp;(B148+1))</f>
        <v>10022.0</v>
      </c>
      <c r="I148" s="274">
        <f>IFERROR(F148-H148,0)</f>
        <v>-7122.0</v>
      </c>
      <c r="J148" s="275">
        <f>IFERROR(I148/F148,0)</f>
        <v>-2.455862</v>
      </c>
      <c r="K148" s="250" t="n"/>
      <c r="L148" s="276" t="inlineStr">
        <is>
          <t>Cierre via loka.py</t>
        </is>
      </c>
      <c r="M148" s="323" t="n"/>
      <c r="N148" s="324" t="n"/>
      <c r="O148" s="325" t="n"/>
      <c r="P148" s="326" t="n"/>
      <c r="Q148" s="324" t="n"/>
      <c r="R148" s="428">
        <f>IFERROR(D148*$T$7,0)</f>
        <v>57.85</v>
      </c>
      <c r="S148" s="324" t="n"/>
      <c r="T148" s="324" t="n"/>
      <c r="U148" s="428" t="n">
        <v>0</v>
      </c>
      <c r="V148" s="428" t="n">
        <v>0</v>
      </c>
      <c r="W148" s="324" t="n"/>
      <c r="X148" s="324" t="n"/>
      <c r="Y148" s="428" t="n">
        <v>0</v>
      </c>
      <c r="Z148" s="428" t="n">
        <v>0</v>
      </c>
      <c r="AA148" s="324" t="n"/>
      <c r="AB148" s="324" t="n"/>
    </row>
    <row r="149" ht="16.5" customHeight="1" s="331">
      <c r="B149" s="427" t="n">
        <v>46321</v>
      </c>
      <c r="C149" s="255" t="inlineStr">
        <is>
          <t>Mon</t>
        </is>
      </c>
      <c r="D149" s="256" t="n">
        <v>2210</v>
      </c>
      <c r="E149" s="49" t="n">
        <v>1760</v>
      </c>
      <c r="F149" s="50">
        <f>IFERROR(D149+E149+G149+U149+Y149,0)</f>
        <v>4179.0</v>
      </c>
      <c r="G149" s="257" t="n">
        <v>209</v>
      </c>
      <c r="H149" s="258">
        <f>SUMIFS('💸 Expenses'!$F$8:$F$5000,'💸 Expenses'!$B$8:$B$5000,"&gt;="&amp;B149,'💸 Expenses'!$B$8:$B$5000,"&lt;"&amp;(B149+1))</f>
        <v>2279.0</v>
      </c>
      <c r="I149" s="259">
        <f>IFERROR(F149-H149,0)</f>
        <v>1900.0</v>
      </c>
      <c r="J149" s="260">
        <f>IFERROR(I149/F149,0)</f>
        <v>0.454654</v>
      </c>
      <c r="K149" s="254" t="n"/>
      <c r="L149" s="261" t="inlineStr">
        <is>
          <t>Cierre via loka.py</t>
        </is>
      </c>
      <c r="M149" s="291" t="n"/>
      <c r="N149" s="292" t="n"/>
      <c r="O149" s="293" t="n"/>
      <c r="P149" s="294" t="n"/>
      <c r="Q149" s="292" t="n"/>
      <c r="R149" s="443">
        <f>IFERROR(D149*$T$7,0)</f>
        <v>89.73</v>
      </c>
      <c r="S149" s="292" t="n"/>
      <c r="T149" s="292" t="n"/>
      <c r="U149" s="443" t="n">
        <v>0</v>
      </c>
      <c r="V149" s="443" t="n">
        <v>0</v>
      </c>
      <c r="W149" s="292" t="n"/>
      <c r="X149" s="292" t="n"/>
      <c r="Y149" s="443" t="n">
        <v>0</v>
      </c>
      <c r="Z149" s="443" t="n">
        <v>0</v>
      </c>
      <c r="AA149" s="292" t="n"/>
      <c r="AB149" s="292" t="n"/>
    </row>
    <row r="150" ht="16.5" customHeight="1" s="331">
      <c r="B150" s="427" t="n">
        <v>46322</v>
      </c>
      <c r="C150" s="270" t="inlineStr">
        <is>
          <t>Tue</t>
        </is>
      </c>
      <c r="D150" s="271" t="n">
        <v>260</v>
      </c>
      <c r="E150" s="37" t="n">
        <v>1295</v>
      </c>
      <c r="F150" s="38">
        <f>IFERROR(D150+E150+G150+U150+Y150,0)</f>
        <v>3135.0</v>
      </c>
      <c r="G150" s="272" t="n">
        <v>0</v>
      </c>
      <c r="H150" s="273">
        <f>SUMIFS('💸 Expenses'!$F$8:$F$5000,'💸 Expenses'!$B$8:$B$5000,"&gt;="&amp;B150,'💸 Expenses'!$B$8:$B$5000,"&lt;"&amp;(B150+1))</f>
        <v>45.0</v>
      </c>
      <c r="I150" s="274">
        <f>IFERROR(F150-H150,0)</f>
        <v>3090.0</v>
      </c>
      <c r="J150" s="275">
        <f>IFERROR(I150/F150,0)</f>
        <v>0.985646</v>
      </c>
      <c r="K150" s="250" t="n"/>
      <c r="L150" s="276" t="inlineStr">
        <is>
          <t>Cierre via loka.py</t>
        </is>
      </c>
      <c r="M150" s="323" t="n"/>
      <c r="N150" s="324" t="n"/>
      <c r="O150" s="325" t="n"/>
      <c r="P150" s="326" t="n"/>
      <c r="Q150" s="324" t="n"/>
      <c r="R150" s="428">
        <f>IFERROR(D150*$T$7,0)</f>
        <v>10.56</v>
      </c>
      <c r="S150" s="324" t="n"/>
      <c r="T150" s="324" t="n"/>
      <c r="U150" s="428" t="n">
        <v>0</v>
      </c>
      <c r="V150" s="428" t="n">
        <v>0</v>
      </c>
      <c r="W150" s="324" t="n"/>
      <c r="X150" s="324" t="n"/>
      <c r="Y150" s="428" t="n">
        <v>1580</v>
      </c>
      <c r="Z150" s="428" t="n">
        <v>30.02</v>
      </c>
      <c r="AA150" s="324" t="n"/>
      <c r="AB150" s="324" t="n"/>
    </row>
    <row r="151" ht="16.5" customHeight="1" s="331">
      <c r="B151" s="427" t="n">
        <v>46323</v>
      </c>
      <c r="C151" s="255" t="inlineStr">
        <is>
          <t>Wed</t>
        </is>
      </c>
      <c r="D151" s="256" t="n">
        <v>490</v>
      </c>
      <c r="E151" s="49" t="n">
        <v>2340</v>
      </c>
      <c r="F151" s="50">
        <f>IFERROR(D151+E151+G151+U151+Y151,0)</f>
        <v>4365.0</v>
      </c>
      <c r="G151" s="257" t="n">
        <v>0</v>
      </c>
      <c r="H151" s="258">
        <f>SUMIFS('💸 Expenses'!$F$8:$F$5000,'💸 Expenses'!$B$8:$B$5000,"&gt;="&amp;B151,'💸 Expenses'!$B$8:$B$5000,"&lt;"&amp;(B151+1))</f>
        <v>4199.0</v>
      </c>
      <c r="I151" s="259">
        <f>IFERROR(F151-H151,0)</f>
        <v>166.0</v>
      </c>
      <c r="J151" s="260">
        <f>IFERROR(I151/F151,0)</f>
        <v>0.03803</v>
      </c>
      <c r="K151" s="254" t="n"/>
      <c r="L151" s="261" t="inlineStr">
        <is>
          <t>Cierre via loka.py</t>
        </is>
      </c>
      <c r="M151" s="291" t="n"/>
      <c r="N151" s="292" t="n"/>
      <c r="O151" s="293" t="n"/>
      <c r="P151" s="294" t="n"/>
      <c r="Q151" s="292" t="n"/>
      <c r="R151" s="443">
        <f>IFERROR(D151*$T$7,0)</f>
        <v>19.89</v>
      </c>
      <c r="S151" s="292" t="n"/>
      <c r="T151" s="292" t="n"/>
      <c r="U151" s="443" t="n">
        <v>0</v>
      </c>
      <c r="V151" s="443" t="n">
        <v>0</v>
      </c>
      <c r="W151" s="292" t="n"/>
      <c r="X151" s="292" t="n"/>
      <c r="Y151" s="443" t="n">
        <v>1535</v>
      </c>
      <c r="Z151" s="443" t="n">
        <v>29.16</v>
      </c>
      <c r="AA151" s="292" t="n"/>
      <c r="AB151" s="292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928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  <row r="883">
      <c r="B883" s="429" t="n">
        <v>46315</v>
      </c>
      <c r="C883" s="297" t="inlineStr">
        <is>
          <t>Oxxo Arroz</t>
        </is>
      </c>
      <c r="D883" s="298" t="inlineStr">
        <is>
          <t>OXXO</t>
        </is>
      </c>
      <c r="E883" s="297" t="inlineStr">
        <is>
          <t>Ingredients - Pantry</t>
        </is>
      </c>
      <c r="F883" s="299" t="n">
        <v>260</v>
      </c>
      <c r="G883" s="300" t="inlineStr">
        <is>
          <t>Restaurant</t>
        </is>
      </c>
      <c r="H883" s="300" t="inlineStr">
        <is>
          <t>Cash</t>
        </is>
      </c>
      <c r="I883" s="301" t="inlineStr">
        <is>
          <t>✅ Paid</t>
        </is>
      </c>
      <c r="J883" s="423" t="inlineStr">
        <is>
          <t>No receipt; cash</t>
        </is>
      </c>
    </row>
    <row r="884">
      <c r="B884" s="429" t="n">
        <v>46315</v>
      </c>
      <c r="C884" s="297" t="inlineStr">
        <is>
          <t>Oxxo Arroz</t>
        </is>
      </c>
      <c r="D884" s="298" t="inlineStr">
        <is>
          <t>OXXO</t>
        </is>
      </c>
      <c r="E884" s="297" t="inlineStr">
        <is>
          <t>Ingredients - Pantry</t>
        </is>
      </c>
      <c r="F884" s="299" t="n">
        <v>26</v>
      </c>
      <c r="G884" s="300" t="inlineStr">
        <is>
          <t>Restaurant</t>
        </is>
      </c>
      <c r="H884" s="300" t="inlineStr">
        <is>
          <t>Cash</t>
        </is>
      </c>
      <c r="I884" s="301" t="inlineStr">
        <is>
          <t>✅ Paid</t>
        </is>
      </c>
      <c r="J884" s="423" t="inlineStr">
        <is>
          <t>No receipt; cash</t>
        </is>
      </c>
    </row>
    <row r="885">
      <c r="B885" s="429" t="n">
        <v>46315</v>
      </c>
      <c r="C885" s="297" t="inlineStr">
        <is>
          <t>Carne</t>
        </is>
      </c>
      <c r="D885" s="298" t="inlineStr">
        <is>
          <t>No bill</t>
        </is>
      </c>
      <c r="E885" s="297" t="inlineStr">
        <is>
          <t>Ingredients - Meat</t>
        </is>
      </c>
      <c r="F885" s="299" t="n">
        <v>570</v>
      </c>
      <c r="G885" s="300" t="inlineStr">
        <is>
          <t>Restaurant</t>
        </is>
      </c>
      <c r="H885" s="300" t="inlineStr">
        <is>
          <t>Cash</t>
        </is>
      </c>
      <c r="I885" s="301" t="inlineStr">
        <is>
          <t>✅ Paid</t>
        </is>
      </c>
      <c r="J885" s="423" t="inlineStr">
        <is>
          <t>No receipt; cash</t>
        </is>
      </c>
    </row>
    <row r="886">
      <c r="B886" s="429" t="n">
        <v>46315</v>
      </c>
      <c r="C886" s="297" t="inlineStr">
        <is>
          <t>Pan Real</t>
        </is>
      </c>
      <c r="D886" s="298" t="inlineStr">
        <is>
          <t>No bill</t>
        </is>
      </c>
      <c r="E886" s="297" t="inlineStr">
        <is>
          <t>Ingredients - Bread</t>
        </is>
      </c>
      <c r="F886" s="299" t="n">
        <v>1576</v>
      </c>
      <c r="G886" s="300" t="inlineStr">
        <is>
          <t>Restaurant</t>
        </is>
      </c>
      <c r="H886" s="300" t="inlineStr">
        <is>
          <t>Cash</t>
        </is>
      </c>
      <c r="I886" s="301" t="inlineStr">
        <is>
          <t>✅ Paid</t>
        </is>
      </c>
      <c r="J886" s="423" t="inlineStr">
        <is>
          <t>No receipt; cash</t>
        </is>
      </c>
    </row>
    <row r="887">
      <c r="B887" s="429" t="n">
        <v>46315</v>
      </c>
      <c r="C887" s="297" t="inlineStr">
        <is>
          <t>Sams Club</t>
        </is>
      </c>
      <c r="D887" s="298" t="inlineStr">
        <is>
          <t>Sam's Club</t>
        </is>
      </c>
      <c r="E887" s="297" t="inlineStr">
        <is>
          <t>Supermarket/General</t>
        </is>
      </c>
      <c r="F887" s="299" t="n">
        <v>1154</v>
      </c>
      <c r="G887" s="300" t="inlineStr">
        <is>
          <t>Restaurant</t>
        </is>
      </c>
      <c r="H887" s="300" t="inlineStr">
        <is>
          <t>Cash</t>
        </is>
      </c>
      <c r="I887" s="301" t="inlineStr">
        <is>
          <t>✅ Paid</t>
        </is>
      </c>
      <c r="J887" s="423" t="inlineStr">
        <is>
          <t>No receipt; cash</t>
        </is>
      </c>
    </row>
    <row r="888">
      <c r="B888" s="429" t="n">
        <v>46315</v>
      </c>
      <c r="C888" s="297" t="inlineStr">
        <is>
          <t>Chedraui</t>
        </is>
      </c>
      <c r="D888" s="298" t="inlineStr">
        <is>
          <t>Chedraui</t>
        </is>
      </c>
      <c r="E888" s="297" t="inlineStr">
        <is>
          <t>Supermarket/General</t>
        </is>
      </c>
      <c r="F888" s="299" t="n">
        <v>104</v>
      </c>
      <c r="G888" s="300" t="inlineStr">
        <is>
          <t>Restaurant</t>
        </is>
      </c>
      <c r="H888" s="300" t="inlineStr">
        <is>
          <t>Cash</t>
        </is>
      </c>
      <c r="I888" s="301" t="inlineStr">
        <is>
          <t>✅ Paid</t>
        </is>
      </c>
      <c r="J888" s="423" t="inlineStr">
        <is>
          <t>No receipt; cash</t>
        </is>
      </c>
    </row>
    <row r="889">
      <c r="B889" s="429" t="n">
        <v>46315</v>
      </c>
      <c r="C889" s="297" t="inlineStr">
        <is>
          <t>Julio Contador</t>
        </is>
      </c>
      <c r="D889" s="298" t="inlineStr">
        <is>
          <t>No bill</t>
        </is>
      </c>
      <c r="E889" s="297" t="inlineStr">
        <is>
          <t>Professional Services</t>
        </is>
      </c>
      <c r="F889" s="299" t="n">
        <v>1800</v>
      </c>
      <c r="G889" s="300" t="inlineStr">
        <is>
          <t>Restaurant</t>
        </is>
      </c>
      <c r="H889" s="300" t="inlineStr">
        <is>
          <t>Cash</t>
        </is>
      </c>
      <c r="I889" s="301" t="inlineStr">
        <is>
          <t>✅ Paid</t>
        </is>
      </c>
      <c r="J889" s="423" t="inlineStr">
        <is>
          <t>No receipt; cash</t>
        </is>
      </c>
    </row>
    <row r="890">
      <c r="B890" s="429" t="n">
        <v>46315</v>
      </c>
      <c r="C890" s="297" t="inlineStr">
        <is>
          <t>Taxes</t>
        </is>
      </c>
      <c r="D890" s="298" t="inlineStr">
        <is>
          <t>No bill</t>
        </is>
      </c>
      <c r="E890" s="297" t="inlineStr">
        <is>
          <t>Taxes</t>
        </is>
      </c>
      <c r="F890" s="299" t="n">
        <v>4756</v>
      </c>
      <c r="G890" s="300" t="inlineStr">
        <is>
          <t>Restaurant</t>
        </is>
      </c>
      <c r="H890" s="300" t="inlineStr">
        <is>
          <t>Cash</t>
        </is>
      </c>
      <c r="I890" s="301" t="inlineStr">
        <is>
          <t>✅ Paid</t>
        </is>
      </c>
      <c r="J890" s="423" t="inlineStr">
        <is>
          <t>No receipt; cash</t>
        </is>
      </c>
    </row>
    <row r="891">
      <c r="B891" s="429" t="n">
        <v>46315</v>
      </c>
      <c r="C891" s="297" t="inlineStr">
        <is>
          <t>Pollo</t>
        </is>
      </c>
      <c r="D891" s="298" t="inlineStr">
        <is>
          <t>No bill</t>
        </is>
      </c>
      <c r="E891" s="297" t="inlineStr">
        <is>
          <t>Ingredients - Meat</t>
        </is>
      </c>
      <c r="F891" s="299" t="n">
        <v>1334</v>
      </c>
      <c r="G891" s="300" t="inlineStr">
        <is>
          <t>Lohith</t>
        </is>
      </c>
      <c r="H891" s="300" t="inlineStr">
        <is>
          <t>Cash</t>
        </is>
      </c>
      <c r="I891" s="301" t="inlineStr">
        <is>
          <t>✅ Paid</t>
        </is>
      </c>
      <c r="J891" s="423" t="inlineStr">
        <is>
          <t>Pagado por Lohith (bolsillo); reembolsable via Owner Ledger</t>
        </is>
      </c>
    </row>
    <row r="892">
      <c r="B892" s="429" t="n">
        <v>46316</v>
      </c>
      <c r="C892" s="297" t="inlineStr">
        <is>
          <t>Pescado</t>
        </is>
      </c>
      <c r="D892" s="298" t="inlineStr">
        <is>
          <t>No bill</t>
        </is>
      </c>
      <c r="E892" s="297" t="inlineStr">
        <is>
          <t>Ingredients - Meat &amp; Fish</t>
        </is>
      </c>
      <c r="F892" s="299" t="n">
        <v>325</v>
      </c>
      <c r="G892" s="300" t="inlineStr">
        <is>
          <t>Restaurant</t>
        </is>
      </c>
      <c r="H892" s="300" t="inlineStr">
        <is>
          <t>Cash</t>
        </is>
      </c>
      <c r="I892" s="301" t="inlineStr">
        <is>
          <t>✅ Paid</t>
        </is>
      </c>
      <c r="J892" s="423" t="inlineStr">
        <is>
          <t>No receipt; cash</t>
        </is>
      </c>
    </row>
    <row r="893">
      <c r="B893" s="429" t="n">
        <v>46316</v>
      </c>
      <c r="C893" s="297" t="inlineStr">
        <is>
          <t>Carne</t>
        </is>
      </c>
      <c r="D893" s="298" t="inlineStr">
        <is>
          <t>No bill</t>
        </is>
      </c>
      <c r="E893" s="297" t="inlineStr">
        <is>
          <t>Ingredients - Meat</t>
        </is>
      </c>
      <c r="F893" s="299" t="n">
        <v>570</v>
      </c>
      <c r="G893" s="300" t="inlineStr">
        <is>
          <t>Restaurant</t>
        </is>
      </c>
      <c r="H893" s="300" t="inlineStr">
        <is>
          <t>Cash</t>
        </is>
      </c>
      <c r="I893" s="301" t="inlineStr">
        <is>
          <t>✅ Paid</t>
        </is>
      </c>
      <c r="J893" s="423" t="inlineStr">
        <is>
          <t>No receipt; cash</t>
        </is>
      </c>
    </row>
    <row r="894">
      <c r="B894" s="429" t="n">
        <v>46316</v>
      </c>
      <c r="C894" s="297" t="inlineStr">
        <is>
          <t>Etrusca</t>
        </is>
      </c>
      <c r="D894" s="298" t="inlineStr">
        <is>
          <t>No bill</t>
        </is>
      </c>
      <c r="E894" s="297" t="inlineStr">
        <is>
          <t>Supplies/Other</t>
        </is>
      </c>
      <c r="F894" s="299" t="n">
        <v>1796</v>
      </c>
      <c r="G894" s="300" t="inlineStr">
        <is>
          <t>Restaurant</t>
        </is>
      </c>
      <c r="H894" s="300" t="inlineStr">
        <is>
          <t>Cash</t>
        </is>
      </c>
      <c r="I894" s="301" t="inlineStr">
        <is>
          <t>✅ Paid</t>
        </is>
      </c>
      <c r="J894" s="423" t="inlineStr">
        <is>
          <t>No receipt; cash</t>
        </is>
      </c>
    </row>
    <row r="895">
      <c r="B895" s="429" t="n">
        <v>46316</v>
      </c>
      <c r="C895" s="297" t="inlineStr">
        <is>
          <t>Soft App</t>
        </is>
      </c>
      <c r="D895" s="298" t="inlineStr">
        <is>
          <t>No bill</t>
        </is>
      </c>
      <c r="E895" s="297" t="inlineStr">
        <is>
          <t>Software/Subscription</t>
        </is>
      </c>
      <c r="F895" s="299" t="n">
        <v>810</v>
      </c>
      <c r="G895" s="300" t="inlineStr">
        <is>
          <t>Restaurant</t>
        </is>
      </c>
      <c r="H895" s="300" t="inlineStr">
        <is>
          <t>Cash</t>
        </is>
      </c>
      <c r="I895" s="301" t="inlineStr">
        <is>
          <t>✅ Paid</t>
        </is>
      </c>
      <c r="J895" s="423" t="inlineStr">
        <is>
          <t>No receipt; cash</t>
        </is>
      </c>
    </row>
    <row r="896">
      <c r="B896" s="429" t="n">
        <v>46317</v>
      </c>
      <c r="C896" s="297" t="inlineStr">
        <is>
          <t>Chedraui</t>
        </is>
      </c>
      <c r="D896" s="298" t="inlineStr">
        <is>
          <t>Chedraui</t>
        </is>
      </c>
      <c r="E896" s="297" t="inlineStr">
        <is>
          <t>Supermarket/General</t>
        </is>
      </c>
      <c r="F896" s="299" t="n">
        <v>252</v>
      </c>
      <c r="G896" s="300" t="inlineStr">
        <is>
          <t>Restaurant</t>
        </is>
      </c>
      <c r="H896" s="300" t="inlineStr">
        <is>
          <t>Cash</t>
        </is>
      </c>
      <c r="I896" s="301" t="inlineStr">
        <is>
          <t>✅ Paid</t>
        </is>
      </c>
      <c r="J896" s="423" t="inlineStr">
        <is>
          <t>No receipt; cash</t>
        </is>
      </c>
    </row>
    <row r="897">
      <c r="B897" s="429" t="n">
        <v>46317</v>
      </c>
      <c r="C897" s="297" t="inlineStr">
        <is>
          <t>Vegetables</t>
        </is>
      </c>
      <c r="D897" s="298" t="inlineStr">
        <is>
          <t>No bill</t>
        </is>
      </c>
      <c r="E897" s="297" t="inlineStr">
        <is>
          <t>Ingredients - Vegetables</t>
        </is>
      </c>
      <c r="F897" s="299" t="n">
        <v>118</v>
      </c>
      <c r="G897" s="300" t="inlineStr">
        <is>
          <t>Restaurant</t>
        </is>
      </c>
      <c r="H897" s="300" t="inlineStr">
        <is>
          <t>Cash</t>
        </is>
      </c>
      <c r="I897" s="301" t="inlineStr">
        <is>
          <t>✅ Paid</t>
        </is>
      </c>
      <c r="J897" s="423" t="inlineStr">
        <is>
          <t>No receipt; cash</t>
        </is>
      </c>
    </row>
    <row r="898">
      <c r="B898" s="429" t="n">
        <v>46317</v>
      </c>
      <c r="C898" s="297" t="inlineStr">
        <is>
          <t>Mango</t>
        </is>
      </c>
      <c r="D898" s="298" t="inlineStr">
        <is>
          <t>No bill</t>
        </is>
      </c>
      <c r="E898" s="297" t="inlineStr">
        <is>
          <t>Ingredients - Vegetables</t>
        </is>
      </c>
      <c r="F898" s="299" t="n">
        <v>425</v>
      </c>
      <c r="G898" s="300" t="inlineStr">
        <is>
          <t>Restaurant</t>
        </is>
      </c>
      <c r="H898" s="300" t="inlineStr">
        <is>
          <t>Cash</t>
        </is>
      </c>
      <c r="I898" s="301" t="inlineStr">
        <is>
          <t>✅ Paid</t>
        </is>
      </c>
      <c r="J898" s="423" t="inlineStr">
        <is>
          <t>No receipt; cash</t>
        </is>
      </c>
    </row>
    <row r="899">
      <c r="B899" s="429" t="n">
        <v>46317</v>
      </c>
      <c r="C899" s="297" t="inlineStr">
        <is>
          <t>Pan Dulce</t>
        </is>
      </c>
      <c r="D899" s="298" t="inlineStr">
        <is>
          <t>No bill</t>
        </is>
      </c>
      <c r="E899" s="297" t="inlineStr">
        <is>
          <t>Ingredients - Bread</t>
        </is>
      </c>
      <c r="F899" s="299" t="n">
        <v>64</v>
      </c>
      <c r="G899" s="300" t="inlineStr">
        <is>
          <t>Restaurant</t>
        </is>
      </c>
      <c r="H899" s="300" t="inlineStr">
        <is>
          <t>Cash</t>
        </is>
      </c>
      <c r="I899" s="301" t="inlineStr">
        <is>
          <t>✅ Paid</t>
        </is>
      </c>
      <c r="J899" s="423" t="inlineStr">
        <is>
          <t>No receipt; cash</t>
        </is>
      </c>
    </row>
    <row r="900">
      <c r="B900" s="429" t="n">
        <v>46317</v>
      </c>
      <c r="C900" s="297" t="inlineStr">
        <is>
          <t>Pollo</t>
        </is>
      </c>
      <c r="D900" s="298" t="inlineStr">
        <is>
          <t>No bill</t>
        </is>
      </c>
      <c r="E900" s="297" t="inlineStr">
        <is>
          <t>Ingredients - Meat</t>
        </is>
      </c>
      <c r="F900" s="299" t="n">
        <v>185</v>
      </c>
      <c r="G900" s="300" t="inlineStr">
        <is>
          <t>Restaurant</t>
        </is>
      </c>
      <c r="H900" s="300" t="inlineStr">
        <is>
          <t>Cash</t>
        </is>
      </c>
      <c r="I900" s="301" t="inlineStr">
        <is>
          <t>✅ Paid</t>
        </is>
      </c>
      <c r="J900" s="423" t="inlineStr">
        <is>
          <t>No receipt; cash</t>
        </is>
      </c>
    </row>
    <row r="901">
      <c r="B901" s="429" t="n">
        <v>46317</v>
      </c>
      <c r="C901" s="297" t="inlineStr">
        <is>
          <t>Molino</t>
        </is>
      </c>
      <c r="D901" s="298" t="inlineStr">
        <is>
          <t>No bill</t>
        </is>
      </c>
      <c r="E901" s="297" t="inlineStr">
        <is>
          <t>Supermarket/General</t>
        </is>
      </c>
      <c r="F901" s="299" t="n">
        <v>138</v>
      </c>
      <c r="G901" s="300" t="inlineStr">
        <is>
          <t>Restaurant</t>
        </is>
      </c>
      <c r="H901" s="300" t="inlineStr">
        <is>
          <t>Cash</t>
        </is>
      </c>
      <c r="I901" s="301" t="inlineStr">
        <is>
          <t>✅ Paid</t>
        </is>
      </c>
      <c r="J901" s="423" t="inlineStr">
        <is>
          <t>No receipt; cash</t>
        </is>
      </c>
    </row>
    <row r="902">
      <c r="B902" s="429" t="n">
        <v>46317</v>
      </c>
      <c r="C902" s="297" t="inlineStr">
        <is>
          <t>Oxxo Aceite</t>
        </is>
      </c>
      <c r="D902" s="298" t="inlineStr">
        <is>
          <t>OXXO</t>
        </is>
      </c>
      <c r="E902" s="297" t="inlineStr">
        <is>
          <t>Ingredients - Pantry</t>
        </is>
      </c>
      <c r="F902" s="299" t="n">
        <v>112</v>
      </c>
      <c r="G902" s="300" t="inlineStr">
        <is>
          <t>Restaurant</t>
        </is>
      </c>
      <c r="H902" s="300" t="inlineStr">
        <is>
          <t>Cash</t>
        </is>
      </c>
      <c r="I902" s="301" t="inlineStr">
        <is>
          <t>✅ Paid</t>
        </is>
      </c>
      <c r="J902" s="423" t="inlineStr">
        <is>
          <t>No receipt; cash</t>
        </is>
      </c>
    </row>
    <row r="903">
      <c r="B903" s="429" t="n">
        <v>46318</v>
      </c>
      <c r="C903" s="297" t="inlineStr">
        <is>
          <t>Pan Real</t>
        </is>
      </c>
      <c r="D903" s="298" t="inlineStr">
        <is>
          <t>No bill</t>
        </is>
      </c>
      <c r="E903" s="297" t="inlineStr">
        <is>
          <t>Ingredients - Bread</t>
        </is>
      </c>
      <c r="F903" s="299" t="n">
        <v>288</v>
      </c>
      <c r="G903" s="300" t="inlineStr">
        <is>
          <t>Restaurant</t>
        </is>
      </c>
      <c r="H903" s="300" t="inlineStr">
        <is>
          <t>Cash</t>
        </is>
      </c>
      <c r="I903" s="301" t="inlineStr">
        <is>
          <t>✅ Paid</t>
        </is>
      </c>
      <c r="J903" s="423" t="inlineStr">
        <is>
          <t>No receipt; cash</t>
        </is>
      </c>
    </row>
    <row r="904">
      <c r="B904" s="429" t="n">
        <v>46318</v>
      </c>
      <c r="C904" s="297" t="inlineStr">
        <is>
          <t>Oxxo</t>
        </is>
      </c>
      <c r="D904" s="298" t="inlineStr">
        <is>
          <t>OXXO</t>
        </is>
      </c>
      <c r="E904" s="297" t="inlineStr">
        <is>
          <t>Ingredients - Pantry</t>
        </is>
      </c>
      <c r="F904" s="299" t="n">
        <v>108</v>
      </c>
      <c r="G904" s="300" t="inlineStr">
        <is>
          <t>Restaurant</t>
        </is>
      </c>
      <c r="H904" s="300" t="inlineStr">
        <is>
          <t>Cash</t>
        </is>
      </c>
      <c r="I904" s="301" t="inlineStr">
        <is>
          <t>✅ Paid</t>
        </is>
      </c>
      <c r="J904" s="423" t="inlineStr">
        <is>
          <t>No receipt; cash</t>
        </is>
      </c>
    </row>
    <row r="905">
      <c r="B905" s="429" t="n">
        <v>46318</v>
      </c>
      <c r="C905" s="297" t="inlineStr">
        <is>
          <t>Carne</t>
        </is>
      </c>
      <c r="D905" s="298" t="inlineStr">
        <is>
          <t>No bill</t>
        </is>
      </c>
      <c r="E905" s="297" t="inlineStr">
        <is>
          <t>Ingredients - Meat</t>
        </is>
      </c>
      <c r="F905" s="299" t="n">
        <v>292</v>
      </c>
      <c r="G905" s="300" t="inlineStr">
        <is>
          <t>Restaurant</t>
        </is>
      </c>
      <c r="H905" s="300" t="inlineStr">
        <is>
          <t>Cash</t>
        </is>
      </c>
      <c r="I905" s="301" t="inlineStr">
        <is>
          <t>✅ Paid</t>
        </is>
      </c>
      <c r="J905" s="423" t="inlineStr">
        <is>
          <t>No receipt; cash</t>
        </is>
      </c>
    </row>
    <row r="906">
      <c r="B906" s="429" t="n">
        <v>46318</v>
      </c>
      <c r="C906" s="297" t="inlineStr">
        <is>
          <t>Sams club</t>
        </is>
      </c>
      <c r="D906" s="298" t="inlineStr">
        <is>
          <t>Sam's Club</t>
        </is>
      </c>
      <c r="E906" s="297" t="inlineStr">
        <is>
          <t>Supermarket/General</t>
        </is>
      </c>
      <c r="F906" s="299" t="n">
        <v>471</v>
      </c>
      <c r="G906" s="300" t="inlineStr">
        <is>
          <t>Restaurant</t>
        </is>
      </c>
      <c r="H906" s="300" t="inlineStr">
        <is>
          <t>Cash</t>
        </is>
      </c>
      <c r="I906" s="301" t="inlineStr">
        <is>
          <t>✅ Paid</t>
        </is>
      </c>
      <c r="J906" s="423" t="inlineStr">
        <is>
          <t>No receipt; cash</t>
        </is>
      </c>
    </row>
    <row r="907">
      <c r="B907" s="429" t="n">
        <v>46318</v>
      </c>
      <c r="C907" s="297" t="inlineStr">
        <is>
          <t>Duvi - salary</t>
        </is>
      </c>
      <c r="D907" s="298" t="inlineStr">
        <is>
          <t>Payroll</t>
        </is>
      </c>
      <c r="E907" s="297" t="inlineStr">
        <is>
          <t>Staff - Salary</t>
        </is>
      </c>
      <c r="F907" s="299" t="n">
        <v>1460</v>
      </c>
      <c r="G907" s="300" t="inlineStr">
        <is>
          <t>Restaurant</t>
        </is>
      </c>
      <c r="H907" s="300" t="inlineStr">
        <is>
          <t>Cash</t>
        </is>
      </c>
      <c r="I907" s="301" t="inlineStr">
        <is>
          <t>✅ Paid</t>
        </is>
      </c>
      <c r="J907" s="423" t="inlineStr">
        <is>
          <t>Weekly salary</t>
        </is>
      </c>
    </row>
    <row r="908">
      <c r="B908" s="429" t="n">
        <v>46319</v>
      </c>
      <c r="C908" s="297" t="inlineStr">
        <is>
          <t>Walmart</t>
        </is>
      </c>
      <c r="D908" s="298" t="inlineStr">
        <is>
          <t>Walmart</t>
        </is>
      </c>
      <c r="E908" s="297" t="inlineStr">
        <is>
          <t>Supermarket/General</t>
        </is>
      </c>
      <c r="F908" s="299" t="n">
        <v>363</v>
      </c>
      <c r="G908" s="300" t="inlineStr">
        <is>
          <t>Restaurant</t>
        </is>
      </c>
      <c r="H908" s="300" t="inlineStr">
        <is>
          <t>Cash</t>
        </is>
      </c>
      <c r="I908" s="301" t="inlineStr">
        <is>
          <t>✅ Paid</t>
        </is>
      </c>
      <c r="J908" s="423" t="inlineStr">
        <is>
          <t>No receipt; cash</t>
        </is>
      </c>
    </row>
    <row r="909">
      <c r="B909" s="429" t="n">
        <v>46319</v>
      </c>
      <c r="C909" s="297" t="inlineStr">
        <is>
          <t>3B</t>
        </is>
      </c>
      <c r="D909" s="298" t="inlineStr">
        <is>
          <t>Tres B</t>
        </is>
      </c>
      <c r="E909" s="297" t="inlineStr">
        <is>
          <t>Supermarket/General</t>
        </is>
      </c>
      <c r="F909" s="299" t="n">
        <v>879</v>
      </c>
      <c r="G909" s="300" t="inlineStr">
        <is>
          <t>Restaurant</t>
        </is>
      </c>
      <c r="H909" s="300" t="inlineStr">
        <is>
          <t>Cash</t>
        </is>
      </c>
      <c r="I909" s="301" t="inlineStr">
        <is>
          <t>✅ Paid</t>
        </is>
      </c>
      <c r="J909" s="423" t="inlineStr">
        <is>
          <t>No receipt; cash</t>
        </is>
      </c>
    </row>
    <row r="910">
      <c r="B910" s="429" t="n">
        <v>46319</v>
      </c>
      <c r="C910" s="297" t="inlineStr">
        <is>
          <t>Decoration</t>
        </is>
      </c>
      <c r="D910" s="298" t="inlineStr">
        <is>
          <t>No bill</t>
        </is>
      </c>
      <c r="E910" s="297" t="inlineStr">
        <is>
          <t>Supplies/Other</t>
        </is>
      </c>
      <c r="F910" s="299" t="n">
        <v>180</v>
      </c>
      <c r="G910" s="300" t="inlineStr">
        <is>
          <t>Restaurant</t>
        </is>
      </c>
      <c r="H910" s="300" t="inlineStr">
        <is>
          <t>Cash</t>
        </is>
      </c>
      <c r="I910" s="301" t="inlineStr">
        <is>
          <t>✅ Paid</t>
        </is>
      </c>
      <c r="J910" s="423" t="inlineStr">
        <is>
          <t>No receipt; cash</t>
        </is>
      </c>
    </row>
    <row r="911">
      <c r="B911" s="429" t="n">
        <v>46319</v>
      </c>
      <c r="C911" s="297" t="inlineStr">
        <is>
          <t>Vegetables</t>
        </is>
      </c>
      <c r="D911" s="298" t="inlineStr">
        <is>
          <t>No bill</t>
        </is>
      </c>
      <c r="E911" s="297" t="inlineStr">
        <is>
          <t>Ingredients - Vegetables</t>
        </is>
      </c>
      <c r="F911" s="299" t="n">
        <v>1500</v>
      </c>
      <c r="G911" s="300" t="inlineStr">
        <is>
          <t>Restaurant</t>
        </is>
      </c>
      <c r="H911" s="300" t="inlineStr">
        <is>
          <t>Cash</t>
        </is>
      </c>
      <c r="I911" s="301" t="inlineStr">
        <is>
          <t>✅ Paid</t>
        </is>
      </c>
      <c r="J911" s="423" t="inlineStr">
        <is>
          <t>No receipt; cash</t>
        </is>
      </c>
    </row>
    <row r="912">
      <c r="B912" s="429" t="n">
        <v>46319</v>
      </c>
      <c r="C912" s="297" t="inlineStr">
        <is>
          <t>Rodrigo - salary</t>
        </is>
      </c>
      <c r="D912" s="298" t="inlineStr">
        <is>
          <t>Payroll</t>
        </is>
      </c>
      <c r="E912" s="297" t="inlineStr">
        <is>
          <t>Staff - Salary</t>
        </is>
      </c>
      <c r="F912" s="299" t="n">
        <v>1500</v>
      </c>
      <c r="G912" s="300" t="inlineStr">
        <is>
          <t>Restaurant</t>
        </is>
      </c>
      <c r="H912" s="300" t="inlineStr">
        <is>
          <t>Cash</t>
        </is>
      </c>
      <c r="I912" s="301" t="inlineStr">
        <is>
          <t>✅ Paid</t>
        </is>
      </c>
      <c r="J912" s="423" t="inlineStr">
        <is>
          <t>Weekly salary</t>
        </is>
      </c>
    </row>
    <row r="913">
      <c r="B913" s="429" t="n">
        <v>46319</v>
      </c>
      <c r="C913" s="297" t="inlineStr">
        <is>
          <t>Josias - salary</t>
        </is>
      </c>
      <c r="D913" s="298" t="inlineStr">
        <is>
          <t>Payroll</t>
        </is>
      </c>
      <c r="E913" s="297" t="inlineStr">
        <is>
          <t>Staff - Salary</t>
        </is>
      </c>
      <c r="F913" s="299" t="n">
        <v>1850</v>
      </c>
      <c r="G913" s="300" t="inlineStr">
        <is>
          <t>Restaurant</t>
        </is>
      </c>
      <c r="H913" s="300" t="inlineStr">
        <is>
          <t>Cash</t>
        </is>
      </c>
      <c r="I913" s="301" t="inlineStr">
        <is>
          <t>✅ Paid</t>
        </is>
      </c>
      <c r="J913" s="423" t="inlineStr">
        <is>
          <t>Weekly salary</t>
        </is>
      </c>
    </row>
    <row r="914">
      <c r="B914" s="429" t="n">
        <v>46319</v>
      </c>
      <c r="C914" s="297" t="inlineStr">
        <is>
          <t>Jhon - salary</t>
        </is>
      </c>
      <c r="D914" s="298" t="inlineStr">
        <is>
          <t>Payroll</t>
        </is>
      </c>
      <c r="E914" s="297" t="inlineStr">
        <is>
          <t>Staff - Salary</t>
        </is>
      </c>
      <c r="F914" s="299" t="n">
        <v>3750</v>
      </c>
      <c r="G914" s="300" t="inlineStr">
        <is>
          <t>Restaurant</t>
        </is>
      </c>
      <c r="H914" s="300" t="inlineStr">
        <is>
          <t>Cash</t>
        </is>
      </c>
      <c r="I914" s="301" t="inlineStr">
        <is>
          <t>✅ Paid</t>
        </is>
      </c>
      <c r="J914" s="423" t="inlineStr">
        <is>
          <t>Weekly salary</t>
        </is>
      </c>
    </row>
    <row r="915">
      <c r="B915" s="429" t="n">
        <v>46321</v>
      </c>
      <c r="C915" s="297" t="inlineStr">
        <is>
          <t>Carne</t>
        </is>
      </c>
      <c r="D915" s="298" t="inlineStr">
        <is>
          <t>No bill</t>
        </is>
      </c>
      <c r="E915" s="297" t="inlineStr">
        <is>
          <t>Ingredients - Meat</t>
        </is>
      </c>
      <c r="F915" s="299" t="n">
        <v>1081</v>
      </c>
      <c r="G915" s="300" t="inlineStr">
        <is>
          <t>Restaurant</t>
        </is>
      </c>
      <c r="H915" s="300" t="inlineStr">
        <is>
          <t>Cash</t>
        </is>
      </c>
      <c r="I915" s="301" t="inlineStr">
        <is>
          <t>✅ Paid</t>
        </is>
      </c>
      <c r="J915" s="423" t="inlineStr">
        <is>
          <t>No receipt; cash</t>
        </is>
      </c>
    </row>
    <row r="916">
      <c r="B916" s="429" t="n">
        <v>46321</v>
      </c>
      <c r="C916" s="297" t="inlineStr">
        <is>
          <t>Jamon</t>
        </is>
      </c>
      <c r="D916" s="298" t="inlineStr">
        <is>
          <t>No bill</t>
        </is>
      </c>
      <c r="E916" s="297" t="inlineStr">
        <is>
          <t>Ingredients - Meat</t>
        </is>
      </c>
      <c r="F916" s="299" t="n">
        <v>181</v>
      </c>
      <c r="G916" s="300" t="inlineStr">
        <is>
          <t>Restaurant</t>
        </is>
      </c>
      <c r="H916" s="300" t="inlineStr">
        <is>
          <t>Cash</t>
        </is>
      </c>
      <c r="I916" s="301" t="inlineStr">
        <is>
          <t>✅ Paid</t>
        </is>
      </c>
      <c r="J916" s="423" t="inlineStr">
        <is>
          <t>No receipt; cash</t>
        </is>
      </c>
    </row>
    <row r="917">
      <c r="B917" s="429" t="n">
        <v>46321</v>
      </c>
      <c r="C917" s="297" t="inlineStr">
        <is>
          <t>Chedraui</t>
        </is>
      </c>
      <c r="D917" s="298" t="inlineStr">
        <is>
          <t>Chedraui</t>
        </is>
      </c>
      <c r="E917" s="297" t="inlineStr">
        <is>
          <t>Supermarket/General</t>
        </is>
      </c>
      <c r="F917" s="299" t="n">
        <v>280</v>
      </c>
      <c r="G917" s="300" t="inlineStr">
        <is>
          <t>Restaurant</t>
        </is>
      </c>
      <c r="H917" s="300" t="inlineStr">
        <is>
          <t>Cash</t>
        </is>
      </c>
      <c r="I917" s="301" t="inlineStr">
        <is>
          <t>✅ Paid</t>
        </is>
      </c>
      <c r="J917" s="423" t="inlineStr">
        <is>
          <t>No receipt; cash</t>
        </is>
      </c>
    </row>
    <row r="918">
      <c r="B918" s="429" t="n">
        <v>46321</v>
      </c>
      <c r="C918" s="297" t="inlineStr">
        <is>
          <t>Tortillas</t>
        </is>
      </c>
      <c r="D918" s="298" t="inlineStr">
        <is>
          <t>No bill</t>
        </is>
      </c>
      <c r="E918" s="297" t="inlineStr">
        <is>
          <t>Ingredients - Bread</t>
        </is>
      </c>
      <c r="F918" s="299" t="n">
        <v>70</v>
      </c>
      <c r="G918" s="300" t="inlineStr">
        <is>
          <t>Restaurant</t>
        </is>
      </c>
      <c r="H918" s="300" t="inlineStr">
        <is>
          <t>Cash</t>
        </is>
      </c>
      <c r="I918" s="301" t="inlineStr">
        <is>
          <t>✅ Paid</t>
        </is>
      </c>
      <c r="J918" s="423" t="inlineStr">
        <is>
          <t>No receipt; cash</t>
        </is>
      </c>
    </row>
    <row r="919">
      <c r="B919" s="429" t="n">
        <v>46321</v>
      </c>
      <c r="C919" s="297" t="inlineStr">
        <is>
          <t>Pollo</t>
        </is>
      </c>
      <c r="D919" s="298" t="inlineStr">
        <is>
          <t>No bill</t>
        </is>
      </c>
      <c r="E919" s="297" t="inlineStr">
        <is>
          <t>Ingredients - Meat</t>
        </is>
      </c>
      <c r="F919" s="299" t="n">
        <v>667</v>
      </c>
      <c r="G919" s="300" t="inlineStr">
        <is>
          <t>Lohith</t>
        </is>
      </c>
      <c r="H919" s="300" t="inlineStr">
        <is>
          <t>Cash</t>
        </is>
      </c>
      <c r="I919" s="301" t="inlineStr">
        <is>
          <t>✅ Paid</t>
        </is>
      </c>
      <c r="J919" s="423" t="inlineStr">
        <is>
          <t>Pagado por Lohith (bolsillo); reembolsable via Owner Ledger</t>
        </is>
      </c>
    </row>
    <row r="920">
      <c r="B920" s="429" t="n">
        <v>46322</v>
      </c>
      <c r="C920" s="297" t="inlineStr">
        <is>
          <t>Agua Natural</t>
        </is>
      </c>
      <c r="D920" s="298" t="inlineStr">
        <is>
          <t>No bill</t>
        </is>
      </c>
      <c r="E920" s="297" t="inlineStr">
        <is>
          <t>Ingredients - Beverages</t>
        </is>
      </c>
      <c r="F920" s="299" t="n">
        <v>45</v>
      </c>
      <c r="G920" s="300" t="inlineStr">
        <is>
          <t>Restaurant</t>
        </is>
      </c>
      <c r="H920" s="300" t="inlineStr">
        <is>
          <t>Cash</t>
        </is>
      </c>
      <c r="I920" s="301" t="inlineStr">
        <is>
          <t>✅ Paid</t>
        </is>
      </c>
      <c r="J920" s="423" t="inlineStr">
        <is>
          <t>No receipt; cash</t>
        </is>
      </c>
    </row>
    <row r="921">
      <c r="B921" s="429" t="n">
        <v>46323</v>
      </c>
      <c r="C921" s="297" t="inlineStr">
        <is>
          <t>Queso Panela</t>
        </is>
      </c>
      <c r="D921" s="298" t="inlineStr">
        <is>
          <t>No bill</t>
        </is>
      </c>
      <c r="E921" s="297" t="inlineStr">
        <is>
          <t>Ingredients - Dairy</t>
        </is>
      </c>
      <c r="F921" s="299" t="n">
        <v>592</v>
      </c>
      <c r="G921" s="300" t="inlineStr">
        <is>
          <t>Restaurant</t>
        </is>
      </c>
      <c r="H921" s="300" t="inlineStr">
        <is>
          <t>Cash</t>
        </is>
      </c>
      <c r="I921" s="301" t="inlineStr">
        <is>
          <t>✅ Paid</t>
        </is>
      </c>
      <c r="J921" s="423" t="inlineStr">
        <is>
          <t>No receipt; cash</t>
        </is>
      </c>
    </row>
    <row r="922">
      <c r="B922" s="429" t="n">
        <v>46323</v>
      </c>
      <c r="C922" s="297" t="inlineStr">
        <is>
          <t>Chedraui</t>
        </is>
      </c>
      <c r="D922" s="298" t="inlineStr">
        <is>
          <t>Chedraui</t>
        </is>
      </c>
      <c r="E922" s="297" t="inlineStr">
        <is>
          <t>Supermarket/General</t>
        </is>
      </c>
      <c r="F922" s="299" t="n">
        <v>188</v>
      </c>
      <c r="G922" s="300" t="inlineStr">
        <is>
          <t>Restaurant</t>
        </is>
      </c>
      <c r="H922" s="300" t="inlineStr">
        <is>
          <t>Cash</t>
        </is>
      </c>
      <c r="I922" s="301" t="inlineStr">
        <is>
          <t>✅ Paid</t>
        </is>
      </c>
      <c r="J922" s="423" t="inlineStr">
        <is>
          <t>No receipt; cash</t>
        </is>
      </c>
    </row>
    <row r="923">
      <c r="B923" s="429" t="n">
        <v>46323</v>
      </c>
      <c r="C923" s="297" t="inlineStr">
        <is>
          <t>Coca</t>
        </is>
      </c>
      <c r="D923" s="298" t="inlineStr">
        <is>
          <t>No bill</t>
        </is>
      </c>
      <c r="E923" s="297" t="inlineStr">
        <is>
          <t>Ingredients - Beverages</t>
        </is>
      </c>
      <c r="F923" s="299" t="n">
        <v>1314</v>
      </c>
      <c r="G923" s="300" t="inlineStr">
        <is>
          <t>Restaurant</t>
        </is>
      </c>
      <c r="H923" s="300" t="inlineStr">
        <is>
          <t>Cash</t>
        </is>
      </c>
      <c r="I923" s="301" t="inlineStr">
        <is>
          <t>✅ Paid</t>
        </is>
      </c>
      <c r="J923" s="423" t="inlineStr">
        <is>
          <t>No receipt; cash</t>
        </is>
      </c>
    </row>
    <row r="924">
      <c r="B924" s="429" t="n">
        <v>46323</v>
      </c>
      <c r="C924" s="297" t="inlineStr">
        <is>
          <t>Vessel</t>
        </is>
      </c>
      <c r="D924" s="298" t="inlineStr">
        <is>
          <t>No bill</t>
        </is>
      </c>
      <c r="E924" s="297" t="inlineStr">
        <is>
          <t>Kitchen Supplies</t>
        </is>
      </c>
      <c r="F924" s="299" t="n">
        <v>277</v>
      </c>
      <c r="G924" s="300" t="inlineStr">
        <is>
          <t>Restaurant</t>
        </is>
      </c>
      <c r="H924" s="300" t="inlineStr">
        <is>
          <t>Cash</t>
        </is>
      </c>
      <c r="I924" s="301" t="inlineStr">
        <is>
          <t>✅ Paid</t>
        </is>
      </c>
      <c r="J924" s="423" t="inlineStr">
        <is>
          <t>No receipt; cash</t>
        </is>
      </c>
    </row>
    <row r="925">
      <c r="B925" s="429" t="n">
        <v>46323</v>
      </c>
      <c r="C925" s="297" t="inlineStr">
        <is>
          <t>Guimar</t>
        </is>
      </c>
      <c r="D925" s="298" t="inlineStr">
        <is>
          <t>Guimar Polietilenos</t>
        </is>
      </c>
      <c r="E925" s="297" t="inlineStr">
        <is>
          <t>Packaging/Disposables</t>
        </is>
      </c>
      <c r="F925" s="299" t="n">
        <v>600</v>
      </c>
      <c r="G925" s="300" t="inlineStr">
        <is>
          <t>Restaurant</t>
        </is>
      </c>
      <c r="H925" s="300" t="inlineStr">
        <is>
          <t>Cash</t>
        </is>
      </c>
      <c r="I925" s="301" t="inlineStr">
        <is>
          <t>✅ Paid</t>
        </is>
      </c>
      <c r="J925" s="423" t="inlineStr">
        <is>
          <t>No receipt; cash</t>
        </is>
      </c>
    </row>
    <row r="926">
      <c r="B926" s="429" t="n">
        <v>46323</v>
      </c>
      <c r="C926" s="297" t="inlineStr">
        <is>
          <t>Carne</t>
        </is>
      </c>
      <c r="D926" s="298" t="inlineStr">
        <is>
          <t>No bill</t>
        </is>
      </c>
      <c r="E926" s="297" t="inlineStr">
        <is>
          <t>Ingredients - Meat</t>
        </is>
      </c>
      <c r="F926" s="299" t="n">
        <v>605</v>
      </c>
      <c r="G926" s="300" t="inlineStr">
        <is>
          <t>Restaurant</t>
        </is>
      </c>
      <c r="H926" s="300" t="inlineStr">
        <is>
          <t>Cash</t>
        </is>
      </c>
      <c r="I926" s="301" t="inlineStr">
        <is>
          <t>✅ Paid</t>
        </is>
      </c>
      <c r="J926" s="423" t="inlineStr">
        <is>
          <t>No receipt; cash</t>
        </is>
      </c>
    </row>
    <row r="927">
      <c r="B927" s="429" t="n">
        <v>46323</v>
      </c>
      <c r="C927" s="297" t="inlineStr">
        <is>
          <t>Pescado</t>
        </is>
      </c>
      <c r="D927" s="298" t="inlineStr">
        <is>
          <t>No bill</t>
        </is>
      </c>
      <c r="E927" s="297" t="inlineStr">
        <is>
          <t>Ingredients - Meat &amp; Fish</t>
        </is>
      </c>
      <c r="F927" s="299" t="n">
        <v>303</v>
      </c>
      <c r="G927" s="300" t="inlineStr">
        <is>
          <t>Restaurant</t>
        </is>
      </c>
      <c r="H927" s="300" t="inlineStr">
        <is>
          <t>Cash</t>
        </is>
      </c>
      <c r="I927" s="301" t="inlineStr">
        <is>
          <t>✅ Paid</t>
        </is>
      </c>
      <c r="J927" s="423" t="inlineStr">
        <is>
          <t>No receipt; cash</t>
        </is>
      </c>
    </row>
    <row r="928">
      <c r="B928" s="429" t="n">
        <v>46323</v>
      </c>
      <c r="C928" s="297" t="inlineStr">
        <is>
          <t>Pollo</t>
        </is>
      </c>
      <c r="D928" s="298" t="inlineStr">
        <is>
          <t>No bill</t>
        </is>
      </c>
      <c r="E928" s="297" t="inlineStr">
        <is>
          <t>Ingredients - Meat</t>
        </is>
      </c>
      <c r="F928" s="299" t="n">
        <v>320</v>
      </c>
      <c r="G928" s="300" t="inlineStr">
        <is>
          <t>Lohith</t>
        </is>
      </c>
      <c r="H928" s="300" t="inlineStr">
        <is>
          <t>Cash</t>
        </is>
      </c>
      <c r="I928" s="301" t="inlineStr">
        <is>
          <t>✅ Paid</t>
        </is>
      </c>
      <c r="J928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Utilities/Electricity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Professional Services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Kitchen Supplies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Ingredients - Fruit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n">
        <v>46315</v>
      </c>
      <c r="B112" s="232" t="inlineStr">
        <is>
          <t>Pollo $1,334 (paid by Lohith)</t>
        </is>
      </c>
      <c r="C112" s="232" t="inlineStr">
        <is>
          <t>Expense - Personal</t>
        </is>
      </c>
      <c r="D112" s="232" t="n">
        <v>1334</v>
      </c>
      <c r="E112" s="233" t="n"/>
      <c r="F112" s="233">
        <f>IFERROR(F111+D112-E112,0)</f>
        <v/>
      </c>
      <c r="G112" s="232" t="inlineStr">
        <is>
          <t>⏳ Reimburse</t>
        </is>
      </c>
      <c r="H112" s="232" t="inlineStr">
        <is>
          <t>Fronted from own pocket; excluded from till via cash_adjust</t>
        </is>
      </c>
    </row>
    <row r="113">
      <c r="A113" s="430" t="n">
        <v>46319</v>
      </c>
      <c r="B113" s="232" t="inlineStr">
        <is>
          <t>Transfer-to-me (customer payment 24-Oct)</t>
        </is>
      </c>
      <c r="C113" s="232" t="inlineStr">
        <is>
          <t>Transfer Received</t>
        </is>
      </c>
      <c r="D113" s="232" t="n"/>
      <c r="E113" s="233" t="n">
        <v>355</v>
      </c>
      <c r="F113" s="233">
        <f>IFERROR(F112+D113-E113,0)</f>
        <v/>
      </c>
      <c r="G113" s="232" t="inlineStr">
        <is>
          <t>✅ Received</t>
        </is>
      </c>
      <c r="H113" s="232" t="inlineStr">
        <is>
          <t>Customer paid Lohith personal acct</t>
        </is>
      </c>
    </row>
    <row r="114">
      <c r="A114" s="430" t="n">
        <v>46321</v>
      </c>
      <c r="B114" s="232" t="inlineStr">
        <is>
          <t>Transfer-to-me (customer payment 26-Oct)</t>
        </is>
      </c>
      <c r="C114" s="232" t="inlineStr">
        <is>
          <t>Transfer Received</t>
        </is>
      </c>
      <c r="D114" s="232" t="n"/>
      <c r="E114" s="233" t="n">
        <v>209</v>
      </c>
      <c r="F114" s="233">
        <f>IFERROR(F113+D114-E114,0)</f>
        <v/>
      </c>
      <c r="G114" s="232" t="inlineStr">
        <is>
          <t>✅ Received</t>
        </is>
      </c>
      <c r="H114" s="232" t="inlineStr">
        <is>
          <t>Customer paid Lohith personal acct</t>
        </is>
      </c>
    </row>
    <row r="115">
      <c r="A115" s="430" t="n">
        <v>46321</v>
      </c>
      <c r="B115" s="232" t="inlineStr">
        <is>
          <t>Pollo $667 (paid by Lohith)</t>
        </is>
      </c>
      <c r="C115" s="232" t="inlineStr">
        <is>
          <t>Expense - Personal</t>
        </is>
      </c>
      <c r="D115" s="232" t="n">
        <v>667</v>
      </c>
      <c r="E115" s="233" t="n"/>
      <c r="F115" s="233">
        <f>IFERROR(F114+D115-E115,0)</f>
        <v/>
      </c>
      <c r="G115" s="232" t="inlineStr">
        <is>
          <t>⏳ Reimburse</t>
        </is>
      </c>
      <c r="H115" s="232" t="inlineStr">
        <is>
          <t>Fronted from own pocket; excluded from till via cash_adjust</t>
        </is>
      </c>
    </row>
    <row r="116">
      <c r="A116" s="430" t="n">
        <v>46323</v>
      </c>
      <c r="B116" s="232" t="inlineStr">
        <is>
          <t>Settlement - restaurant paid Lohith</t>
        </is>
      </c>
      <c r="C116" s="232" t="inlineStr">
        <is>
          <t>Settlement</t>
        </is>
      </c>
      <c r="D116" s="232" t="n"/>
      <c r="E116" s="233" t="n">
        <v>1500</v>
      </c>
      <c r="F116" s="233">
        <f>IFERROR(F115+D116-E116,0)</f>
        <v/>
      </c>
      <c r="G116" s="232" t="inlineStr">
        <is>
          <t>✅ Settled</t>
        </is>
      </c>
      <c r="H116" s="232" t="inlineStr">
        <is>
          <t>Ledger settled from operating cash</t>
        </is>
      </c>
    </row>
    <row r="117">
      <c r="A117" s="430" t="n">
        <v>46323</v>
      </c>
      <c r="B117" s="232" t="inlineStr">
        <is>
          <t>Pollo $320 (paid by Lohith)</t>
        </is>
      </c>
      <c r="C117" s="232" t="inlineStr">
        <is>
          <t>Expense - Personal</t>
        </is>
      </c>
      <c r="D117" s="232" t="n">
        <v>320</v>
      </c>
      <c r="E117" s="233" t="n"/>
      <c r="F117" s="233">
        <f>IFERROR(F116+D117-E117,0)</f>
        <v/>
      </c>
      <c r="G117" s="232" t="inlineStr">
        <is>
          <t>⏳ Reimburse</t>
        </is>
      </c>
      <c r="H117" s="232" t="inlineStr">
        <is>
          <t>Fronted from own pocket; excluded from till via cash_adjust</t>
        </is>
      </c>
    </row>
    <row r="118">
      <c r="A118" s="430" t="inlineStr">
        <is>
          <t>TOTALS &amp; CURRENT BALANCE</t>
        </is>
      </c>
      <c r="B118" s="232" t="n"/>
      <c r="C118" s="232" t="n"/>
      <c r="D118" s="232">
        <f>SUM(D4:D117)</f>
        <v/>
      </c>
      <c r="E118" s="233">
        <f>SUM(E4:E117)</f>
        <v/>
      </c>
      <c r="F118" s="233">
        <f>F117</f>
        <v/>
      </c>
      <c r="G118" s="232">
        <f>IF(F117&gt;0,"Restaurant owes Lohith $"&amp;TEXT(F117,"#,##0"),IF(F117&lt;0,"Lohith holds $"&amp;TEXT(ABS(F117),"#,##0"),"Zero balance"))</f>
        <v/>
      </c>
      <c r="H11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2026-10-29T01:47:34Z</dcterms:modified>
  <cp:lastModifiedBy>LOHITH REDDY</cp:lastModifiedBy>
</cp:coreProperties>
</file>