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50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  <xf numFmtId="0" fontId="60" fillId="20" borderId="15" applyAlignment="1" pivotButton="0" quotePrefix="0" xfId="0">
      <alignment horizontal="center" vertical="center"/>
    </xf>
    <xf numFmtId="166" fontId="51" fillId="20" borderId="15" applyAlignment="1" pivotButton="0" quotePrefix="0" xfId="0">
      <alignment horizontal="center" vertical="center"/>
    </xf>
    <xf numFmtId="0" fontId="17" fillId="20" borderId="15" applyAlignment="1" pivotButton="0" quotePrefix="0" xfId="0">
      <alignment horizontal="center" vertical="center"/>
    </xf>
    <xf numFmtId="167" fontId="37" fillId="37" borderId="15" applyAlignment="1" pivotButton="0" quotePrefix="0" xfId="0">
      <alignment horizontal="center" vertical="center"/>
    </xf>
    <xf numFmtId="166" fontId="64" fillId="31" borderId="15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1 Jul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3411.85</v>
      </c>
      <c r="E147" s="286" t="inlineStr">
        <is>
          <t>Operating costs funded from partner capital, net of repayments. Funded: 20,000 (rent Jul) + 17,200.04 (rent Aug) + 8,789 (luz Aug) + 19,314.81 (liquidacion ledger) = 65,303.85. Repaid from operating cash: 20,000 (21-Jul) + 2,587 (22-Jul) + 10,301 (05-Aug) = 32,888. Still owed by Operations: 32,415.85.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-61892</v>
      </c>
      <c r="E149" t="inlineStr">
        <is>
          <t>Cumulative repaid from operating cash (latest 31-Aug-2026 $10,000.00).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Cash still WITH Lohith (Section J)</t>
        </is>
      </c>
      <c r="C162" s="320">
        <f>D140</f>
        <v/>
      </c>
      <c r="E162" t="inlineStr">
        <is>
          <t>Undeployed capital physically in Lohith’s hands</t>
        </is>
      </c>
    </row>
    <row r="163">
      <c r="B163" s="319" t="inlineStr">
        <is>
          <t xml:space="preserve">   Kashigoud still to TRANSFER IN</t>
        </is>
      </c>
      <c r="C163" s="320">
        <f>F100</f>
        <v/>
      </c>
      <c r="E163" t="inlineStr">
        <is>
          <t>Committed $180k not yet fully sent</t>
        </is>
      </c>
    </row>
    <row r="164">
      <c r="B164" s="319" t="inlineStr">
        <is>
          <t xml:space="preserve">   Shashirekha still to TRANSFER IN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With Lohith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319" t="n"/>
      <c r="C168" s="320" t="n"/>
    </row>
    <row r="169">
      <c r="B169" s="319" t="n"/>
      <c r="C169" s="320" t="n"/>
    </row>
    <row r="170">
      <c r="B170" s="319" t="n"/>
      <c r="C170" s="320" t="n"/>
    </row>
    <row r="171">
      <c r="B171" s="317" t="n"/>
      <c r="C171" s="318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</f>
        <v>3085.0</v>
      </c>
      <c r="G6" s="31">
        <f>SUMIFS($G$8:$G$5000,$B$8:$B$5000,TODAY())</f>
        <v>0.0</v>
      </c>
      <c r="H6" s="28">
        <f>SUMIFS($H$8:$H$5000,$B$8:$B$5000,TODAY())</f>
        <v>7777.0</v>
      </c>
      <c r="I6" s="32">
        <f>F6-H6</f>
        <v>-4692.0</v>
      </c>
      <c r="J6">
        <f>IFERROR(I6/F6,0)</f>
        <v>-1.520908</v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>6840.0</v>
      </c>
      <c r="N6" s="33">
        <f>SUMPRODUCT((ISNUMBER($B$8:$B$5000))*($B$8:$B$5000&gt;=TODAY()-MOD(TODAY()-2,7))*($B$8:$B$5000&lt;TODAY()-MOD(TODAY()-2,7)+7)*IF(ISNUMBER($F$8:$F$5000),$F$8:$F$5000,0))</f>
        <v>6840.0</v>
      </c>
      <c r="O6" s="33">
        <f>SUMPRODUCT((ISNUMBER($B$8:$B$5000))*(MONTH($B$8:$B$5000)=MONTH(TODAY()))*(YEAR($B$8:$B$5000)=YEAR(TODAY()))*IF(ISNUMBER($F$8:$F$5000),$F$8:$F$5000,0))</f>
        <v>3085.0</v>
      </c>
      <c r="P6">
        <f>SUMPRODUCT((ISNUMBER($B$8:$B$5000))*($B$8:$B$5000&gt;=TODAY()-MOD(TODAY()-2,7))*($B$8:$B$5000&lt;TODAY()-MOD(TODAY()-2,7)+7)*IF(ISNUMBER($H$8:$H$5000),$H$8:$H$5000,0))</f>
        <v>9215.0</v>
      </c>
      <c r="Q6">
        <f>M6-P6</f>
        <v>-2375.0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427" t="n">
        <v>46246</v>
      </c>
      <c r="C88" s="270" t="inlineStr">
        <is>
          <t>Wed</t>
        </is>
      </c>
      <c r="D88" s="271" t="n">
        <v>0</v>
      </c>
      <c r="E88" s="37" t="n">
        <v>810</v>
      </c>
      <c r="F88" s="38">
        <f>IFERROR(D88+E88+G88+U88+Y88,0)</f>
        <v>2790.0</v>
      </c>
      <c r="G88" s="272" t="n">
        <v>130</v>
      </c>
      <c r="H88" s="273">
        <f>SUMIFS('💸 Expenses'!$F$8:$F$5000,'💸 Expenses'!$B$8:$B$5000,"&gt;="&amp;B88,'💸 Expenses'!$B$8:$B$5000,"&lt;"&amp;(B88+1))</f>
        <v>5043.0</v>
      </c>
      <c r="I88" s="274">
        <f>IFERROR(F88-H88,0)</f>
        <v>-2253.0</v>
      </c>
      <c r="J88" s="275">
        <f>IFERROR(I88/F88,0)</f>
        <v>-0.807527</v>
      </c>
      <c r="K88" s="250" t="n"/>
      <c r="L88" s="276" t="inlineStr">
        <is>
          <t>Cierre via loka.py</t>
        </is>
      </c>
      <c r="M88" s="323" t="n"/>
      <c r="N88" s="324" t="n"/>
      <c r="O88" s="325" t="n"/>
      <c r="P88" s="326" t="n"/>
      <c r="Q88" s="324" t="n"/>
      <c r="R88" s="428">
        <f>IFERROR(D88*$T$7,0)</f>
        <v>0.0</v>
      </c>
      <c r="S88" s="324" t="n"/>
      <c r="T88" s="324" t="n"/>
      <c r="U88" s="428" t="n">
        <v>0</v>
      </c>
      <c r="V88" s="428" t="n">
        <v>0</v>
      </c>
      <c r="W88" s="324" t="n"/>
      <c r="X88" s="324" t="n"/>
      <c r="Y88" s="428" t="n">
        <v>1850</v>
      </c>
      <c r="Z88" s="428" t="n">
        <v>35.15</v>
      </c>
      <c r="AA88" s="324" t="n"/>
      <c r="AB88" s="324" t="n"/>
    </row>
    <row r="89" ht="16.5" customHeight="1" s="331">
      <c r="B89" s="427" t="n">
        <v>46247</v>
      </c>
      <c r="C89" s="255" t="inlineStr">
        <is>
          <t>Thu</t>
        </is>
      </c>
      <c r="D89" s="256" t="n">
        <v>0</v>
      </c>
      <c r="E89" s="49" t="n">
        <v>1140</v>
      </c>
      <c r="F89" s="50">
        <f>IFERROR(D89+E89+G89+U89+Y89,0)</f>
        <v>3440.0</v>
      </c>
      <c r="G89" s="257" t="n">
        <v>135</v>
      </c>
      <c r="H89" s="258">
        <f>SUMIFS('💸 Expenses'!$F$8:$F$5000,'💸 Expenses'!$B$8:$B$5000,"&gt;="&amp;B89,'💸 Expenses'!$B$8:$B$5000,"&lt;"&amp;(B89+1))</f>
        <v>479.0</v>
      </c>
      <c r="I89" s="259">
        <f>IFERROR(F89-H89,0)</f>
        <v>2961.0</v>
      </c>
      <c r="J89" s="260">
        <f>IFERROR(I89/F89,0)</f>
        <v>0.860756</v>
      </c>
      <c r="K89" s="254" t="n"/>
      <c r="L89" s="261" t="inlineStr">
        <is>
          <t>Cierre via loka.py</t>
        </is>
      </c>
      <c r="M89" s="291" t="n"/>
      <c r="N89" s="292" t="n"/>
      <c r="O89" s="293" t="n"/>
      <c r="P89" s="294" t="n"/>
      <c r="Q89" s="292" t="n"/>
      <c r="R89" s="443">
        <f>IFERROR(D89*$T$7,0)</f>
        <v>0.0</v>
      </c>
      <c r="S89" s="292" t="n"/>
      <c r="T89" s="292" t="n"/>
      <c r="U89" s="443" t="n">
        <v>0</v>
      </c>
      <c r="V89" s="443" t="n">
        <v>0</v>
      </c>
      <c r="W89" s="292" t="n"/>
      <c r="X89" s="292" t="n"/>
      <c r="Y89" s="443" t="n">
        <v>2165</v>
      </c>
      <c r="Z89" s="443" t="n">
        <v>41.13</v>
      </c>
      <c r="AA89" s="292" t="n"/>
      <c r="AB89" s="292" t="n"/>
    </row>
    <row r="90" ht="16.5" customHeight="1" s="331">
      <c r="B90" s="427" t="n">
        <v>46248</v>
      </c>
      <c r="C90" s="270" t="inlineStr">
        <is>
          <t>Fri</t>
        </is>
      </c>
      <c r="D90" s="271" t="n">
        <v>0</v>
      </c>
      <c r="E90" s="37" t="n">
        <v>1680</v>
      </c>
      <c r="F90" s="38">
        <f>IFERROR(D90+E90+G90+U90+Y90,0)</f>
        <v>5645.0</v>
      </c>
      <c r="G90" s="272" t="n">
        <v>0</v>
      </c>
      <c r="H90" s="273">
        <f>SUMIFS('💸 Expenses'!$F$8:$F$5000,'💸 Expenses'!$B$8:$B$5000,"&gt;="&amp;B90,'💸 Expenses'!$B$8:$B$5000,"&lt;"&amp;(B90+1))</f>
        <v>3955.0</v>
      </c>
      <c r="I90" s="274">
        <f>IFERROR(F90-H90,0)</f>
        <v>1690.0</v>
      </c>
      <c r="J90" s="275">
        <f>IFERROR(I90/F90,0)</f>
        <v>0.29938</v>
      </c>
      <c r="K90" s="250" t="n"/>
      <c r="L90" s="276" t="inlineStr">
        <is>
          <t>Cierre via loka.py</t>
        </is>
      </c>
      <c r="M90" s="323" t="n"/>
      <c r="N90" s="324" t="n"/>
      <c r="O90" s="325" t="n"/>
      <c r="P90" s="326" t="n"/>
      <c r="Q90" s="324" t="n"/>
      <c r="R90" s="428">
        <f>IFERROR(D90*$T$7,0)</f>
        <v>0.0</v>
      </c>
      <c r="S90" s="324" t="n"/>
      <c r="T90" s="324" t="n"/>
      <c r="U90" s="428" t="n">
        <v>0</v>
      </c>
      <c r="V90" s="428" t="n">
        <v>0</v>
      </c>
      <c r="W90" s="324" t="n"/>
      <c r="X90" s="324" t="n"/>
      <c r="Y90" s="428" t="n">
        <v>3965</v>
      </c>
      <c r="Z90" s="428" t="n">
        <v>75.33</v>
      </c>
      <c r="AA90" s="324" t="n"/>
      <c r="AB90" s="324" t="n"/>
    </row>
    <row r="91" ht="16.5" customHeight="1" s="331">
      <c r="B91" s="427" t="n">
        <v>46249</v>
      </c>
      <c r="C91" s="255" t="inlineStr">
        <is>
          <t>Sat</t>
        </is>
      </c>
      <c r="D91" s="256" t="n">
        <v>2605</v>
      </c>
      <c r="E91" s="49" t="n">
        <v>2300</v>
      </c>
      <c r="F91" s="50">
        <f>IFERROR(D91+E91+G91+U91+Y91,0)</f>
        <v>4905.0</v>
      </c>
      <c r="G91" s="257" t="n">
        <v>0</v>
      </c>
      <c r="H91" s="258">
        <f>SUMIFS('💸 Expenses'!$F$8:$F$5000,'💸 Expenses'!$B$8:$B$5000,"&gt;="&amp;B91,'💸 Expenses'!$B$8:$B$5000,"&lt;"&amp;(B91+1))</f>
        <v>7531.0</v>
      </c>
      <c r="I91" s="259">
        <f>IFERROR(F91-H91,0)</f>
        <v>-2626.0</v>
      </c>
      <c r="J91" s="260">
        <f>IFERROR(I91/F91,0)</f>
        <v>-0.535372</v>
      </c>
      <c r="K91" s="254" t="n"/>
      <c r="L91" s="261" t="inlineStr">
        <is>
          <t>Cierre via loka.py</t>
        </is>
      </c>
      <c r="M91" s="291" t="n"/>
      <c r="N91" s="292" t="n"/>
      <c r="O91" s="293" t="n"/>
      <c r="P91" s="294" t="n"/>
      <c r="Q91" s="292" t="n"/>
      <c r="R91" s="443">
        <f>IFERROR(D91*$T$7,0)</f>
        <v>105.76</v>
      </c>
      <c r="S91" s="292" t="n"/>
      <c r="T91" s="292" t="n"/>
      <c r="U91" s="443" t="n">
        <v>0</v>
      </c>
      <c r="V91" s="443" t="n">
        <v>0</v>
      </c>
      <c r="W91" s="292" t="n"/>
      <c r="X91" s="292" t="n"/>
      <c r="Y91" s="443" t="n">
        <v>0</v>
      </c>
      <c r="Z91" s="443" t="n">
        <v>0</v>
      </c>
      <c r="AA91" s="292" t="n"/>
      <c r="AB91" s="292" t="n"/>
    </row>
    <row r="92" ht="16.5" customHeight="1" s="331">
      <c r="B92" s="427" t="n">
        <v>46251</v>
      </c>
      <c r="C92" s="270" t="inlineStr">
        <is>
          <t>Mon</t>
        </is>
      </c>
      <c r="D92" s="271" t="n">
        <v>2205</v>
      </c>
      <c r="E92" s="37" t="n">
        <v>970</v>
      </c>
      <c r="F92" s="38">
        <f>IFERROR(D92+E92+G92+U92+Y92,0)</f>
        <v>3305.0</v>
      </c>
      <c r="G92" s="272" t="n">
        <v>130</v>
      </c>
      <c r="H92" s="273">
        <f>SUMIFS('💸 Expenses'!$F$8:$F$5000,'💸 Expenses'!$B$8:$B$5000,"&gt;="&amp;B92,'💸 Expenses'!$B$8:$B$5000,"&lt;"&amp;(B92+1))</f>
        <v>3743.0</v>
      </c>
      <c r="I92" s="274">
        <f>IFERROR(F92-H92,0)</f>
        <v>-438.0</v>
      </c>
      <c r="J92" s="275">
        <f>IFERROR(I92/F92,0)</f>
        <v>-0.132526</v>
      </c>
      <c r="K92" s="250" t="n"/>
      <c r="L92" s="276" t="inlineStr">
        <is>
          <t>Cierre via loka.py</t>
        </is>
      </c>
      <c r="M92" s="323" t="n"/>
      <c r="N92" s="324" t="n"/>
      <c r="O92" s="325" t="n"/>
      <c r="P92" s="326" t="n"/>
      <c r="Q92" s="324" t="n"/>
      <c r="R92" s="428">
        <f>IFERROR(D92*$T$7,0)</f>
        <v>89.52</v>
      </c>
      <c r="S92" s="324" t="n"/>
      <c r="T92" s="324" t="n"/>
      <c r="U92" s="428" t="n">
        <v>0</v>
      </c>
      <c r="V92" s="428" t="n">
        <v>0</v>
      </c>
      <c r="W92" s="324" t="n"/>
      <c r="X92" s="324" t="n"/>
      <c r="Y92" s="428" t="n">
        <v>0</v>
      </c>
      <c r="Z92" s="428" t="n">
        <v>0</v>
      </c>
      <c r="AA92" s="324" t="n"/>
      <c r="AB92" s="324" t="n"/>
    </row>
    <row r="93" ht="16.5" customHeight="1" s="331">
      <c r="B93" s="427" t="n">
        <v>46252</v>
      </c>
      <c r="C93" s="255" t="inlineStr">
        <is>
          <t>Tue</t>
        </is>
      </c>
      <c r="D93" s="256" t="n">
        <v>2010</v>
      </c>
      <c r="E93" s="49" t="n">
        <v>2410</v>
      </c>
      <c r="F93" s="50">
        <f>IFERROR(D93+E93+G93+U93+Y93,0)</f>
        <v>4630.0</v>
      </c>
      <c r="G93" s="257" t="n">
        <v>210</v>
      </c>
      <c r="H93" s="258">
        <f>SUMIFS('💸 Expenses'!$F$8:$F$5000,'💸 Expenses'!$B$8:$B$5000,"&gt;="&amp;B93,'💸 Expenses'!$B$8:$B$5000,"&lt;"&amp;(B93+1))</f>
        <v>2603.0</v>
      </c>
      <c r="I93" s="259">
        <f>IFERROR(F93-H93,0)</f>
        <v>2027.0</v>
      </c>
      <c r="J93" s="260">
        <f>IFERROR(I93/F93,0)</f>
        <v>0.437797</v>
      </c>
      <c r="K93" s="254" t="n"/>
      <c r="L93" s="261" t="inlineStr">
        <is>
          <t>Cierre via loka.py</t>
        </is>
      </c>
      <c r="M93" s="291" t="n"/>
      <c r="N93" s="292" t="n"/>
      <c r="O93" s="293" t="n"/>
      <c r="P93" s="294" t="n"/>
      <c r="Q93" s="292" t="n"/>
      <c r="R93" s="443">
        <f>IFERROR(D93*$T$7,0)</f>
        <v>81.61</v>
      </c>
      <c r="S93" s="292" t="n"/>
      <c r="T93" s="292" t="n"/>
      <c r="U93" s="443" t="n">
        <v>0</v>
      </c>
      <c r="V93" s="443" t="n">
        <v>0</v>
      </c>
      <c r="W93" s="292" t="n"/>
      <c r="X93" s="292" t="n"/>
      <c r="Y93" s="443" t="n">
        <v>0</v>
      </c>
      <c r="Z93" s="443" t="n">
        <v>0</v>
      </c>
      <c r="AA93" s="292" t="n"/>
      <c r="AB93" s="292" t="n"/>
    </row>
    <row r="94" ht="16.5" customHeight="1" s="331">
      <c r="B94" s="427" t="n">
        <v>46253</v>
      </c>
      <c r="C94" s="270" t="inlineStr">
        <is>
          <t>Wed</t>
        </is>
      </c>
      <c r="D94" s="271" t="n">
        <v>2680</v>
      </c>
      <c r="E94" s="37" t="n">
        <v>3845</v>
      </c>
      <c r="F94" s="38">
        <f>IFERROR(D94+E94+G94+U94+Y94,0)</f>
        <v>6645.0</v>
      </c>
      <c r="G94" s="272" t="n">
        <v>120</v>
      </c>
      <c r="H94" s="273">
        <f>SUMIFS('💸 Expenses'!$F$8:$F$5000,'💸 Expenses'!$B$8:$B$5000,"&gt;="&amp;B94,'💸 Expenses'!$B$8:$B$5000,"&lt;"&amp;(B94+1))</f>
        <v>2960.0</v>
      </c>
      <c r="I94" s="274">
        <f>IFERROR(F94-H94,0)</f>
        <v>3685.0</v>
      </c>
      <c r="J94" s="275">
        <f>IFERROR(I94/F94,0)</f>
        <v>0.554552</v>
      </c>
      <c r="K94" s="250" t="n"/>
      <c r="L94" s="276" t="inlineStr">
        <is>
          <t>Cierre via loka.py</t>
        </is>
      </c>
      <c r="M94" s="323" t="n"/>
      <c r="N94" s="324" t="n"/>
      <c r="O94" s="325" t="n"/>
      <c r="P94" s="326" t="n"/>
      <c r="Q94" s="324" t="n"/>
      <c r="R94" s="428">
        <f>IFERROR(D94*$T$7,0)</f>
        <v>108.81</v>
      </c>
      <c r="S94" s="324" t="n"/>
      <c r="T94" s="324" t="n"/>
      <c r="U94" s="428" t="n">
        <v>0</v>
      </c>
      <c r="V94" s="428" t="n">
        <v>0</v>
      </c>
      <c r="W94" s="324" t="n"/>
      <c r="X94" s="324" t="n"/>
      <c r="Y94" s="428" t="n">
        <v>0</v>
      </c>
      <c r="Z94" s="428" t="n">
        <v>0</v>
      </c>
      <c r="AA94" s="324" t="n"/>
      <c r="AB94" s="324" t="n"/>
    </row>
    <row r="95" ht="16.5" customHeight="1" s="331">
      <c r="B95" s="427" t="n">
        <v>46254</v>
      </c>
      <c r="C95" s="255" t="inlineStr">
        <is>
          <t>Thu</t>
        </is>
      </c>
      <c r="D95" s="256" t="n">
        <v>3140</v>
      </c>
      <c r="E95" s="49" t="n">
        <v>2055</v>
      </c>
      <c r="F95" s="50">
        <f>IFERROR(D95+E95+G95+U95+Y95,0)</f>
        <v>5195.0</v>
      </c>
      <c r="G95" s="257" t="n">
        <v>0</v>
      </c>
      <c r="H95" s="258">
        <f>SUMIFS('💸 Expenses'!$F$8:$F$5000,'💸 Expenses'!$B$8:$B$5000,"&gt;="&amp;B95,'💸 Expenses'!$B$8:$B$5000,"&lt;"&amp;(B95+1))</f>
        <v>340.0</v>
      </c>
      <c r="I95" s="259">
        <f>IFERROR(F95-H95,0)</f>
        <v>4855.0</v>
      </c>
      <c r="J95" s="260">
        <f>IFERROR(I95/F95,0)</f>
        <v>0.934552</v>
      </c>
      <c r="K95" s="254" t="n"/>
      <c r="L95" s="261" t="inlineStr">
        <is>
          <t>Cierre via loka.py</t>
        </is>
      </c>
      <c r="M95" s="291" t="n"/>
      <c r="N95" s="292" t="n"/>
      <c r="O95" s="293" t="n"/>
      <c r="P95" s="294" t="n"/>
      <c r="Q95" s="292" t="n"/>
      <c r="R95" s="443">
        <f>IFERROR(D95*$T$7,0)</f>
        <v>127.48</v>
      </c>
      <c r="S95" s="292" t="n"/>
      <c r="T95" s="292" t="n"/>
      <c r="U95" s="443" t="n">
        <v>0</v>
      </c>
      <c r="V95" s="443" t="n">
        <v>0</v>
      </c>
      <c r="W95" s="292" t="n"/>
      <c r="X95" s="292" t="n"/>
      <c r="Y95" s="443" t="n">
        <v>0</v>
      </c>
      <c r="Z95" s="443" t="n">
        <v>0</v>
      </c>
      <c r="AA95" s="292" t="n"/>
      <c r="AB95" s="292" t="n"/>
    </row>
    <row r="96" ht="16.5" customHeight="1" s="331">
      <c r="B96" s="427" t="n">
        <v>46255</v>
      </c>
      <c r="C96" s="270" t="inlineStr">
        <is>
          <t>Fri</t>
        </is>
      </c>
      <c r="D96" s="271" t="n">
        <v>1210</v>
      </c>
      <c r="E96" s="37" t="n">
        <v>2105</v>
      </c>
      <c r="F96" s="38">
        <f>IFERROR(D96+E96+G96+U96+Y96,0)</f>
        <v>3315.0</v>
      </c>
      <c r="G96" s="272" t="n">
        <v>0</v>
      </c>
      <c r="H96" s="273">
        <f>SUMIFS('💸 Expenses'!$F$8:$F$5000,'💸 Expenses'!$B$8:$B$5000,"&gt;="&amp;B96,'💸 Expenses'!$B$8:$B$5000,"&lt;"&amp;(B96+1))</f>
        <v>3736.0</v>
      </c>
      <c r="I96" s="274">
        <f>IFERROR(F96-H96,0)</f>
        <v>-421.0</v>
      </c>
      <c r="J96" s="275">
        <f>IFERROR(I96/F96,0)</f>
        <v>-0.126998</v>
      </c>
      <c r="K96" s="250" t="n"/>
      <c r="L96" s="276" t="inlineStr">
        <is>
          <t>Cierre via loka.py</t>
        </is>
      </c>
      <c r="M96" s="323" t="n"/>
      <c r="N96" s="324" t="n"/>
      <c r="O96" s="325" t="n"/>
      <c r="P96" s="326" t="n"/>
      <c r="Q96" s="324" t="n"/>
      <c r="R96" s="428">
        <f>IFERROR(D96*$T$7,0)</f>
        <v>49.13</v>
      </c>
      <c r="S96" s="324" t="n"/>
      <c r="T96" s="324" t="n"/>
      <c r="U96" s="428" t="n">
        <v>0</v>
      </c>
      <c r="V96" s="428" t="n">
        <v>0</v>
      </c>
      <c r="W96" s="324" t="n"/>
      <c r="X96" s="324" t="n"/>
      <c r="Y96" s="428" t="n">
        <v>0</v>
      </c>
      <c r="Z96" s="428" t="n">
        <v>0</v>
      </c>
      <c r="AA96" s="324" t="n"/>
      <c r="AB96" s="324" t="n"/>
    </row>
    <row r="97" ht="16.5" customHeight="1" s="331">
      <c r="B97" s="427" t="n">
        <v>46256</v>
      </c>
      <c r="C97" s="255" t="inlineStr">
        <is>
          <t>Sat</t>
        </is>
      </c>
      <c r="D97" s="256" t="n">
        <v>0</v>
      </c>
      <c r="E97" s="49" t="n">
        <v>1015</v>
      </c>
      <c r="F97" s="50">
        <f>IFERROR(D97+E97+G97+U97+Y97,0)</f>
        <v>2060.0</v>
      </c>
      <c r="G97" s="257" t="n">
        <v>0</v>
      </c>
      <c r="H97" s="258">
        <f>SUMIFS('💸 Expenses'!$F$8:$F$5000,'💸 Expenses'!$B$8:$B$5000,"&gt;="&amp;B97,'💸 Expenses'!$B$8:$B$5000,"&lt;"&amp;(B97+1))</f>
        <v>4809.0</v>
      </c>
      <c r="I97" s="259">
        <f>IFERROR(F97-H97,0)</f>
        <v>-2749.0</v>
      </c>
      <c r="J97" s="260">
        <f>IFERROR(I97/F97,0)</f>
        <v>-1.334466</v>
      </c>
      <c r="K97" s="254" t="n"/>
      <c r="L97" s="261" t="inlineStr">
        <is>
          <t>Cierre via loka.py</t>
        </is>
      </c>
      <c r="M97" s="291" t="n"/>
      <c r="N97" s="292" t="n"/>
      <c r="O97" s="293" t="n"/>
      <c r="P97" s="294" t="n"/>
      <c r="Q97" s="292" t="n"/>
      <c r="R97" s="443">
        <f>IFERROR(D97*$T$7,0)</f>
        <v>0.0</v>
      </c>
      <c r="S97" s="292" t="n"/>
      <c r="T97" s="292" t="n"/>
      <c r="U97" s="443" t="n">
        <v>0</v>
      </c>
      <c r="V97" s="443" t="n">
        <v>0</v>
      </c>
      <c r="W97" s="292" t="n"/>
      <c r="X97" s="292" t="n"/>
      <c r="Y97" s="443" t="n">
        <v>1045</v>
      </c>
      <c r="Z97" s="443" t="n">
        <v>19.86</v>
      </c>
      <c r="AA97" s="292" t="n"/>
      <c r="AB97" s="292" t="n"/>
    </row>
    <row r="98" ht="16.5" customHeight="1" s="331">
      <c r="B98" s="427" t="n">
        <v>46258</v>
      </c>
      <c r="C98" s="270" t="inlineStr">
        <is>
          <t>Mon</t>
        </is>
      </c>
      <c r="D98" s="271" t="n">
        <v>1085</v>
      </c>
      <c r="E98" s="37" t="n">
        <v>1715</v>
      </c>
      <c r="F98" s="38">
        <f>IFERROR(D98+E98+G98+U98+Y98,0)</f>
        <v>2800.0</v>
      </c>
      <c r="G98" s="272" t="n">
        <v>0</v>
      </c>
      <c r="H98" s="273">
        <f>SUMIFS('💸 Expenses'!$F$8:$F$5000,'💸 Expenses'!$B$8:$B$5000,"&gt;="&amp;B98,'💸 Expenses'!$B$8:$B$5000,"&lt;"&amp;(B98+1))</f>
        <v>2964.0</v>
      </c>
      <c r="I98" s="274">
        <f>IFERROR(F98-H98,0)</f>
        <v>-164.0</v>
      </c>
      <c r="J98" s="275">
        <f>IFERROR(I98/F98,0)</f>
        <v>-0.058571</v>
      </c>
      <c r="K98" s="250" t="n"/>
      <c r="L98" s="276" t="inlineStr">
        <is>
          <t>Cierre via loka.py</t>
        </is>
      </c>
      <c r="M98" s="323" t="n"/>
      <c r="N98" s="324" t="n"/>
      <c r="O98" s="325" t="n"/>
      <c r="P98" s="326" t="n"/>
      <c r="Q98" s="324" t="n"/>
      <c r="R98" s="428">
        <f>IFERROR(D98*$T$7,0)</f>
        <v>44.05</v>
      </c>
      <c r="S98" s="324" t="n"/>
      <c r="T98" s="324" t="n"/>
      <c r="U98" s="428" t="n">
        <v>0</v>
      </c>
      <c r="V98" s="428" t="n">
        <v>0</v>
      </c>
      <c r="W98" s="324" t="n"/>
      <c r="X98" s="324" t="n"/>
      <c r="Y98" s="428" t="n">
        <v>0</v>
      </c>
      <c r="Z98" s="428" t="n">
        <v>0</v>
      </c>
      <c r="AA98" s="324" t="n"/>
      <c r="AB98" s="324" t="n"/>
    </row>
    <row r="99" ht="16.5" customHeight="1" s="331">
      <c r="B99" s="427" t="n">
        <v>46259</v>
      </c>
      <c r="C99" s="255" t="inlineStr">
        <is>
          <t>Tue</t>
        </is>
      </c>
      <c r="D99" s="256" t="n">
        <v>500</v>
      </c>
      <c r="E99" s="49" t="n">
        <v>1160</v>
      </c>
      <c r="F99" s="50">
        <f>IFERROR(D99+E99+G99+U99+Y99,0)</f>
        <v>1910.0</v>
      </c>
      <c r="G99" s="257" t="n">
        <v>250</v>
      </c>
      <c r="H99" s="258">
        <f>SUMIFS('💸 Expenses'!$F$8:$F$5000,'💸 Expenses'!$B$8:$B$5000,"&gt;="&amp;B99,'💸 Expenses'!$B$8:$B$5000,"&lt;"&amp;(B99+1))</f>
        <v>698.0</v>
      </c>
      <c r="I99" s="259">
        <f>IFERROR(F99-H99,0)</f>
        <v>1212.0</v>
      </c>
      <c r="J99" s="260">
        <f>IFERROR(I99/F99,0)</f>
        <v>0.634555</v>
      </c>
      <c r="K99" s="254" t="n"/>
      <c r="L99" s="261" t="inlineStr">
        <is>
          <t>Cierre via loka.py</t>
        </is>
      </c>
      <c r="M99" s="291" t="n"/>
      <c r="N99" s="292" t="n"/>
      <c r="O99" s="293" t="n"/>
      <c r="P99" s="294" t="n"/>
      <c r="Q99" s="292" t="n"/>
      <c r="R99" s="443">
        <f>IFERROR(D99*$T$7,0)</f>
        <v>20.3</v>
      </c>
      <c r="S99" s="292" t="n"/>
      <c r="T99" s="292" t="n"/>
      <c r="U99" s="443" t="n">
        <v>0</v>
      </c>
      <c r="V99" s="443" t="n">
        <v>0</v>
      </c>
      <c r="W99" s="292" t="n"/>
      <c r="X99" s="292" t="n"/>
      <c r="Y99" s="443" t="n">
        <v>0</v>
      </c>
      <c r="Z99" s="443" t="n">
        <v>0</v>
      </c>
      <c r="AA99" s="292" t="n"/>
      <c r="AB99" s="292" t="n"/>
    </row>
    <row r="100" ht="16.5" customHeight="1" s="331">
      <c r="B100" s="427" t="n">
        <v>46260</v>
      </c>
      <c r="C100" s="270" t="inlineStr">
        <is>
          <t>Wed</t>
        </is>
      </c>
      <c r="D100" s="271" t="n">
        <v>2910</v>
      </c>
      <c r="E100" s="37" t="n">
        <v>2765</v>
      </c>
      <c r="F100" s="38">
        <f>IFERROR(D100+E100+G100+U100+Y100,0)</f>
        <v>5675.0</v>
      </c>
      <c r="G100" s="272" t="n">
        <v>0</v>
      </c>
      <c r="H100" s="273">
        <f>SUMIFS('💸 Expenses'!$F$8:$F$5000,'💸 Expenses'!$B$8:$B$5000,"&gt;="&amp;B100,'💸 Expenses'!$B$8:$B$5000,"&lt;"&amp;(B100+1))</f>
        <v>0.0</v>
      </c>
      <c r="I100" s="274">
        <f>IFERROR(F100-H100,0)</f>
        <v>5675.0</v>
      </c>
      <c r="J100" s="275">
        <f>IFERROR(I100/F100,0)</f>
        <v>1.0</v>
      </c>
      <c r="K100" s="250" t="n"/>
      <c r="L100" s="276" t="inlineStr">
        <is>
          <t>Cierre via loka.py</t>
        </is>
      </c>
      <c r="M100" s="323" t="n"/>
      <c r="N100" s="324" t="n"/>
      <c r="O100" s="325" t="n"/>
      <c r="P100" s="326" t="n"/>
      <c r="Q100" s="324" t="n"/>
      <c r="R100" s="428">
        <f>IFERROR(D100*$T$7,0)</f>
        <v>118.15</v>
      </c>
      <c r="S100" s="324" t="n"/>
      <c r="T100" s="324" t="n"/>
      <c r="U100" s="428" t="n">
        <v>0</v>
      </c>
      <c r="V100" s="428" t="n">
        <v>0</v>
      </c>
      <c r="W100" s="324" t="n"/>
      <c r="X100" s="324" t="n"/>
      <c r="Y100" s="428" t="n">
        <v>0</v>
      </c>
      <c r="Z100" s="428" t="n">
        <v>0</v>
      </c>
      <c r="AA100" s="324" t="n"/>
      <c r="AB100" s="324" t="n"/>
    </row>
    <row r="101" ht="16.5" customHeight="1" s="331">
      <c r="B101" s="427" t="n">
        <v>46261</v>
      </c>
      <c r="C101" s="255" t="inlineStr">
        <is>
          <t>Thu</t>
        </is>
      </c>
      <c r="D101" s="256" t="n">
        <v>835</v>
      </c>
      <c r="E101" s="49" t="n">
        <v>2815</v>
      </c>
      <c r="F101" s="50">
        <f>IFERROR(D101+E101+G101+U101+Y101,0)</f>
        <v>3910.0</v>
      </c>
      <c r="G101" s="257" t="n">
        <v>260</v>
      </c>
      <c r="H101" s="258">
        <f>SUMIFS('💸 Expenses'!$F$8:$F$5000,'💸 Expenses'!$B$8:$B$5000,"&gt;="&amp;B101,'💸 Expenses'!$B$8:$B$5000,"&lt;"&amp;(B101+1))</f>
        <v>565.0</v>
      </c>
      <c r="I101" s="259">
        <f>IFERROR(F101-H101,0)</f>
        <v>3345.0</v>
      </c>
      <c r="J101" s="260">
        <f>IFERROR(I101/F101,0)</f>
        <v>0.855499</v>
      </c>
      <c r="K101" s="254" t="n"/>
      <c r="L101" s="261" t="inlineStr">
        <is>
          <t>Cierre via loka.py</t>
        </is>
      </c>
      <c r="M101" s="291" t="n"/>
      <c r="N101" s="292" t="n"/>
      <c r="O101" s="293" t="n"/>
      <c r="P101" s="294" t="n"/>
      <c r="Q101" s="292" t="n"/>
      <c r="R101" s="443">
        <f>IFERROR(D101*$T$7,0)</f>
        <v>33.9</v>
      </c>
      <c r="S101" s="292" t="n"/>
      <c r="T101" s="292" t="n"/>
      <c r="U101" s="443" t="n">
        <v>0</v>
      </c>
      <c r="V101" s="443" t="n">
        <v>0</v>
      </c>
      <c r="W101" s="292" t="n"/>
      <c r="X101" s="292" t="n"/>
      <c r="Y101" s="443" t="n">
        <v>0</v>
      </c>
      <c r="Z101" s="443" t="n">
        <v>0</v>
      </c>
      <c r="AA101" s="292" t="n"/>
      <c r="AB101" s="292" t="n"/>
    </row>
    <row r="102" ht="16.5" customHeight="1" s="331">
      <c r="B102" s="427" t="n">
        <v>46262</v>
      </c>
      <c r="C102" s="270" t="inlineStr">
        <is>
          <t>Fri</t>
        </is>
      </c>
      <c r="D102" s="271" t="n">
        <v>1110</v>
      </c>
      <c r="E102" s="37" t="n">
        <v>590</v>
      </c>
      <c r="F102" s="38">
        <f>IFERROR(D102+E102+G102+U102+Y102,0)</f>
        <v>1935.0</v>
      </c>
      <c r="G102" s="272" t="n">
        <v>235</v>
      </c>
      <c r="H102" s="273">
        <f>SUMIFS('💸 Expenses'!$F$8:$F$5000,'💸 Expenses'!$B$8:$B$5000,"&gt;="&amp;B102,'💸 Expenses'!$B$8:$B$5000,"&lt;"&amp;(B102+1))</f>
        <v>2071.0</v>
      </c>
      <c r="I102" s="274">
        <f>IFERROR(F102-H102,0)</f>
        <v>-136.0</v>
      </c>
      <c r="J102" s="275">
        <f>IFERROR(I102/F102,0)</f>
        <v>-0.070284</v>
      </c>
      <c r="K102" s="250" t="n"/>
      <c r="L102" s="276" t="inlineStr">
        <is>
          <t>Cierre via loka.py</t>
        </is>
      </c>
      <c r="M102" s="323" t="n"/>
      <c r="N102" s="324" t="n"/>
      <c r="O102" s="325" t="n"/>
      <c r="P102" s="326" t="n"/>
      <c r="Q102" s="324" t="n"/>
      <c r="R102" s="428">
        <f>IFERROR(D102*$T$7,0)</f>
        <v>45.07</v>
      </c>
      <c r="S102" s="324" t="n"/>
      <c r="T102" s="324" t="n"/>
      <c r="U102" s="428" t="n">
        <v>0</v>
      </c>
      <c r="V102" s="428" t="n">
        <v>0</v>
      </c>
      <c r="W102" s="324" t="n"/>
      <c r="X102" s="324" t="n"/>
      <c r="Y102" s="428" t="n">
        <v>0</v>
      </c>
      <c r="Z102" s="428" t="n">
        <v>0</v>
      </c>
      <c r="AA102" s="324" t="n"/>
      <c r="AB102" s="324" t="n"/>
    </row>
    <row r="103" ht="16.5" customHeight="1" s="331">
      <c r="B103" s="427" t="n">
        <v>46263</v>
      </c>
      <c r="C103" s="255" t="inlineStr">
        <is>
          <t>Sat</t>
        </is>
      </c>
      <c r="D103" s="256" t="n">
        <v>110</v>
      </c>
      <c r="E103" s="49" t="n">
        <v>980</v>
      </c>
      <c r="F103" s="50">
        <f>IFERROR(D103+E103+G103+U103+Y103,0)</f>
        <v>2160.0</v>
      </c>
      <c r="G103" s="257" t="n">
        <v>0</v>
      </c>
      <c r="H103" s="258">
        <f>SUMIFS('💸 Expenses'!$F$8:$F$5000,'💸 Expenses'!$B$8:$B$5000,"&gt;="&amp;B103,'💸 Expenses'!$B$8:$B$5000,"&lt;"&amp;(B103+1))</f>
        <v>6970.0</v>
      </c>
      <c r="I103" s="259">
        <f>IFERROR(F103-H103,0)</f>
        <v>-4810.0</v>
      </c>
      <c r="J103" s="260">
        <f>IFERROR(I103/F103,0)</f>
        <v>-2.226852</v>
      </c>
      <c r="K103" s="254" t="n"/>
      <c r="L103" s="261" t="inlineStr">
        <is>
          <t>Cierre via loka.py</t>
        </is>
      </c>
      <c r="M103" s="291" t="n"/>
      <c r="N103" s="292" t="n"/>
      <c r="O103" s="293" t="n"/>
      <c r="P103" s="294" t="n"/>
      <c r="Q103" s="292" t="n"/>
      <c r="R103" s="443">
        <f>IFERROR(D103*$T$7,0)</f>
        <v>4.47</v>
      </c>
      <c r="S103" s="292" t="n"/>
      <c r="T103" s="292" t="n"/>
      <c r="U103" s="443" t="n">
        <v>0</v>
      </c>
      <c r="V103" s="443" t="n">
        <v>0</v>
      </c>
      <c r="W103" s="292" t="n"/>
      <c r="X103" s="292" t="n"/>
      <c r="Y103" s="443" t="n">
        <v>1070</v>
      </c>
      <c r="Z103" s="443" t="n">
        <v>20.33</v>
      </c>
      <c r="AA103" s="292" t="n"/>
      <c r="AB103" s="292" t="n"/>
    </row>
    <row r="104" ht="16.5" customHeight="1" s="331">
      <c r="B104" s="427" t="n">
        <v>46265</v>
      </c>
      <c r="C104" s="270" t="inlineStr">
        <is>
          <t>Mon</t>
        </is>
      </c>
      <c r="D104" s="271" t="n">
        <v>875</v>
      </c>
      <c r="E104" s="37" t="n">
        <v>1260</v>
      </c>
      <c r="F104" s="38">
        <f>IFERROR(D104+E104+G104+U104+Y104,0)</f>
        <v>3755.0</v>
      </c>
      <c r="G104" s="272" t="n">
        <v>130</v>
      </c>
      <c r="H104" s="273">
        <f>SUMIFS('💸 Expenses'!$F$8:$F$5000,'💸 Expenses'!$B$8:$B$5000,"&gt;="&amp;B104,'💸 Expenses'!$B$8:$B$5000,"&lt;"&amp;(B104+1))</f>
        <v>1438.0</v>
      </c>
      <c r="I104" s="274">
        <f>IFERROR(F104-H104,0)</f>
        <v>2317.0</v>
      </c>
      <c r="J104" s="275">
        <f>IFERROR(I104/F104,0)</f>
        <v>0.617044</v>
      </c>
      <c r="K104" s="250" t="n"/>
      <c r="L104" s="276" t="inlineStr">
        <is>
          <t>Cierre via loka.py</t>
        </is>
      </c>
      <c r="M104" s="323" t="n"/>
      <c r="N104" s="324" t="n"/>
      <c r="O104" s="325" t="n"/>
      <c r="P104" s="326" t="n"/>
      <c r="Q104" s="324" t="n"/>
      <c r="R104" s="428">
        <f>IFERROR(D104*$T$7,0)</f>
        <v>35.52</v>
      </c>
      <c r="S104" s="324" t="n"/>
      <c r="T104" s="324" t="n"/>
      <c r="U104" s="428" t="n">
        <v>0</v>
      </c>
      <c r="V104" s="428" t="n">
        <v>0</v>
      </c>
      <c r="W104" s="324" t="n"/>
      <c r="X104" s="324" t="n"/>
      <c r="Y104" s="428" t="n">
        <v>1490</v>
      </c>
      <c r="Z104" s="428" t="n">
        <v>28.31</v>
      </c>
      <c r="AA104" s="324" t="n"/>
      <c r="AB104" s="324" t="n"/>
    </row>
    <row r="105" ht="16.5" customHeight="1" s="331">
      <c r="B105" s="427" t="n">
        <v>46266</v>
      </c>
      <c r="C105" s="255" t="inlineStr">
        <is>
          <t>Tue</t>
        </is>
      </c>
      <c r="D105" s="256" t="n">
        <v>120</v>
      </c>
      <c r="E105" s="49" t="n">
        <v>1480</v>
      </c>
      <c r="F105" s="50">
        <f>IFERROR(D105+E105+G105+U105+Y105,0)</f>
        <v>3085.0</v>
      </c>
      <c r="G105" s="257" t="n">
        <v>0</v>
      </c>
      <c r="H105" s="258">
        <f>SUMIFS('💸 Expenses'!$F$8:$F$5000,'💸 Expenses'!$B$8:$B$5000,"&gt;="&amp;B105,'💸 Expenses'!$B$8:$B$5000,"&lt;"&amp;(B105+1))</f>
        <v>7777.0</v>
      </c>
      <c r="I105" s="259">
        <f>IFERROR(F105-H105,0)</f>
        <v>-4692.0</v>
      </c>
      <c r="J105" s="260">
        <f>IFERROR(I105/F105,0)</f>
        <v>-1.520908</v>
      </c>
      <c r="K105" s="254" t="n"/>
      <c r="L105" s="261" t="inlineStr">
        <is>
          <t>Cierre via loka.py</t>
        </is>
      </c>
      <c r="M105" s="291" t="n"/>
      <c r="N105" s="292" t="n"/>
      <c r="O105" s="293" t="n"/>
      <c r="P105" s="294" t="n"/>
      <c r="Q105" s="292" t="n"/>
      <c r="R105" s="443">
        <f>IFERROR(D105*$T$7,0)</f>
        <v>4.87</v>
      </c>
      <c r="S105" s="292" t="n"/>
      <c r="T105" s="292" t="n"/>
      <c r="U105" s="443" t="n">
        <v>0</v>
      </c>
      <c r="V105" s="443" t="n">
        <v>0</v>
      </c>
      <c r="W105" s="292" t="n"/>
      <c r="X105" s="292" t="n"/>
      <c r="Y105" s="443" t="n">
        <v>1485</v>
      </c>
      <c r="Z105" s="443" t="n">
        <v>28.21</v>
      </c>
      <c r="AA105" s="292" t="n"/>
      <c r="AB105" s="292" t="n"/>
    </row>
    <row r="106" ht="16.5" customHeight="1" s="331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</row>
    <row r="107" ht="16.5" customHeight="1" s="331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</row>
    <row r="108" ht="16.5" customHeight="1" s="331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</row>
    <row r="109" ht="16.5" customHeight="1" s="331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</row>
    <row r="110" ht="16.5" customHeight="1" s="331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</row>
    <row r="111" ht="16.5" customHeight="1" s="331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31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31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31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31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31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31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31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31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31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31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31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31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31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31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31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31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31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31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31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31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31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31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31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31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3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3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3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714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  <row r="620">
      <c r="B620" s="429" t="n">
        <v>46246</v>
      </c>
      <c r="C620" s="297" t="inlineStr">
        <is>
          <t>Chedraui</t>
        </is>
      </c>
      <c r="D620" s="298" t="inlineStr">
        <is>
          <t>Chedraui</t>
        </is>
      </c>
      <c r="E620" s="297" t="inlineStr">
        <is>
          <t>Supermarket/General</t>
        </is>
      </c>
      <c r="F620" s="299" t="n">
        <v>112</v>
      </c>
      <c r="G620" s="300" t="inlineStr">
        <is>
          <t>Restaurant</t>
        </is>
      </c>
      <c r="H620" s="300" t="inlineStr">
        <is>
          <t>Cash</t>
        </is>
      </c>
      <c r="I620" s="301" t="inlineStr">
        <is>
          <t>✅ Paid</t>
        </is>
      </c>
      <c r="J620" s="423" t="inlineStr">
        <is>
          <t>No receipt; cash</t>
        </is>
      </c>
    </row>
    <row r="621">
      <c r="B621" s="429" t="n">
        <v>46246</v>
      </c>
      <c r="C621" s="297" t="inlineStr">
        <is>
          <t>Vegetales</t>
        </is>
      </c>
      <c r="D621" s="298" t="inlineStr">
        <is>
          <t>No bill</t>
        </is>
      </c>
      <c r="E621" s="297" t="inlineStr">
        <is>
          <t>Ingredients - Vegetables</t>
        </is>
      </c>
      <c r="F621" s="299" t="n">
        <v>89</v>
      </c>
      <c r="G621" s="300" t="inlineStr">
        <is>
          <t>Restaurant</t>
        </is>
      </c>
      <c r="H621" s="300" t="inlineStr">
        <is>
          <t>Cash</t>
        </is>
      </c>
      <c r="I621" s="301" t="inlineStr">
        <is>
          <t>✅ Paid</t>
        </is>
      </c>
      <c r="J621" s="423" t="inlineStr">
        <is>
          <t>No receipt; cash</t>
        </is>
      </c>
    </row>
    <row r="622">
      <c r="B622" s="429" t="n">
        <v>46246</v>
      </c>
      <c r="C622" s="297" t="inlineStr">
        <is>
          <t>Carne</t>
        </is>
      </c>
      <c r="D622" s="298" t="inlineStr">
        <is>
          <t>No bill</t>
        </is>
      </c>
      <c r="E622" s="297" t="inlineStr">
        <is>
          <t>Ingredients - Meat</t>
        </is>
      </c>
      <c r="F622" s="299" t="n">
        <v>743</v>
      </c>
      <c r="G622" s="300" t="inlineStr">
        <is>
          <t>Restaurant</t>
        </is>
      </c>
      <c r="H622" s="300" t="inlineStr">
        <is>
          <t>Cash</t>
        </is>
      </c>
      <c r="I622" s="301" t="inlineStr">
        <is>
          <t>✅ Paid</t>
        </is>
      </c>
      <c r="J622" s="423" t="inlineStr">
        <is>
          <t>No receipt; cash</t>
        </is>
      </c>
    </row>
    <row r="623">
      <c r="B623" s="429" t="n">
        <v>46246</v>
      </c>
      <c r="C623" s="297" t="inlineStr">
        <is>
          <t>Papa</t>
        </is>
      </c>
      <c r="D623" s="298" t="inlineStr">
        <is>
          <t>No bill</t>
        </is>
      </c>
      <c r="E623" s="297" t="inlineStr">
        <is>
          <t>Ingredients - Vegetables</t>
        </is>
      </c>
      <c r="F623" s="299" t="n">
        <v>2270</v>
      </c>
      <c r="G623" s="300" t="inlineStr">
        <is>
          <t>Restaurant</t>
        </is>
      </c>
      <c r="H623" s="300" t="inlineStr">
        <is>
          <t>Cash</t>
        </is>
      </c>
      <c r="I623" s="301" t="inlineStr">
        <is>
          <t>✅ Paid</t>
        </is>
      </c>
      <c r="J623" s="423" t="inlineStr">
        <is>
          <t>No receipt; cash</t>
        </is>
      </c>
    </row>
    <row r="624">
      <c r="B624" s="429" t="n">
        <v>46246</v>
      </c>
      <c r="C624" s="297" t="inlineStr">
        <is>
          <t>Avia Reca</t>
        </is>
      </c>
      <c r="D624" s="298" t="inlineStr">
        <is>
          <t>Reca</t>
        </is>
      </c>
      <c r="E624" s="297" t="inlineStr">
        <is>
          <t>Ingredients - Beverages</t>
        </is>
      </c>
      <c r="F624" s="299" t="n">
        <v>750</v>
      </c>
      <c r="G624" s="300" t="inlineStr">
        <is>
          <t>Restaurant</t>
        </is>
      </c>
      <c r="H624" s="300" t="inlineStr">
        <is>
          <t>Cash</t>
        </is>
      </c>
      <c r="I624" s="301" t="inlineStr">
        <is>
          <t>✅ Paid</t>
        </is>
      </c>
      <c r="J624" s="423" t="inlineStr">
        <is>
          <t>No receipt; cash</t>
        </is>
      </c>
    </row>
    <row r="625">
      <c r="B625" s="429" t="n">
        <v>46246</v>
      </c>
      <c r="C625" s="297" t="inlineStr">
        <is>
          <t>Guimar deschables</t>
        </is>
      </c>
      <c r="D625" s="298" t="inlineStr">
        <is>
          <t>Guimar Polietilenos</t>
        </is>
      </c>
      <c r="E625" s="297" t="inlineStr">
        <is>
          <t>Packaging/Disposables</t>
        </is>
      </c>
      <c r="F625" s="299" t="n">
        <v>139</v>
      </c>
      <c r="G625" s="300" t="inlineStr">
        <is>
          <t>Restaurant</t>
        </is>
      </c>
      <c r="H625" s="300" t="inlineStr">
        <is>
          <t>Cash</t>
        </is>
      </c>
      <c r="I625" s="301" t="inlineStr">
        <is>
          <t>✅ Paid</t>
        </is>
      </c>
      <c r="J625" s="423" t="inlineStr">
        <is>
          <t>No receipt; cash</t>
        </is>
      </c>
    </row>
    <row r="626">
      <c r="B626" s="429" t="n">
        <v>46246</v>
      </c>
      <c r="C626" s="297" t="inlineStr">
        <is>
          <t>Oxxo Arroz</t>
        </is>
      </c>
      <c r="D626" s="298" t="inlineStr">
        <is>
          <t>OXXO</t>
        </is>
      </c>
      <c r="E626" s="297" t="inlineStr">
        <is>
          <t>Ingredients - Pantry</t>
        </is>
      </c>
      <c r="F626" s="299" t="n">
        <v>301</v>
      </c>
      <c r="G626" s="300" t="inlineStr">
        <is>
          <t>Restaurant</t>
        </is>
      </c>
      <c r="H626" s="300" t="inlineStr">
        <is>
          <t>Cash</t>
        </is>
      </c>
      <c r="I626" s="301" t="inlineStr">
        <is>
          <t>✅ Paid</t>
        </is>
      </c>
      <c r="J626" s="423" t="inlineStr">
        <is>
          <t>No receipt; cash</t>
        </is>
      </c>
    </row>
    <row r="627">
      <c r="B627" s="429" t="n">
        <v>46246</v>
      </c>
      <c r="C627" s="297" t="inlineStr">
        <is>
          <t>Pollo</t>
        </is>
      </c>
      <c r="D627" s="298" t="inlineStr">
        <is>
          <t>No bill</t>
        </is>
      </c>
      <c r="E627" s="297" t="inlineStr">
        <is>
          <t>Ingredients - Meat</t>
        </is>
      </c>
      <c r="F627" s="299" t="n">
        <v>639</v>
      </c>
      <c r="G627" s="300" t="inlineStr">
        <is>
          <t>Lohith</t>
        </is>
      </c>
      <c r="H627" s="300" t="inlineStr">
        <is>
          <t>Cash</t>
        </is>
      </c>
      <c r="I627" s="301" t="inlineStr">
        <is>
          <t>✅ Paid</t>
        </is>
      </c>
      <c r="J627" s="423" t="inlineStr">
        <is>
          <t>Pagado por Lohith (bolsillo); reembolsable via Owner Ledger</t>
        </is>
      </c>
    </row>
    <row r="628">
      <c r="B628" s="429" t="n">
        <v>46247</v>
      </c>
      <c r="C628" s="297" t="inlineStr">
        <is>
          <t>Pan Dulce</t>
        </is>
      </c>
      <c r="D628" s="298" t="inlineStr">
        <is>
          <t>No bill</t>
        </is>
      </c>
      <c r="E628" s="297" t="inlineStr">
        <is>
          <t>Ingredients - Bread</t>
        </is>
      </c>
      <c r="F628" s="299" t="n">
        <v>25</v>
      </c>
      <c r="G628" s="300" t="inlineStr">
        <is>
          <t>Restaurant</t>
        </is>
      </c>
      <c r="H628" s="300" t="inlineStr">
        <is>
          <t>Cash</t>
        </is>
      </c>
      <c r="I628" s="301" t="inlineStr">
        <is>
          <t>✅ Paid</t>
        </is>
      </c>
      <c r="J628" s="423" t="inlineStr">
        <is>
          <t>No receipt; cash</t>
        </is>
      </c>
    </row>
    <row r="629">
      <c r="B629" s="429" t="n">
        <v>46247</v>
      </c>
      <c r="C629" s="297" t="inlineStr">
        <is>
          <t>Duplicate Keys</t>
        </is>
      </c>
      <c r="D629" s="298" t="inlineStr">
        <is>
          <t>No bill</t>
        </is>
      </c>
      <c r="E629" s="297" t="inlineStr">
        <is>
          <t>Office Supplies</t>
        </is>
      </c>
      <c r="F629" s="299" t="n">
        <v>180</v>
      </c>
      <c r="G629" s="300" t="inlineStr">
        <is>
          <t>Restaurant</t>
        </is>
      </c>
      <c r="H629" s="300" t="inlineStr">
        <is>
          <t>Cash</t>
        </is>
      </c>
      <c r="I629" s="301" t="inlineStr">
        <is>
          <t>✅ Paid</t>
        </is>
      </c>
      <c r="J629" s="423" t="inlineStr">
        <is>
          <t>No receipt; cash</t>
        </is>
      </c>
    </row>
    <row r="630">
      <c r="B630" s="429" t="n">
        <v>46247</v>
      </c>
      <c r="C630" s="297" t="inlineStr">
        <is>
          <t>Tomato</t>
        </is>
      </c>
      <c r="D630" s="298" t="inlineStr">
        <is>
          <t>No bill</t>
        </is>
      </c>
      <c r="E630" s="297" t="inlineStr">
        <is>
          <t>Ingredients - Vegetables</t>
        </is>
      </c>
      <c r="F630" s="299" t="n">
        <v>84</v>
      </c>
      <c r="G630" s="300" t="inlineStr">
        <is>
          <t>Restaurant</t>
        </is>
      </c>
      <c r="H630" s="300" t="inlineStr">
        <is>
          <t>Cash</t>
        </is>
      </c>
      <c r="I630" s="301" t="inlineStr">
        <is>
          <t>✅ Paid</t>
        </is>
      </c>
      <c r="J630" s="423" t="inlineStr">
        <is>
          <t>No receipt; cash</t>
        </is>
      </c>
    </row>
    <row r="631">
      <c r="B631" s="429" t="n">
        <v>46247</v>
      </c>
      <c r="C631" s="297" t="inlineStr">
        <is>
          <t>Jamon</t>
        </is>
      </c>
      <c r="D631" s="298" t="inlineStr">
        <is>
          <t>No bill</t>
        </is>
      </c>
      <c r="E631" s="297" t="inlineStr">
        <is>
          <t>Ingredients - Meat</t>
        </is>
      </c>
      <c r="F631" s="299" t="n">
        <v>90</v>
      </c>
      <c r="G631" s="300" t="inlineStr">
        <is>
          <t>Restaurant</t>
        </is>
      </c>
      <c r="H631" s="300" t="inlineStr">
        <is>
          <t>Cash</t>
        </is>
      </c>
      <c r="I631" s="301" t="inlineStr">
        <is>
          <t>✅ Paid</t>
        </is>
      </c>
      <c r="J631" s="423" t="inlineStr">
        <is>
          <t>No receipt; cash</t>
        </is>
      </c>
    </row>
    <row r="632">
      <c r="B632" s="429" t="n">
        <v>46247</v>
      </c>
      <c r="C632" s="297" t="inlineStr">
        <is>
          <t>Knife sharpening</t>
        </is>
      </c>
      <c r="D632" s="298" t="inlineStr">
        <is>
          <t>No bill</t>
        </is>
      </c>
      <c r="E632" s="297" t="inlineStr">
        <is>
          <t>Maintenance</t>
        </is>
      </c>
      <c r="F632" s="299" t="n">
        <v>100</v>
      </c>
      <c r="G632" s="300" t="inlineStr">
        <is>
          <t>Restaurant</t>
        </is>
      </c>
      <c r="H632" s="300" t="inlineStr">
        <is>
          <t>Cash</t>
        </is>
      </c>
      <c r="I632" s="301" t="inlineStr">
        <is>
          <t>✅ Paid</t>
        </is>
      </c>
      <c r="J632" s="423" t="inlineStr">
        <is>
          <t>No receipt; cash</t>
        </is>
      </c>
    </row>
    <row r="633">
      <c r="B633" s="429" t="n">
        <v>46248</v>
      </c>
      <c r="C633" s="297" t="inlineStr">
        <is>
          <t>Coca Cola</t>
        </is>
      </c>
      <c r="D633" s="298" t="inlineStr">
        <is>
          <t>No bill</t>
        </is>
      </c>
      <c r="E633" s="297" t="inlineStr">
        <is>
          <t>Ingredients - Beverages</t>
        </is>
      </c>
      <c r="F633" s="299" t="n">
        <v>876</v>
      </c>
      <c r="G633" s="300" t="inlineStr">
        <is>
          <t>Restaurant</t>
        </is>
      </c>
      <c r="H633" s="300" t="inlineStr">
        <is>
          <t>Cash</t>
        </is>
      </c>
      <c r="I633" s="301" t="inlineStr">
        <is>
          <t>✅ Paid</t>
        </is>
      </c>
      <c r="J633" s="423" t="inlineStr">
        <is>
          <t>No receipt; cash</t>
        </is>
      </c>
    </row>
    <row r="634">
      <c r="B634" s="429" t="n">
        <v>46248</v>
      </c>
      <c r="C634" s="297" t="inlineStr">
        <is>
          <t>Oven Repair</t>
        </is>
      </c>
      <c r="D634" s="298" t="inlineStr">
        <is>
          <t>No bill</t>
        </is>
      </c>
      <c r="E634" s="297" t="inlineStr">
        <is>
          <t>Maintenance</t>
        </is>
      </c>
      <c r="F634" s="299" t="n">
        <v>900</v>
      </c>
      <c r="G634" s="300" t="inlineStr">
        <is>
          <t>Restaurant</t>
        </is>
      </c>
      <c r="H634" s="300" t="inlineStr">
        <is>
          <t>Cash</t>
        </is>
      </c>
      <c r="I634" s="301" t="inlineStr">
        <is>
          <t>✅ Paid</t>
        </is>
      </c>
      <c r="J634" s="423" t="inlineStr">
        <is>
          <t>No receipt; cash</t>
        </is>
      </c>
    </row>
    <row r="635">
      <c r="B635" s="429" t="n">
        <v>46248</v>
      </c>
      <c r="C635" s="297" t="inlineStr">
        <is>
          <t>Oxxo Tortillas</t>
        </is>
      </c>
      <c r="D635" s="298" t="inlineStr">
        <is>
          <t>OXXO</t>
        </is>
      </c>
      <c r="E635" s="297" t="inlineStr">
        <is>
          <t>Ingredients - Bread</t>
        </is>
      </c>
      <c r="F635" s="299" t="n">
        <v>29</v>
      </c>
      <c r="G635" s="300" t="inlineStr">
        <is>
          <t>Restaurant</t>
        </is>
      </c>
      <c r="H635" s="300" t="inlineStr">
        <is>
          <t>Cash</t>
        </is>
      </c>
      <c r="I635" s="301" t="inlineStr">
        <is>
          <t>✅ Paid</t>
        </is>
      </c>
      <c r="J635" s="423" t="inlineStr">
        <is>
          <t>No receipt; cash</t>
        </is>
      </c>
    </row>
    <row r="636">
      <c r="B636" s="429" t="n">
        <v>46248</v>
      </c>
      <c r="C636" s="297" t="inlineStr">
        <is>
          <t>cake</t>
        </is>
      </c>
      <c r="D636" s="298" t="inlineStr">
        <is>
          <t>No bill</t>
        </is>
      </c>
      <c r="E636" s="297" t="inlineStr">
        <is>
          <t>Ingredients - Dairy</t>
        </is>
      </c>
      <c r="F636" s="299" t="n">
        <v>210</v>
      </c>
      <c r="G636" s="300" t="inlineStr">
        <is>
          <t>Restaurant</t>
        </is>
      </c>
      <c r="H636" s="300" t="inlineStr">
        <is>
          <t>Cash</t>
        </is>
      </c>
      <c r="I636" s="301" t="inlineStr">
        <is>
          <t>✅ Paid</t>
        </is>
      </c>
      <c r="J636" s="423" t="inlineStr">
        <is>
          <t>No receipt; cash</t>
        </is>
      </c>
    </row>
    <row r="637">
      <c r="B637" s="429" t="n">
        <v>46248</v>
      </c>
      <c r="C637" s="297" t="inlineStr">
        <is>
          <t>Samu - salary</t>
        </is>
      </c>
      <c r="D637" s="298" t="inlineStr">
        <is>
          <t>Payroll</t>
        </is>
      </c>
      <c r="E637" s="297" t="inlineStr">
        <is>
          <t>Staff - Salary</t>
        </is>
      </c>
      <c r="F637" s="299" t="n">
        <v>1200</v>
      </c>
      <c r="G637" s="300" t="inlineStr">
        <is>
          <t>Restaurant</t>
        </is>
      </c>
      <c r="H637" s="300" t="inlineStr">
        <is>
          <t>Cash</t>
        </is>
      </c>
      <c r="I637" s="301" t="inlineStr">
        <is>
          <t>✅ Paid</t>
        </is>
      </c>
      <c r="J637" s="423" t="inlineStr">
        <is>
          <t>Weekly salary</t>
        </is>
      </c>
    </row>
    <row r="638">
      <c r="B638" s="429" t="n">
        <v>46248</v>
      </c>
      <c r="C638" s="297" t="inlineStr">
        <is>
          <t>Armando - salary</t>
        </is>
      </c>
      <c r="D638" s="298" t="inlineStr">
        <is>
          <t>Payroll</t>
        </is>
      </c>
      <c r="E638" s="297" t="inlineStr">
        <is>
          <t>Staff - Salary</t>
        </is>
      </c>
      <c r="F638" s="299" t="n">
        <v>740</v>
      </c>
      <c r="G638" s="300" t="inlineStr">
        <is>
          <t>Restaurant</t>
        </is>
      </c>
      <c r="H638" s="300" t="inlineStr">
        <is>
          <t>Cash</t>
        </is>
      </c>
      <c r="I638" s="301" t="inlineStr">
        <is>
          <t>✅ Paid</t>
        </is>
      </c>
      <c r="J638" s="423" t="inlineStr">
        <is>
          <t>Weekly salary</t>
        </is>
      </c>
    </row>
    <row r="639">
      <c r="B639" s="429" t="n">
        <v>46249</v>
      </c>
      <c r="C639" s="297" t="inlineStr">
        <is>
          <t>Carne Bistec</t>
        </is>
      </c>
      <c r="D639" s="298" t="inlineStr">
        <is>
          <t>No bill</t>
        </is>
      </c>
      <c r="E639" s="297" t="inlineStr">
        <is>
          <t>Ingredients - Meat</t>
        </is>
      </c>
      <c r="F639" s="299" t="n">
        <v>116</v>
      </c>
      <c r="G639" s="300" t="inlineStr">
        <is>
          <t>Restaurant</t>
        </is>
      </c>
      <c r="H639" s="300" t="inlineStr">
        <is>
          <t>Cash</t>
        </is>
      </c>
      <c r="I639" s="301" t="inlineStr">
        <is>
          <t>✅ Paid</t>
        </is>
      </c>
      <c r="J639" s="423" t="inlineStr">
        <is>
          <t>No receipt; cash</t>
        </is>
      </c>
    </row>
    <row r="640">
      <c r="B640" s="429" t="n">
        <v>46249</v>
      </c>
      <c r="C640" s="297" t="inlineStr">
        <is>
          <t>Vegetables</t>
        </is>
      </c>
      <c r="D640" s="298" t="inlineStr">
        <is>
          <t>No bill</t>
        </is>
      </c>
      <c r="E640" s="297" t="inlineStr">
        <is>
          <t>Ingredients - Vegetables</t>
        </is>
      </c>
      <c r="F640" s="299" t="n">
        <v>57</v>
      </c>
      <c r="G640" s="300" t="inlineStr">
        <is>
          <t>Restaurant</t>
        </is>
      </c>
      <c r="H640" s="300" t="inlineStr">
        <is>
          <t>Cash</t>
        </is>
      </c>
      <c r="I640" s="301" t="inlineStr">
        <is>
          <t>✅ Paid</t>
        </is>
      </c>
      <c r="J640" s="423" t="inlineStr">
        <is>
          <t>No receipt; cash</t>
        </is>
      </c>
    </row>
    <row r="641">
      <c r="B641" s="429" t="n">
        <v>46249</v>
      </c>
      <c r="C641" s="297" t="inlineStr">
        <is>
          <t>Chedraui</t>
        </is>
      </c>
      <c r="D641" s="298" t="inlineStr">
        <is>
          <t>Chedraui</t>
        </is>
      </c>
      <c r="E641" s="297" t="inlineStr">
        <is>
          <t>Supermarket/General</t>
        </is>
      </c>
      <c r="F641" s="299" t="n">
        <v>108</v>
      </c>
      <c r="G641" s="300" t="inlineStr">
        <is>
          <t>Restaurant</t>
        </is>
      </c>
      <c r="H641" s="300" t="inlineStr">
        <is>
          <t>Cash</t>
        </is>
      </c>
      <c r="I641" s="301" t="inlineStr">
        <is>
          <t>✅ Paid</t>
        </is>
      </c>
      <c r="J641" s="423" t="inlineStr">
        <is>
          <t>No receipt; cash</t>
        </is>
      </c>
    </row>
    <row r="642">
      <c r="B642" s="429" t="n">
        <v>46249</v>
      </c>
      <c r="C642" s="297" t="inlineStr">
        <is>
          <t>Oxxo Panela</t>
        </is>
      </c>
      <c r="D642" s="298" t="inlineStr">
        <is>
          <t>OXXO</t>
        </is>
      </c>
      <c r="E642" s="297" t="inlineStr">
        <is>
          <t>Ingredients - Dairy</t>
        </is>
      </c>
      <c r="F642" s="299" t="n">
        <v>47</v>
      </c>
      <c r="G642" s="300" t="inlineStr">
        <is>
          <t>Restaurant</t>
        </is>
      </c>
      <c r="H642" s="300" t="inlineStr">
        <is>
          <t>Cash</t>
        </is>
      </c>
      <c r="I642" s="301" t="inlineStr">
        <is>
          <t>✅ Paid</t>
        </is>
      </c>
      <c r="J642" s="423" t="inlineStr">
        <is>
          <t>No receipt; cash</t>
        </is>
      </c>
    </row>
    <row r="643">
      <c r="B643" s="429" t="n">
        <v>46249</v>
      </c>
      <c r="C643" s="297" t="inlineStr">
        <is>
          <t>Queso Panela</t>
        </is>
      </c>
      <c r="D643" s="298" t="inlineStr">
        <is>
          <t>No bill</t>
        </is>
      </c>
      <c r="E643" s="297" t="inlineStr">
        <is>
          <t>Ingredients - Dairy</t>
        </is>
      </c>
      <c r="F643" s="299" t="n">
        <v>590</v>
      </c>
      <c r="G643" s="300" t="inlineStr">
        <is>
          <t>Restaurant</t>
        </is>
      </c>
      <c r="H643" s="300" t="inlineStr">
        <is>
          <t>Cash</t>
        </is>
      </c>
      <c r="I643" s="301" t="inlineStr">
        <is>
          <t>✅ Paid</t>
        </is>
      </c>
      <c r="J643" s="423" t="inlineStr">
        <is>
          <t>No receipt; cash</t>
        </is>
      </c>
    </row>
    <row r="644">
      <c r="B644" s="429" t="n">
        <v>46249</v>
      </c>
      <c r="C644" s="297" t="inlineStr">
        <is>
          <t>Pollo</t>
        </is>
      </c>
      <c r="D644" s="298" t="inlineStr">
        <is>
          <t>No bill</t>
        </is>
      </c>
      <c r="E644" s="297" t="inlineStr">
        <is>
          <t>Ingredients - Meat</t>
        </is>
      </c>
      <c r="F644" s="299" t="n">
        <v>368</v>
      </c>
      <c r="G644" s="300" t="inlineStr">
        <is>
          <t>Lohith</t>
        </is>
      </c>
      <c r="H644" s="300" t="inlineStr">
        <is>
          <t>Cash</t>
        </is>
      </c>
      <c r="I644" s="301" t="inlineStr">
        <is>
          <t>✅ Paid</t>
        </is>
      </c>
      <c r="J644" s="423" t="inlineStr">
        <is>
          <t>Pagado por Lohith (bolsillo); reembolsable via Owner Ledger</t>
        </is>
      </c>
    </row>
    <row r="645">
      <c r="B645" s="429" t="n">
        <v>46249</v>
      </c>
      <c r="C645" s="297" t="inlineStr">
        <is>
          <t>Pollo</t>
        </is>
      </c>
      <c r="D645" s="298" t="inlineStr">
        <is>
          <t>No bill</t>
        </is>
      </c>
      <c r="E645" s="297" t="inlineStr">
        <is>
          <t>Ingredients - Meat</t>
        </is>
      </c>
      <c r="F645" s="299" t="n">
        <v>995</v>
      </c>
      <c r="G645" s="300" t="inlineStr">
        <is>
          <t>Lohith</t>
        </is>
      </c>
      <c r="H645" s="300" t="inlineStr">
        <is>
          <t>Cash</t>
        </is>
      </c>
      <c r="I645" s="301" t="inlineStr">
        <is>
          <t>✅ Paid</t>
        </is>
      </c>
      <c r="J645" s="423" t="inlineStr">
        <is>
          <t>Pagado por Lohith (bolsillo); reembolsable via Owner Ledger</t>
        </is>
      </c>
    </row>
    <row r="646">
      <c r="B646" s="429" t="n">
        <v>46249</v>
      </c>
      <c r="C646" s="297" t="inlineStr">
        <is>
          <t>Duvi - salary</t>
        </is>
      </c>
      <c r="D646" s="298" t="inlineStr">
        <is>
          <t>Payroll</t>
        </is>
      </c>
      <c r="E646" s="297" t="inlineStr">
        <is>
          <t>Staff - Salary</t>
        </is>
      </c>
      <c r="F646" s="299" t="n">
        <v>1500</v>
      </c>
      <c r="G646" s="300" t="inlineStr">
        <is>
          <t>Restaurant</t>
        </is>
      </c>
      <c r="H646" s="300" t="inlineStr">
        <is>
          <t>Cash</t>
        </is>
      </c>
      <c r="I646" s="301" t="inlineStr">
        <is>
          <t>✅ Paid</t>
        </is>
      </c>
      <c r="J646" s="423" t="inlineStr">
        <is>
          <t>Weekly salary</t>
        </is>
      </c>
    </row>
    <row r="647">
      <c r="B647" s="429" t="n">
        <v>46249</v>
      </c>
      <c r="C647" s="297" t="inlineStr">
        <is>
          <t>Jhon - salary</t>
        </is>
      </c>
      <c r="D647" s="298" t="inlineStr">
        <is>
          <t>Payroll</t>
        </is>
      </c>
      <c r="E647" s="297" t="inlineStr">
        <is>
          <t>Staff - Salary</t>
        </is>
      </c>
      <c r="F647" s="299" t="n">
        <v>3750</v>
      </c>
      <c r="G647" s="300" t="inlineStr">
        <is>
          <t>Restaurant</t>
        </is>
      </c>
      <c r="H647" s="300" t="inlineStr">
        <is>
          <t>Cash</t>
        </is>
      </c>
      <c r="I647" s="301" t="inlineStr">
        <is>
          <t>✅ Paid</t>
        </is>
      </c>
      <c r="J647" s="423" t="inlineStr">
        <is>
          <t>Weekly salary</t>
        </is>
      </c>
    </row>
    <row r="648">
      <c r="B648" s="429" t="n">
        <v>46251</v>
      </c>
      <c r="C648" s="297" t="inlineStr">
        <is>
          <t>Pan Dulce</t>
        </is>
      </c>
      <c r="D648" s="298" t="inlineStr">
        <is>
          <t>No bill</t>
        </is>
      </c>
      <c r="E648" s="297" t="inlineStr">
        <is>
          <t>Ingredients - Bread</t>
        </is>
      </c>
      <c r="F648" s="299" t="n">
        <v>55</v>
      </c>
      <c r="G648" s="300" t="inlineStr">
        <is>
          <t>Restaurant</t>
        </is>
      </c>
      <c r="H648" s="300" t="inlineStr">
        <is>
          <t>Cash</t>
        </is>
      </c>
      <c r="I648" s="301" t="inlineStr">
        <is>
          <t>✅ Paid</t>
        </is>
      </c>
      <c r="J648" s="423" t="inlineStr">
        <is>
          <t>No receipt; cash</t>
        </is>
      </c>
    </row>
    <row r="649">
      <c r="B649" s="429" t="n">
        <v>46251</v>
      </c>
      <c r="C649" s="297" t="inlineStr">
        <is>
          <t>Tortillas</t>
        </is>
      </c>
      <c r="D649" s="298" t="inlineStr">
        <is>
          <t>No bill</t>
        </is>
      </c>
      <c r="E649" s="297" t="inlineStr">
        <is>
          <t>Ingredients - Bread</t>
        </is>
      </c>
      <c r="F649" s="299" t="n">
        <v>26</v>
      </c>
      <c r="G649" s="300" t="inlineStr">
        <is>
          <t>Restaurant</t>
        </is>
      </c>
      <c r="H649" s="300" t="inlineStr">
        <is>
          <t>Cash</t>
        </is>
      </c>
      <c r="I649" s="301" t="inlineStr">
        <is>
          <t>✅ Paid</t>
        </is>
      </c>
      <c r="J649" s="423" t="inlineStr">
        <is>
          <t>No receipt; cash</t>
        </is>
      </c>
    </row>
    <row r="650">
      <c r="B650" s="429" t="n">
        <v>46251</v>
      </c>
      <c r="C650" s="297" t="inlineStr">
        <is>
          <t>Carne</t>
        </is>
      </c>
      <c r="D650" s="298" t="inlineStr">
        <is>
          <t>No bill</t>
        </is>
      </c>
      <c r="E650" s="297" t="inlineStr">
        <is>
          <t>Ingredients - Meat</t>
        </is>
      </c>
      <c r="F650" s="299" t="n">
        <v>674</v>
      </c>
      <c r="G650" s="300" t="inlineStr">
        <is>
          <t>Restaurant</t>
        </is>
      </c>
      <c r="H650" s="300" t="inlineStr">
        <is>
          <t>Cash</t>
        </is>
      </c>
      <c r="I650" s="301" t="inlineStr">
        <is>
          <t>✅ Paid</t>
        </is>
      </c>
      <c r="J650" s="423" t="inlineStr">
        <is>
          <t>No receipt; cash</t>
        </is>
      </c>
    </row>
    <row r="651">
      <c r="B651" s="429" t="n">
        <v>46251</v>
      </c>
      <c r="C651" s="297" t="inlineStr">
        <is>
          <t>Vegetables</t>
        </is>
      </c>
      <c r="D651" s="298" t="inlineStr">
        <is>
          <t>No bill</t>
        </is>
      </c>
      <c r="E651" s="297" t="inlineStr">
        <is>
          <t>Ingredients - Vegetables</t>
        </is>
      </c>
      <c r="F651" s="299" t="n">
        <v>1850</v>
      </c>
      <c r="G651" s="300" t="inlineStr">
        <is>
          <t>Restaurant</t>
        </is>
      </c>
      <c r="H651" s="300" t="inlineStr">
        <is>
          <t>Cash</t>
        </is>
      </c>
      <c r="I651" s="301" t="inlineStr">
        <is>
          <t>✅ Paid</t>
        </is>
      </c>
      <c r="J651" s="423" t="inlineStr">
        <is>
          <t>No receipt; cash</t>
        </is>
      </c>
    </row>
    <row r="652">
      <c r="B652" s="429" t="n">
        <v>46251</v>
      </c>
      <c r="C652" s="297" t="inlineStr">
        <is>
          <t>Sams club</t>
        </is>
      </c>
      <c r="D652" s="298" t="inlineStr">
        <is>
          <t>Sam's Club</t>
        </is>
      </c>
      <c r="E652" s="297" t="inlineStr">
        <is>
          <t>Supermarket/General</t>
        </is>
      </c>
      <c r="F652" s="299" t="n">
        <v>789</v>
      </c>
      <c r="G652" s="300" t="inlineStr">
        <is>
          <t>Restaurant</t>
        </is>
      </c>
      <c r="H652" s="300" t="inlineStr">
        <is>
          <t>Cash</t>
        </is>
      </c>
      <c r="I652" s="301" t="inlineStr">
        <is>
          <t>✅ Paid</t>
        </is>
      </c>
      <c r="J652" s="423" t="inlineStr">
        <is>
          <t>No receipt; cash</t>
        </is>
      </c>
    </row>
    <row r="653">
      <c r="B653" s="429" t="n">
        <v>46251</v>
      </c>
      <c r="C653" s="297" t="inlineStr">
        <is>
          <t>Telmex</t>
        </is>
      </c>
      <c r="D653" s="298" t="inlineStr">
        <is>
          <t>No bill</t>
        </is>
      </c>
      <c r="E653" s="297" t="inlineStr">
        <is>
          <t>Utilities/Internet</t>
        </is>
      </c>
      <c r="F653" s="299" t="n">
        <v>349</v>
      </c>
      <c r="G653" s="300" t="inlineStr">
        <is>
          <t>Lohith</t>
        </is>
      </c>
      <c r="H653" s="300" t="inlineStr">
        <is>
          <t>Cash</t>
        </is>
      </c>
      <c r="I653" s="301" t="inlineStr">
        <is>
          <t>✅ Paid</t>
        </is>
      </c>
      <c r="J653" s="423" t="inlineStr">
        <is>
          <t>Pagado por Lohith (bolsillo); reembolsable via Owner Ledger</t>
        </is>
      </c>
    </row>
    <row r="654">
      <c r="B654" s="429" t="n">
        <v>46252</v>
      </c>
      <c r="C654" s="297" t="inlineStr">
        <is>
          <t>pan reales</t>
        </is>
      </c>
      <c r="D654" s="298" t="inlineStr">
        <is>
          <t>Pan Reales</t>
        </is>
      </c>
      <c r="E654" s="297" t="inlineStr">
        <is>
          <t>Ingredients - Bread</t>
        </is>
      </c>
      <c r="F654" s="299" t="n">
        <v>475</v>
      </c>
      <c r="G654" s="300" t="inlineStr">
        <is>
          <t>Restaurant</t>
        </is>
      </c>
      <c r="H654" s="300" t="inlineStr">
        <is>
          <t>Cash</t>
        </is>
      </c>
      <c r="I654" s="301" t="inlineStr">
        <is>
          <t>✅ Paid</t>
        </is>
      </c>
      <c r="J654" s="423" t="inlineStr">
        <is>
          <t>No receipt; cash</t>
        </is>
      </c>
    </row>
    <row r="655">
      <c r="B655" s="429" t="n">
        <v>46252</v>
      </c>
      <c r="C655" s="297" t="inlineStr">
        <is>
          <t>sams club</t>
        </is>
      </c>
      <c r="D655" s="298" t="inlineStr">
        <is>
          <t>Sam's Club</t>
        </is>
      </c>
      <c r="E655" s="297" t="inlineStr">
        <is>
          <t>Supermarket/General</t>
        </is>
      </c>
      <c r="F655" s="299" t="n">
        <v>1254</v>
      </c>
      <c r="G655" s="300" t="inlineStr">
        <is>
          <t>Restaurant</t>
        </is>
      </c>
      <c r="H655" s="300" t="inlineStr">
        <is>
          <t>Cash</t>
        </is>
      </c>
      <c r="I655" s="301" t="inlineStr">
        <is>
          <t>✅ Paid</t>
        </is>
      </c>
      <c r="J655" s="423" t="inlineStr">
        <is>
          <t>No receipt; cash</t>
        </is>
      </c>
    </row>
    <row r="656">
      <c r="B656" s="429" t="n">
        <v>46252</v>
      </c>
      <c r="C656" s="297" t="inlineStr">
        <is>
          <t>Carne</t>
        </is>
      </c>
      <c r="D656" s="298" t="inlineStr">
        <is>
          <t>No bill</t>
        </is>
      </c>
      <c r="E656" s="297" t="inlineStr">
        <is>
          <t>Ingredients - Meat</t>
        </is>
      </c>
      <c r="F656" s="299" t="n">
        <v>491</v>
      </c>
      <c r="G656" s="300" t="inlineStr">
        <is>
          <t>Restaurant</t>
        </is>
      </c>
      <c r="H656" s="300" t="inlineStr">
        <is>
          <t>Cash</t>
        </is>
      </c>
      <c r="I656" s="301" t="inlineStr">
        <is>
          <t>✅ Paid</t>
        </is>
      </c>
      <c r="J656" s="423" t="inlineStr">
        <is>
          <t>No receipt; cash</t>
        </is>
      </c>
    </row>
    <row r="657">
      <c r="B657" s="429" t="n">
        <v>46252</v>
      </c>
      <c r="C657" s="297" t="inlineStr">
        <is>
          <t>Chedraui</t>
        </is>
      </c>
      <c r="D657" s="298" t="inlineStr">
        <is>
          <t>Chedraui</t>
        </is>
      </c>
      <c r="E657" s="297" t="inlineStr">
        <is>
          <t>Supermarket/General</t>
        </is>
      </c>
      <c r="F657" s="299" t="n">
        <v>312</v>
      </c>
      <c r="G657" s="300" t="inlineStr">
        <is>
          <t>Restaurant</t>
        </is>
      </c>
      <c r="H657" s="300" t="inlineStr">
        <is>
          <t>Cash</t>
        </is>
      </c>
      <c r="I657" s="301" t="inlineStr">
        <is>
          <t>✅ Paid</t>
        </is>
      </c>
      <c r="J657" s="423" t="inlineStr">
        <is>
          <t>No receipt; cash</t>
        </is>
      </c>
    </row>
    <row r="658">
      <c r="B658" s="429" t="n">
        <v>46252</v>
      </c>
      <c r="C658" s="297" t="inlineStr">
        <is>
          <t>Oxxo Arroz</t>
        </is>
      </c>
      <c r="D658" s="298" t="inlineStr">
        <is>
          <t>OXXO</t>
        </is>
      </c>
      <c r="E658" s="297" t="inlineStr">
        <is>
          <t>Ingredients - Pantry</t>
        </is>
      </c>
      <c r="F658" s="299" t="n">
        <v>71</v>
      </c>
      <c r="G658" s="300" t="inlineStr">
        <is>
          <t>Restaurant</t>
        </is>
      </c>
      <c r="H658" s="300" t="inlineStr">
        <is>
          <t>Cash</t>
        </is>
      </c>
      <c r="I658" s="301" t="inlineStr">
        <is>
          <t>✅ Paid</t>
        </is>
      </c>
      <c r="J658" s="423" t="inlineStr">
        <is>
          <t>No receipt; cash</t>
        </is>
      </c>
    </row>
    <row r="659">
      <c r="B659" s="429" t="n">
        <v>46253</v>
      </c>
      <c r="C659" s="297" t="inlineStr">
        <is>
          <t>Hielo</t>
        </is>
      </c>
      <c r="D659" s="298" t="inlineStr">
        <is>
          <t>No bill</t>
        </is>
      </c>
      <c r="E659" s="297" t="inlineStr">
        <is>
          <t>Kitchen Supplies</t>
        </is>
      </c>
      <c r="F659" s="299" t="n">
        <v>100</v>
      </c>
      <c r="G659" s="300" t="inlineStr">
        <is>
          <t>Restaurant</t>
        </is>
      </c>
      <c r="H659" s="300" t="inlineStr">
        <is>
          <t>Cash</t>
        </is>
      </c>
      <c r="I659" s="301" t="inlineStr">
        <is>
          <t>✅ Paid</t>
        </is>
      </c>
      <c r="J659" s="423" t="inlineStr">
        <is>
          <t>No receipt; cash</t>
        </is>
      </c>
    </row>
    <row r="660">
      <c r="B660" s="429" t="n">
        <v>46253</v>
      </c>
      <c r="C660" s="297" t="inlineStr">
        <is>
          <t>Carne</t>
        </is>
      </c>
      <c r="D660" s="298" t="inlineStr">
        <is>
          <t>No bill</t>
        </is>
      </c>
      <c r="E660" s="297" t="inlineStr">
        <is>
          <t>Ingredients - Meat</t>
        </is>
      </c>
      <c r="F660" s="299" t="n">
        <v>137</v>
      </c>
      <c r="G660" s="300" t="inlineStr">
        <is>
          <t>Restaurant</t>
        </is>
      </c>
      <c r="H660" s="300" t="inlineStr">
        <is>
          <t>Cash</t>
        </is>
      </c>
      <c r="I660" s="301" t="inlineStr">
        <is>
          <t>✅ Paid</t>
        </is>
      </c>
      <c r="J660" s="423" t="inlineStr">
        <is>
          <t>No receipt; cash</t>
        </is>
      </c>
    </row>
    <row r="661">
      <c r="B661" s="429" t="n">
        <v>46253</v>
      </c>
      <c r="C661" s="297" t="inlineStr">
        <is>
          <t>office depot comanda</t>
        </is>
      </c>
      <c r="D661" s="298" t="inlineStr">
        <is>
          <t>No bill</t>
        </is>
      </c>
      <c r="E661" s="297" t="inlineStr">
        <is>
          <t>Office Supplies</t>
        </is>
      </c>
      <c r="F661" s="299" t="n">
        <v>59</v>
      </c>
      <c r="G661" s="300" t="inlineStr">
        <is>
          <t>Restaurant</t>
        </is>
      </c>
      <c r="H661" s="300" t="inlineStr">
        <is>
          <t>Cash</t>
        </is>
      </c>
      <c r="I661" s="301" t="inlineStr">
        <is>
          <t>✅ Paid</t>
        </is>
      </c>
      <c r="J661" s="423" t="inlineStr">
        <is>
          <t>No receipt; cash</t>
        </is>
      </c>
    </row>
    <row r="662">
      <c r="B662" s="429" t="n">
        <v>46253</v>
      </c>
      <c r="C662" s="297" t="inlineStr">
        <is>
          <t>sams club</t>
        </is>
      </c>
      <c r="D662" s="298" t="inlineStr">
        <is>
          <t>Sam's Club</t>
        </is>
      </c>
      <c r="E662" s="297" t="inlineStr">
        <is>
          <t>Supermarket/General</t>
        </is>
      </c>
      <c r="F662" s="299" t="n">
        <v>1911</v>
      </c>
      <c r="G662" s="300" t="inlineStr">
        <is>
          <t>Restaurant</t>
        </is>
      </c>
      <c r="H662" s="300" t="inlineStr">
        <is>
          <t>Cash</t>
        </is>
      </c>
      <c r="I662" s="301" t="inlineStr">
        <is>
          <t>✅ Paid</t>
        </is>
      </c>
      <c r="J662" s="423" t="inlineStr">
        <is>
          <t>No receipt; cash</t>
        </is>
      </c>
    </row>
    <row r="663">
      <c r="B663" s="429" t="n">
        <v>46253</v>
      </c>
      <c r="C663" s="297" t="inlineStr">
        <is>
          <t>Oxxo Coca</t>
        </is>
      </c>
      <c r="D663" s="298" t="inlineStr">
        <is>
          <t>OXXO</t>
        </is>
      </c>
      <c r="E663" s="297" t="inlineStr">
        <is>
          <t>Ingredients - Pantry</t>
        </is>
      </c>
      <c r="F663" s="299" t="n">
        <v>55</v>
      </c>
      <c r="G663" s="300" t="inlineStr">
        <is>
          <t>Restaurant</t>
        </is>
      </c>
      <c r="H663" s="300" t="inlineStr">
        <is>
          <t>Cash</t>
        </is>
      </c>
      <c r="I663" s="301" t="inlineStr">
        <is>
          <t>✅ Paid</t>
        </is>
      </c>
      <c r="J663" s="423" t="inlineStr">
        <is>
          <t>No receipt; cash</t>
        </is>
      </c>
    </row>
    <row r="664">
      <c r="B664" s="429" t="n">
        <v>46253</v>
      </c>
      <c r="C664" s="297" t="inlineStr">
        <is>
          <t>Oxxo Aceite</t>
        </is>
      </c>
      <c r="D664" s="298" t="inlineStr">
        <is>
          <t>OXXO</t>
        </is>
      </c>
      <c r="E664" s="297" t="inlineStr">
        <is>
          <t>Ingredients - Pantry</t>
        </is>
      </c>
      <c r="F664" s="299" t="n">
        <v>280</v>
      </c>
      <c r="G664" s="300" t="inlineStr">
        <is>
          <t>Restaurant</t>
        </is>
      </c>
      <c r="H664" s="300" t="inlineStr">
        <is>
          <t>Cash</t>
        </is>
      </c>
      <c r="I664" s="301" t="inlineStr">
        <is>
          <t>✅ Paid</t>
        </is>
      </c>
      <c r="J664" s="423" t="inlineStr">
        <is>
          <t>No receipt; cash</t>
        </is>
      </c>
    </row>
    <row r="665">
      <c r="B665" s="429" t="n">
        <v>46253</v>
      </c>
      <c r="C665" s="297" t="inlineStr">
        <is>
          <t>Pollo</t>
        </is>
      </c>
      <c r="D665" s="298" t="inlineStr">
        <is>
          <t>No bill</t>
        </is>
      </c>
      <c r="E665" s="297" t="inlineStr">
        <is>
          <t>Ingredients - Meat</t>
        </is>
      </c>
      <c r="F665" s="299" t="n">
        <v>418</v>
      </c>
      <c r="G665" s="300" t="inlineStr">
        <is>
          <t>Lohith</t>
        </is>
      </c>
      <c r="H665" s="300" t="inlineStr">
        <is>
          <t>Cash</t>
        </is>
      </c>
      <c r="I665" s="301" t="inlineStr">
        <is>
          <t>✅ Paid</t>
        </is>
      </c>
      <c r="J665" s="423" t="inlineStr">
        <is>
          <t>Pagado por Lohith (bolsillo); reembolsable via Owner Ledger</t>
        </is>
      </c>
    </row>
    <row r="666">
      <c r="B666" s="429" t="n">
        <v>46254</v>
      </c>
      <c r="C666" s="297" t="inlineStr">
        <is>
          <t>Pescado</t>
        </is>
      </c>
      <c r="D666" s="298" t="inlineStr">
        <is>
          <t>No bill</t>
        </is>
      </c>
      <c r="E666" s="297" t="inlineStr">
        <is>
          <t>Ingredients - Meat &amp; Fish</t>
        </is>
      </c>
      <c r="F666" s="299" t="n">
        <v>340</v>
      </c>
      <c r="G666" s="300" t="inlineStr">
        <is>
          <t>Restaurant</t>
        </is>
      </c>
      <c r="H666" s="300" t="inlineStr">
        <is>
          <t>Cash</t>
        </is>
      </c>
      <c r="I666" s="301" t="inlineStr">
        <is>
          <t>✅ Paid</t>
        </is>
      </c>
      <c r="J666" s="423" t="inlineStr">
        <is>
          <t>No receipt; cash</t>
        </is>
      </c>
    </row>
    <row r="667">
      <c r="B667" s="429" t="n">
        <v>46255</v>
      </c>
      <c r="C667" s="297" t="inlineStr">
        <is>
          <t>Carne</t>
        </is>
      </c>
      <c r="D667" s="298" t="inlineStr">
        <is>
          <t>No bill</t>
        </is>
      </c>
      <c r="E667" s="297" t="inlineStr">
        <is>
          <t>Ingredients - Meat</t>
        </is>
      </c>
      <c r="F667" s="299" t="n">
        <v>1176</v>
      </c>
      <c r="G667" s="300" t="inlineStr">
        <is>
          <t>Restaurant</t>
        </is>
      </c>
      <c r="H667" s="300" t="inlineStr">
        <is>
          <t>Cash</t>
        </is>
      </c>
      <c r="I667" s="301" t="inlineStr">
        <is>
          <t>✅ Paid</t>
        </is>
      </c>
      <c r="J667" s="423" t="inlineStr">
        <is>
          <t>No receipt; cash</t>
        </is>
      </c>
    </row>
    <row r="668">
      <c r="B668" s="429" t="n">
        <v>46255</v>
      </c>
      <c r="C668" s="297" t="inlineStr">
        <is>
          <t>Carne</t>
        </is>
      </c>
      <c r="D668" s="298" t="inlineStr">
        <is>
          <t>No bill</t>
        </is>
      </c>
      <c r="E668" s="297" t="inlineStr">
        <is>
          <t>Ingredients - Meat</t>
        </is>
      </c>
      <c r="F668" s="299" t="n">
        <v>340</v>
      </c>
      <c r="G668" s="300" t="inlineStr">
        <is>
          <t>Restaurant</t>
        </is>
      </c>
      <c r="H668" s="300" t="inlineStr">
        <is>
          <t>Cash</t>
        </is>
      </c>
      <c r="I668" s="301" t="inlineStr">
        <is>
          <t>✅ Paid</t>
        </is>
      </c>
      <c r="J668" s="423" t="inlineStr">
        <is>
          <t>No receipt; cash</t>
        </is>
      </c>
    </row>
    <row r="669">
      <c r="B669" s="429" t="n">
        <v>46255</v>
      </c>
      <c r="C669" s="297" t="inlineStr">
        <is>
          <t>Vegetables</t>
        </is>
      </c>
      <c r="D669" s="298" t="inlineStr">
        <is>
          <t>No bill</t>
        </is>
      </c>
      <c r="E669" s="297" t="inlineStr">
        <is>
          <t>Ingredients - Vegetables</t>
        </is>
      </c>
      <c r="F669" s="299" t="n">
        <v>114</v>
      </c>
      <c r="G669" s="300" t="inlineStr">
        <is>
          <t>Restaurant</t>
        </is>
      </c>
      <c r="H669" s="300" t="inlineStr">
        <is>
          <t>Cash</t>
        </is>
      </c>
      <c r="I669" s="301" t="inlineStr">
        <is>
          <t>✅ Paid</t>
        </is>
      </c>
      <c r="J669" s="423" t="inlineStr">
        <is>
          <t>No receipt; cash</t>
        </is>
      </c>
    </row>
    <row r="670">
      <c r="B670" s="429" t="n">
        <v>46255</v>
      </c>
      <c r="C670" s="297" t="inlineStr">
        <is>
          <t>Agua Natural</t>
        </is>
      </c>
      <c r="D670" s="298" t="inlineStr">
        <is>
          <t>No bill</t>
        </is>
      </c>
      <c r="E670" s="297" t="inlineStr">
        <is>
          <t>Ingredients - Beverages</t>
        </is>
      </c>
      <c r="F670" s="299" t="n">
        <v>30</v>
      </c>
      <c r="G670" s="300" t="inlineStr">
        <is>
          <t>Restaurant</t>
        </is>
      </c>
      <c r="H670" s="300" t="inlineStr">
        <is>
          <t>Cash</t>
        </is>
      </c>
      <c r="I670" s="301" t="inlineStr">
        <is>
          <t>✅ Paid</t>
        </is>
      </c>
      <c r="J670" s="423" t="inlineStr">
        <is>
          <t>No receipt; cash</t>
        </is>
      </c>
    </row>
    <row r="671">
      <c r="B671" s="429" t="n">
        <v>46255</v>
      </c>
      <c r="C671" s="297" t="inlineStr">
        <is>
          <t>Chedraui</t>
        </is>
      </c>
      <c r="D671" s="298" t="inlineStr">
        <is>
          <t>Chedraui</t>
        </is>
      </c>
      <c r="E671" s="297" t="inlineStr">
        <is>
          <t>Supermarket/General</t>
        </is>
      </c>
      <c r="F671" s="299" t="n">
        <v>70</v>
      </c>
      <c r="G671" s="300" t="inlineStr">
        <is>
          <t>Restaurant</t>
        </is>
      </c>
      <c r="H671" s="300" t="inlineStr">
        <is>
          <t>Cash</t>
        </is>
      </c>
      <c r="I671" s="301" t="inlineStr">
        <is>
          <t>✅ Paid</t>
        </is>
      </c>
      <c r="J671" s="423" t="inlineStr">
        <is>
          <t>No receipt; cash</t>
        </is>
      </c>
    </row>
    <row r="672">
      <c r="B672" s="429" t="n">
        <v>46255</v>
      </c>
      <c r="C672" s="297" t="inlineStr">
        <is>
          <t>Pan Reales</t>
        </is>
      </c>
      <c r="D672" s="298" t="inlineStr">
        <is>
          <t>Pan Reales</t>
        </is>
      </c>
      <c r="E672" s="297" t="inlineStr">
        <is>
          <t>Ingredients - Bread</t>
        </is>
      </c>
      <c r="F672" s="299" t="n">
        <v>156</v>
      </c>
      <c r="G672" s="300" t="inlineStr">
        <is>
          <t>Restaurant</t>
        </is>
      </c>
      <c r="H672" s="300" t="inlineStr">
        <is>
          <t>Cash</t>
        </is>
      </c>
      <c r="I672" s="301" t="inlineStr">
        <is>
          <t>✅ Paid</t>
        </is>
      </c>
      <c r="J672" s="423" t="inlineStr">
        <is>
          <t>No receipt; cash</t>
        </is>
      </c>
    </row>
    <row r="673">
      <c r="B673" s="429" t="n">
        <v>46255</v>
      </c>
      <c r="C673" s="297" t="inlineStr">
        <is>
          <t>Armando - salary</t>
        </is>
      </c>
      <c r="D673" s="298" t="inlineStr">
        <is>
          <t>Payroll</t>
        </is>
      </c>
      <c r="E673" s="297" t="inlineStr">
        <is>
          <t>Staff - Salary</t>
        </is>
      </c>
      <c r="F673" s="299" t="n">
        <v>1850</v>
      </c>
      <c r="G673" s="300" t="inlineStr">
        <is>
          <t>Restaurant</t>
        </is>
      </c>
      <c r="H673" s="300" t="inlineStr">
        <is>
          <t>Cash</t>
        </is>
      </c>
      <c r="I673" s="301" t="inlineStr">
        <is>
          <t>✅ Paid</t>
        </is>
      </c>
      <c r="J673" s="423" t="inlineStr">
        <is>
          <t>Weekly salary</t>
        </is>
      </c>
    </row>
    <row r="674">
      <c r="B674" s="429" t="n">
        <v>46256</v>
      </c>
      <c r="C674" s="297" t="inlineStr">
        <is>
          <t>Vegetables</t>
        </is>
      </c>
      <c r="D674" s="298" t="inlineStr">
        <is>
          <t>No bill</t>
        </is>
      </c>
      <c r="E674" s="297" t="inlineStr">
        <is>
          <t>Ingredients - Vegetables</t>
        </is>
      </c>
      <c r="F674" s="299" t="n">
        <v>109</v>
      </c>
      <c r="G674" s="300" t="inlineStr">
        <is>
          <t>Restaurant</t>
        </is>
      </c>
      <c r="H674" s="300" t="inlineStr">
        <is>
          <t>Cash</t>
        </is>
      </c>
      <c r="I674" s="301" t="inlineStr">
        <is>
          <t>✅ Paid</t>
        </is>
      </c>
      <c r="J674" s="423" t="inlineStr">
        <is>
          <t>No receipt; cash</t>
        </is>
      </c>
    </row>
    <row r="675">
      <c r="B675" s="429" t="n">
        <v>46256</v>
      </c>
      <c r="C675" s="297" t="inlineStr">
        <is>
          <t>Jhon - salary</t>
        </is>
      </c>
      <c r="D675" s="298" t="inlineStr">
        <is>
          <t>Payroll</t>
        </is>
      </c>
      <c r="E675" s="297" t="inlineStr">
        <is>
          <t>Staff - Salary</t>
        </is>
      </c>
      <c r="F675" s="299" t="n">
        <v>4200</v>
      </c>
      <c r="G675" s="300" t="inlineStr">
        <is>
          <t>Restaurant</t>
        </is>
      </c>
      <c r="H675" s="300" t="inlineStr">
        <is>
          <t>Cash</t>
        </is>
      </c>
      <c r="I675" s="301" t="inlineStr">
        <is>
          <t>✅ Paid</t>
        </is>
      </c>
      <c r="J675" s="423" t="inlineStr">
        <is>
          <t>Weekly salary</t>
        </is>
      </c>
    </row>
    <row r="676">
      <c r="B676" s="429" t="n">
        <v>46256</v>
      </c>
      <c r="C676" s="297" t="inlineStr">
        <is>
          <t>Duvi - salary</t>
        </is>
      </c>
      <c r="D676" s="298" t="inlineStr">
        <is>
          <t>Payroll</t>
        </is>
      </c>
      <c r="E676" s="297" t="inlineStr">
        <is>
          <t>Staff - Salary</t>
        </is>
      </c>
      <c r="F676" s="299" t="n">
        <v>500</v>
      </c>
      <c r="G676" s="300" t="inlineStr">
        <is>
          <t>Restaurant</t>
        </is>
      </c>
      <c r="H676" s="300" t="inlineStr">
        <is>
          <t>Cash</t>
        </is>
      </c>
      <c r="I676" s="301" t="inlineStr">
        <is>
          <t>✅ Paid</t>
        </is>
      </c>
      <c r="J676" s="423" t="inlineStr">
        <is>
          <t>Weekly salary</t>
        </is>
      </c>
    </row>
    <row r="677">
      <c r="B677" s="429" t="n">
        <v>46257</v>
      </c>
      <c r="C677" s="297" t="inlineStr">
        <is>
          <t>Vegetables Abastos</t>
        </is>
      </c>
      <c r="D677" s="298" t="inlineStr">
        <is>
          <t>Central de Abastos</t>
        </is>
      </c>
      <c r="E677" s="297" t="inlineStr">
        <is>
          <t>Ingredients - Vegetables</t>
        </is>
      </c>
      <c r="F677" s="299" t="n">
        <v>2046</v>
      </c>
      <c r="G677" s="300" t="inlineStr">
        <is>
          <t>Restaurant</t>
        </is>
      </c>
      <c r="H677" s="300" t="inlineStr">
        <is>
          <t>Cash</t>
        </is>
      </c>
      <c r="I677" s="301" t="inlineStr">
        <is>
          <t>✅ Paid</t>
        </is>
      </c>
      <c r="J677" s="423" t="inlineStr">
        <is>
          <t>No receipt; cash</t>
        </is>
      </c>
    </row>
    <row r="678">
      <c r="B678" s="429" t="n">
        <v>46257</v>
      </c>
      <c r="C678" s="297" t="inlineStr">
        <is>
          <t>Basicos</t>
        </is>
      </c>
      <c r="D678" s="298" t="inlineStr">
        <is>
          <t>No bill</t>
        </is>
      </c>
      <c r="E678" s="297" t="inlineStr">
        <is>
          <t>Supermarket/General</t>
        </is>
      </c>
      <c r="F678" s="299" t="n">
        <v>1241</v>
      </c>
      <c r="G678" s="300" t="inlineStr">
        <is>
          <t>Restaurant</t>
        </is>
      </c>
      <c r="H678" s="300" t="inlineStr">
        <is>
          <t>Cash</t>
        </is>
      </c>
      <c r="I678" s="301" t="inlineStr">
        <is>
          <t>✅ Paid</t>
        </is>
      </c>
      <c r="J678" s="423" t="inlineStr">
        <is>
          <t>No receipt; cash</t>
        </is>
      </c>
    </row>
    <row r="679">
      <c r="B679" s="429" t="n">
        <v>46257</v>
      </c>
      <c r="C679" s="297" t="inlineStr">
        <is>
          <t>San Juan Jamon</t>
        </is>
      </c>
      <c r="D679" s="298" t="inlineStr">
        <is>
          <t>No bill</t>
        </is>
      </c>
      <c r="E679" s="297" t="inlineStr">
        <is>
          <t>Ingredients - Meat</t>
        </is>
      </c>
      <c r="F679" s="299" t="n">
        <v>188</v>
      </c>
      <c r="G679" s="300" t="inlineStr">
        <is>
          <t>Restaurant</t>
        </is>
      </c>
      <c r="H679" s="300" t="inlineStr">
        <is>
          <t>Cash</t>
        </is>
      </c>
      <c r="I679" s="301" t="inlineStr">
        <is>
          <t>✅ Paid</t>
        </is>
      </c>
      <c r="J679" s="423" t="inlineStr">
        <is>
          <t>No receipt; cash</t>
        </is>
      </c>
    </row>
    <row r="680">
      <c r="B680" s="429" t="n">
        <v>46258</v>
      </c>
      <c r="C680" s="297" t="inlineStr">
        <is>
          <t>Eggs</t>
        </is>
      </c>
      <c r="D680" s="298" t="inlineStr">
        <is>
          <t>No bill</t>
        </is>
      </c>
      <c r="E680" s="297" t="inlineStr">
        <is>
          <t>Ingredients - Eggs</t>
        </is>
      </c>
      <c r="F680" s="299" t="n">
        <v>136</v>
      </c>
      <c r="G680" s="300" t="inlineStr">
        <is>
          <t>Restaurant</t>
        </is>
      </c>
      <c r="H680" s="300" t="inlineStr">
        <is>
          <t>Cash</t>
        </is>
      </c>
      <c r="I680" s="301" t="inlineStr">
        <is>
          <t>✅ Paid</t>
        </is>
      </c>
      <c r="J680" s="423" t="inlineStr">
        <is>
          <t>No receipt; cash</t>
        </is>
      </c>
    </row>
    <row r="681">
      <c r="B681" s="429" t="n">
        <v>46258</v>
      </c>
      <c r="C681" s="297" t="inlineStr">
        <is>
          <t>Carne</t>
        </is>
      </c>
      <c r="D681" s="298" t="inlineStr">
        <is>
          <t>No bill</t>
        </is>
      </c>
      <c r="E681" s="297" t="inlineStr">
        <is>
          <t>Ingredients - Meat</t>
        </is>
      </c>
      <c r="F681" s="299" t="n">
        <v>212</v>
      </c>
      <c r="G681" s="300" t="inlineStr">
        <is>
          <t>Restaurant</t>
        </is>
      </c>
      <c r="H681" s="300" t="inlineStr">
        <is>
          <t>Cash</t>
        </is>
      </c>
      <c r="I681" s="301" t="inlineStr">
        <is>
          <t>✅ Paid</t>
        </is>
      </c>
      <c r="J681" s="423" t="inlineStr">
        <is>
          <t>No receipt; cash</t>
        </is>
      </c>
    </row>
    <row r="682">
      <c r="B682" s="429" t="n">
        <v>46258</v>
      </c>
      <c r="C682" s="297" t="inlineStr">
        <is>
          <t>Pescado</t>
        </is>
      </c>
      <c r="D682" s="298" t="inlineStr">
        <is>
          <t>No bill</t>
        </is>
      </c>
      <c r="E682" s="297" t="inlineStr">
        <is>
          <t>Ingredients - Meat &amp; Fish</t>
        </is>
      </c>
      <c r="F682" s="299" t="n">
        <v>259</v>
      </c>
      <c r="G682" s="300" t="inlineStr">
        <is>
          <t>Restaurant</t>
        </is>
      </c>
      <c r="H682" s="300" t="inlineStr">
        <is>
          <t>Cash</t>
        </is>
      </c>
      <c r="I682" s="301" t="inlineStr">
        <is>
          <t>✅ Paid</t>
        </is>
      </c>
      <c r="J682" s="423" t="inlineStr">
        <is>
          <t>No receipt; cash</t>
        </is>
      </c>
    </row>
    <row r="683">
      <c r="B683" s="429" t="n">
        <v>46258</v>
      </c>
      <c r="C683" s="297" t="inlineStr">
        <is>
          <t>Chedraui</t>
        </is>
      </c>
      <c r="D683" s="298" t="inlineStr">
        <is>
          <t>Chedraui</t>
        </is>
      </c>
      <c r="E683" s="297" t="inlineStr">
        <is>
          <t>Supermarket/General</t>
        </is>
      </c>
      <c r="F683" s="299" t="n">
        <v>151</v>
      </c>
      <c r="G683" s="300" t="inlineStr">
        <is>
          <t>Restaurant</t>
        </is>
      </c>
      <c r="H683" s="300" t="inlineStr">
        <is>
          <t>Cash</t>
        </is>
      </c>
      <c r="I683" s="301" t="inlineStr">
        <is>
          <t>✅ Paid</t>
        </is>
      </c>
      <c r="J683" s="423" t="inlineStr">
        <is>
          <t>No receipt; cash</t>
        </is>
      </c>
    </row>
    <row r="684">
      <c r="B684" s="429" t="n">
        <v>46258</v>
      </c>
      <c r="C684" s="297" t="inlineStr">
        <is>
          <t>Pescado</t>
        </is>
      </c>
      <c r="D684" s="298" t="inlineStr">
        <is>
          <t>No bill</t>
        </is>
      </c>
      <c r="E684" s="297" t="inlineStr">
        <is>
          <t>Ingredients - Meat &amp; Fish</t>
        </is>
      </c>
      <c r="F684" s="299" t="n">
        <v>452</v>
      </c>
      <c r="G684" s="300" t="inlineStr">
        <is>
          <t>Restaurant</t>
        </is>
      </c>
      <c r="H684" s="300" t="inlineStr">
        <is>
          <t>Cash</t>
        </is>
      </c>
      <c r="I684" s="301" t="inlineStr">
        <is>
          <t>✅ Paid</t>
        </is>
      </c>
      <c r="J684" s="423" t="inlineStr">
        <is>
          <t>No receipt; cash</t>
        </is>
      </c>
    </row>
    <row r="685">
      <c r="B685" s="429" t="n">
        <v>46258</v>
      </c>
      <c r="C685" s="297" t="inlineStr">
        <is>
          <t>Hielo</t>
        </is>
      </c>
      <c r="D685" s="298" t="inlineStr">
        <is>
          <t>No bill</t>
        </is>
      </c>
      <c r="E685" s="297" t="inlineStr">
        <is>
          <t>Kitchen Supplies</t>
        </is>
      </c>
      <c r="F685" s="299" t="n">
        <v>200</v>
      </c>
      <c r="G685" s="300" t="inlineStr">
        <is>
          <t>Restaurant</t>
        </is>
      </c>
      <c r="H685" s="300" t="inlineStr">
        <is>
          <t>Cash</t>
        </is>
      </c>
      <c r="I685" s="301" t="inlineStr">
        <is>
          <t>✅ Paid</t>
        </is>
      </c>
      <c r="J685" s="423" t="inlineStr">
        <is>
          <t>No receipt; cash</t>
        </is>
      </c>
    </row>
    <row r="686">
      <c r="B686" s="429" t="n">
        <v>46258</v>
      </c>
      <c r="C686" s="297" t="inlineStr">
        <is>
          <t>Agua Natural</t>
        </is>
      </c>
      <c r="D686" s="298" t="inlineStr">
        <is>
          <t>No bill</t>
        </is>
      </c>
      <c r="E686" s="297" t="inlineStr">
        <is>
          <t>Ingredients - Beverages</t>
        </is>
      </c>
      <c r="F686" s="299" t="n">
        <v>45</v>
      </c>
      <c r="G686" s="300" t="inlineStr">
        <is>
          <t>Restaurant</t>
        </is>
      </c>
      <c r="H686" s="300" t="inlineStr">
        <is>
          <t>Cash</t>
        </is>
      </c>
      <c r="I686" s="301" t="inlineStr">
        <is>
          <t>✅ Paid</t>
        </is>
      </c>
      <c r="J686" s="423" t="inlineStr">
        <is>
          <t>No receipt; cash</t>
        </is>
      </c>
    </row>
    <row r="687">
      <c r="B687" s="429" t="n">
        <v>46258</v>
      </c>
      <c r="C687" s="297" t="inlineStr">
        <is>
          <t>Molino</t>
        </is>
      </c>
      <c r="D687" s="298" t="inlineStr">
        <is>
          <t>No bill</t>
        </is>
      </c>
      <c r="E687" s="297" t="inlineStr">
        <is>
          <t>Supermarket/General</t>
        </is>
      </c>
      <c r="F687" s="299" t="n">
        <v>80</v>
      </c>
      <c r="G687" s="300" t="inlineStr">
        <is>
          <t>Restaurant</t>
        </is>
      </c>
      <c r="H687" s="300" t="inlineStr">
        <is>
          <t>Cash</t>
        </is>
      </c>
      <c r="I687" s="301" t="inlineStr">
        <is>
          <t>✅ Paid</t>
        </is>
      </c>
      <c r="J687" s="423" t="inlineStr">
        <is>
          <t>No receipt; cash</t>
        </is>
      </c>
    </row>
    <row r="688">
      <c r="B688" s="429" t="n">
        <v>46258</v>
      </c>
      <c r="C688" s="297" t="inlineStr">
        <is>
          <t>Pollo</t>
        </is>
      </c>
      <c r="D688" s="298" t="inlineStr">
        <is>
          <t>No bill</t>
        </is>
      </c>
      <c r="E688" s="297" t="inlineStr">
        <is>
          <t>Ingredients - Meat</t>
        </is>
      </c>
      <c r="F688" s="299" t="n">
        <v>1429</v>
      </c>
      <c r="G688" s="300" t="inlineStr">
        <is>
          <t>Lohith</t>
        </is>
      </c>
      <c r="H688" s="300" t="inlineStr">
        <is>
          <t>Cash</t>
        </is>
      </c>
      <c r="I688" s="301" t="inlineStr">
        <is>
          <t>✅ Paid</t>
        </is>
      </c>
      <c r="J688" s="423" t="inlineStr">
        <is>
          <t>Pagado por Lohith (bolsillo); reembolsable via Owner Ledger</t>
        </is>
      </c>
    </row>
    <row r="689">
      <c r="B689" s="429" t="n">
        <v>46259</v>
      </c>
      <c r="C689" s="297" t="inlineStr">
        <is>
          <t>Queso</t>
        </is>
      </c>
      <c r="D689" s="298" t="inlineStr">
        <is>
          <t>No bill</t>
        </is>
      </c>
      <c r="E689" s="297" t="inlineStr">
        <is>
          <t>Ingredients - Dairy</t>
        </is>
      </c>
      <c r="F689" s="299" t="n">
        <v>558</v>
      </c>
      <c r="G689" s="300" t="inlineStr">
        <is>
          <t>Restaurant</t>
        </is>
      </c>
      <c r="H689" s="300" t="inlineStr">
        <is>
          <t>Cash</t>
        </is>
      </c>
      <c r="I689" s="301" t="inlineStr">
        <is>
          <t>✅ Paid</t>
        </is>
      </c>
      <c r="J689" s="423" t="inlineStr">
        <is>
          <t>No receipt; cash</t>
        </is>
      </c>
    </row>
    <row r="690">
      <c r="B690" s="429" t="n">
        <v>46259</v>
      </c>
      <c r="C690" s="297" t="inlineStr">
        <is>
          <t>Vegetables</t>
        </is>
      </c>
      <c r="D690" s="298" t="inlineStr">
        <is>
          <t>No bill</t>
        </is>
      </c>
      <c r="E690" s="297" t="inlineStr">
        <is>
          <t>Ingredients - Vegetables</t>
        </is>
      </c>
      <c r="F690" s="299" t="n">
        <v>140</v>
      </c>
      <c r="G690" s="300" t="inlineStr">
        <is>
          <t>Restaurant</t>
        </is>
      </c>
      <c r="H690" s="300" t="inlineStr">
        <is>
          <t>Cash</t>
        </is>
      </c>
      <c r="I690" s="301" t="inlineStr">
        <is>
          <t>✅ Paid</t>
        </is>
      </c>
      <c r="J690" s="423" t="inlineStr">
        <is>
          <t>No receipt; cash</t>
        </is>
      </c>
    </row>
    <row r="691">
      <c r="B691" s="429" t="n">
        <v>46261</v>
      </c>
      <c r="C691" s="297" t="inlineStr">
        <is>
          <t>Carne</t>
        </is>
      </c>
      <c r="D691" s="298" t="inlineStr">
        <is>
          <t>No bill</t>
        </is>
      </c>
      <c r="E691" s="297" t="inlineStr">
        <is>
          <t>Ingredients - Meat</t>
        </is>
      </c>
      <c r="F691" s="299" t="n">
        <v>439</v>
      </c>
      <c r="G691" s="300" t="inlineStr">
        <is>
          <t>Restaurant</t>
        </is>
      </c>
      <c r="H691" s="300" t="inlineStr">
        <is>
          <t>Cash</t>
        </is>
      </c>
      <c r="I691" s="301" t="inlineStr">
        <is>
          <t>✅ Paid</t>
        </is>
      </c>
      <c r="J691" s="423" t="inlineStr">
        <is>
          <t>No receipt; cash</t>
        </is>
      </c>
    </row>
    <row r="692">
      <c r="B692" s="429" t="n">
        <v>46261</v>
      </c>
      <c r="C692" s="297" t="inlineStr">
        <is>
          <t>Chedraui</t>
        </is>
      </c>
      <c r="D692" s="298" t="inlineStr">
        <is>
          <t>Chedraui</t>
        </is>
      </c>
      <c r="E692" s="297" t="inlineStr">
        <is>
          <t>Supermarket/General</t>
        </is>
      </c>
      <c r="F692" s="299" t="n">
        <v>126</v>
      </c>
      <c r="G692" s="300" t="inlineStr">
        <is>
          <t>Restaurant</t>
        </is>
      </c>
      <c r="H692" s="300" t="inlineStr">
        <is>
          <t>Cash</t>
        </is>
      </c>
      <c r="I692" s="301" t="inlineStr">
        <is>
          <t>✅ Paid</t>
        </is>
      </c>
      <c r="J692" s="423" t="inlineStr">
        <is>
          <t>No receipt; cash</t>
        </is>
      </c>
    </row>
    <row r="693">
      <c r="B693" s="429" t="n">
        <v>46262</v>
      </c>
      <c r="C693" s="297" t="inlineStr">
        <is>
          <t>Vegetables</t>
        </is>
      </c>
      <c r="D693" s="298" t="inlineStr">
        <is>
          <t>No bill</t>
        </is>
      </c>
      <c r="E693" s="297" t="inlineStr">
        <is>
          <t>Ingredients - Vegetables</t>
        </is>
      </c>
      <c r="F693" s="299" t="n">
        <v>93</v>
      </c>
      <c r="G693" s="300" t="inlineStr">
        <is>
          <t>Restaurant</t>
        </is>
      </c>
      <c r="H693" s="300" t="inlineStr">
        <is>
          <t>Cash</t>
        </is>
      </c>
      <c r="I693" s="301" t="inlineStr">
        <is>
          <t>✅ Paid</t>
        </is>
      </c>
      <c r="J693" s="423" t="inlineStr">
        <is>
          <t>No receipt; cash</t>
        </is>
      </c>
    </row>
    <row r="694">
      <c r="B694" s="429" t="n">
        <v>46262</v>
      </c>
      <c r="C694" s="297" t="inlineStr">
        <is>
          <t>Pan Molido</t>
        </is>
      </c>
      <c r="D694" s="298" t="inlineStr">
        <is>
          <t>No bill</t>
        </is>
      </c>
      <c r="E694" s="297" t="inlineStr">
        <is>
          <t>Ingredients - Bread</t>
        </is>
      </c>
      <c r="F694" s="299" t="n">
        <v>72</v>
      </c>
      <c r="G694" s="300" t="inlineStr">
        <is>
          <t>Restaurant</t>
        </is>
      </c>
      <c r="H694" s="300" t="inlineStr">
        <is>
          <t>Cash</t>
        </is>
      </c>
      <c r="I694" s="301" t="inlineStr">
        <is>
          <t>✅ Paid</t>
        </is>
      </c>
      <c r="J694" s="423" t="inlineStr">
        <is>
          <t>No receipt; cash</t>
        </is>
      </c>
    </row>
    <row r="695">
      <c r="B695" s="429" t="n">
        <v>46262</v>
      </c>
      <c r="C695" s="297" t="inlineStr">
        <is>
          <t>Oxxo Aceite</t>
        </is>
      </c>
      <c r="D695" s="298" t="inlineStr">
        <is>
          <t>OXXO</t>
        </is>
      </c>
      <c r="E695" s="297" t="inlineStr">
        <is>
          <t>Ingredients - Pantry</t>
        </is>
      </c>
      <c r="F695" s="299" t="n">
        <v>56</v>
      </c>
      <c r="G695" s="300" t="inlineStr">
        <is>
          <t>Restaurant</t>
        </is>
      </c>
      <c r="H695" s="300" t="inlineStr">
        <is>
          <t>Cash</t>
        </is>
      </c>
      <c r="I695" s="301" t="inlineStr">
        <is>
          <t>✅ Paid</t>
        </is>
      </c>
      <c r="J695" s="423" t="inlineStr">
        <is>
          <t>No receipt; cash</t>
        </is>
      </c>
    </row>
    <row r="696">
      <c r="B696" s="429" t="n">
        <v>46262</v>
      </c>
      <c r="C696" s="297" t="inlineStr">
        <is>
          <t>Armando - salary</t>
        </is>
      </c>
      <c r="D696" s="298" t="inlineStr">
        <is>
          <t>Payroll</t>
        </is>
      </c>
      <c r="E696" s="297" t="inlineStr">
        <is>
          <t>Staff - Salary</t>
        </is>
      </c>
      <c r="F696" s="299" t="n">
        <v>1850</v>
      </c>
      <c r="G696" s="300" t="inlineStr">
        <is>
          <t>Restaurant</t>
        </is>
      </c>
      <c r="H696" s="300" t="inlineStr">
        <is>
          <t>Cash</t>
        </is>
      </c>
      <c r="I696" s="301" t="inlineStr">
        <is>
          <t>✅ Paid</t>
        </is>
      </c>
      <c r="J696" s="423" t="inlineStr">
        <is>
          <t>Weekly salary</t>
        </is>
      </c>
    </row>
    <row r="697">
      <c r="B697" s="429" t="n">
        <v>46263</v>
      </c>
      <c r="C697" s="297" t="inlineStr">
        <is>
          <t>Vegetables</t>
        </is>
      </c>
      <c r="D697" s="298" t="inlineStr">
        <is>
          <t>No bill</t>
        </is>
      </c>
      <c r="E697" s="297" t="inlineStr">
        <is>
          <t>Ingredients - Vegetables</t>
        </is>
      </c>
      <c r="F697" s="299" t="n">
        <v>1210</v>
      </c>
      <c r="G697" s="300" t="inlineStr">
        <is>
          <t>Restaurant</t>
        </is>
      </c>
      <c r="H697" s="300" t="inlineStr">
        <is>
          <t>Cash</t>
        </is>
      </c>
      <c r="I697" s="301" t="inlineStr">
        <is>
          <t>✅ Paid</t>
        </is>
      </c>
      <c r="J697" s="423" t="inlineStr">
        <is>
          <t>No receipt; cash</t>
        </is>
      </c>
    </row>
    <row r="698">
      <c r="B698" s="429" t="n">
        <v>46263</v>
      </c>
      <c r="C698" s="297" t="inlineStr">
        <is>
          <t>Soft app license</t>
        </is>
      </c>
      <c r="D698" s="298" t="inlineStr">
        <is>
          <t>No bill</t>
        </is>
      </c>
      <c r="E698" s="297" t="inlineStr">
        <is>
          <t>Software/Subscription</t>
        </is>
      </c>
      <c r="F698" s="299" t="n">
        <v>810</v>
      </c>
      <c r="G698" s="300" t="inlineStr">
        <is>
          <t>Restaurant</t>
        </is>
      </c>
      <c r="H698" s="300" t="inlineStr">
        <is>
          <t>Cash</t>
        </is>
      </c>
      <c r="I698" s="301" t="inlineStr">
        <is>
          <t>✅ Paid</t>
        </is>
      </c>
      <c r="J698" s="423" t="inlineStr">
        <is>
          <t>No receipt; cash</t>
        </is>
      </c>
    </row>
    <row r="699">
      <c r="B699" s="429" t="n">
        <v>46263</v>
      </c>
      <c r="C699" s="297" t="inlineStr">
        <is>
          <t>Duvi - salary</t>
        </is>
      </c>
      <c r="D699" s="298" t="inlineStr">
        <is>
          <t>Payroll</t>
        </is>
      </c>
      <c r="E699" s="297" t="inlineStr">
        <is>
          <t>Staff - Salary</t>
        </is>
      </c>
      <c r="F699" s="299" t="n">
        <v>1200</v>
      </c>
      <c r="G699" s="300" t="inlineStr">
        <is>
          <t>Restaurant</t>
        </is>
      </c>
      <c r="H699" s="300" t="inlineStr">
        <is>
          <t>Cash</t>
        </is>
      </c>
      <c r="I699" s="301" t="inlineStr">
        <is>
          <t>✅ Paid</t>
        </is>
      </c>
      <c r="J699" s="423" t="inlineStr">
        <is>
          <t>Weekly salary</t>
        </is>
      </c>
    </row>
    <row r="700">
      <c r="B700" s="429" t="n">
        <v>46263</v>
      </c>
      <c r="C700" s="297" t="inlineStr">
        <is>
          <t>Jhon - salary</t>
        </is>
      </c>
      <c r="D700" s="298" t="inlineStr">
        <is>
          <t>Payroll</t>
        </is>
      </c>
      <c r="E700" s="297" t="inlineStr">
        <is>
          <t>Staff - Salary</t>
        </is>
      </c>
      <c r="F700" s="299" t="n">
        <v>3750</v>
      </c>
      <c r="G700" s="300" t="inlineStr">
        <is>
          <t>Restaurant</t>
        </is>
      </c>
      <c r="H700" s="300" t="inlineStr">
        <is>
          <t>Cash</t>
        </is>
      </c>
      <c r="I700" s="301" t="inlineStr">
        <is>
          <t>✅ Paid</t>
        </is>
      </c>
      <c r="J700" s="423" t="inlineStr">
        <is>
          <t>Weekly salary</t>
        </is>
      </c>
    </row>
    <row r="701">
      <c r="B701" s="429" t="n">
        <v>46265</v>
      </c>
      <c r="C701" s="297" t="inlineStr">
        <is>
          <t>Carne</t>
        </is>
      </c>
      <c r="D701" s="298" t="inlineStr">
        <is>
          <t>No bill</t>
        </is>
      </c>
      <c r="E701" s="297" t="inlineStr">
        <is>
          <t>Ingredients - Meat</t>
        </is>
      </c>
      <c r="F701" s="299" t="n">
        <v>276</v>
      </c>
      <c r="G701" s="300" t="inlineStr">
        <is>
          <t>Restaurant</t>
        </is>
      </c>
      <c r="H701" s="300" t="inlineStr">
        <is>
          <t>Cash</t>
        </is>
      </c>
      <c r="I701" s="301" t="inlineStr">
        <is>
          <t>✅ Paid</t>
        </is>
      </c>
      <c r="J701" s="423" t="inlineStr">
        <is>
          <t>No receipt; cash</t>
        </is>
      </c>
    </row>
    <row r="702">
      <c r="B702" s="429" t="n">
        <v>46265</v>
      </c>
      <c r="C702" s="297" t="inlineStr">
        <is>
          <t>Carne</t>
        </is>
      </c>
      <c r="D702" s="298" t="inlineStr">
        <is>
          <t>No bill</t>
        </is>
      </c>
      <c r="E702" s="297" t="inlineStr">
        <is>
          <t>Ingredients - Meat</t>
        </is>
      </c>
      <c r="F702" s="299" t="n">
        <v>293</v>
      </c>
      <c r="G702" s="300" t="inlineStr">
        <is>
          <t>Restaurant</t>
        </is>
      </c>
      <c r="H702" s="300" t="inlineStr">
        <is>
          <t>Cash</t>
        </is>
      </c>
      <c r="I702" s="301" t="inlineStr">
        <is>
          <t>✅ Paid</t>
        </is>
      </c>
      <c r="J702" s="423" t="inlineStr">
        <is>
          <t>No receipt; cash</t>
        </is>
      </c>
    </row>
    <row r="703">
      <c r="B703" s="429" t="n">
        <v>46265</v>
      </c>
      <c r="C703" s="297" t="inlineStr">
        <is>
          <t>Oxxo Aceite</t>
        </is>
      </c>
      <c r="D703" s="298" t="inlineStr">
        <is>
          <t>OXXO</t>
        </is>
      </c>
      <c r="E703" s="297" t="inlineStr">
        <is>
          <t>Ingredients - Pantry</t>
        </is>
      </c>
      <c r="F703" s="299" t="n">
        <v>112</v>
      </c>
      <c r="G703" s="300" t="inlineStr">
        <is>
          <t>Restaurant</t>
        </is>
      </c>
      <c r="H703" s="300" t="inlineStr">
        <is>
          <t>Cash</t>
        </is>
      </c>
      <c r="I703" s="301" t="inlineStr">
        <is>
          <t>✅ Paid</t>
        </is>
      </c>
      <c r="J703" s="423" t="inlineStr">
        <is>
          <t>No receipt; cash</t>
        </is>
      </c>
    </row>
    <row r="704">
      <c r="B704" s="429" t="n">
        <v>46265</v>
      </c>
      <c r="C704" s="297" t="inlineStr">
        <is>
          <t>Agua Natural</t>
        </is>
      </c>
      <c r="D704" s="298" t="inlineStr">
        <is>
          <t>No bill</t>
        </is>
      </c>
      <c r="E704" s="297" t="inlineStr">
        <is>
          <t>Ingredients - Beverages</t>
        </is>
      </c>
      <c r="F704" s="299" t="n">
        <v>75</v>
      </c>
      <c r="G704" s="300" t="inlineStr">
        <is>
          <t>Restaurant</t>
        </is>
      </c>
      <c r="H704" s="300" t="inlineStr">
        <is>
          <t>Cash</t>
        </is>
      </c>
      <c r="I704" s="301" t="inlineStr">
        <is>
          <t>✅ Paid</t>
        </is>
      </c>
      <c r="J704" s="423" t="inlineStr">
        <is>
          <t>No receipt; cash</t>
        </is>
      </c>
    </row>
    <row r="705">
      <c r="B705" s="429" t="n">
        <v>46265</v>
      </c>
      <c r="C705" s="297" t="inlineStr">
        <is>
          <t>Chedraui</t>
        </is>
      </c>
      <c r="D705" s="298" t="inlineStr">
        <is>
          <t>Chedraui</t>
        </is>
      </c>
      <c r="E705" s="297" t="inlineStr">
        <is>
          <t>Supermarket/General</t>
        </is>
      </c>
      <c r="F705" s="299" t="n">
        <v>92</v>
      </c>
      <c r="G705" s="300" t="inlineStr">
        <is>
          <t>Restaurant</t>
        </is>
      </c>
      <c r="H705" s="300" t="inlineStr">
        <is>
          <t>Cash</t>
        </is>
      </c>
      <c r="I705" s="301" t="inlineStr">
        <is>
          <t>✅ Paid</t>
        </is>
      </c>
      <c r="J705" s="423" t="inlineStr">
        <is>
          <t>No receipt; cash</t>
        </is>
      </c>
    </row>
    <row r="706">
      <c r="B706" s="429" t="n">
        <v>46265</v>
      </c>
      <c r="C706" s="297" t="inlineStr">
        <is>
          <t>Queso Panela</t>
        </is>
      </c>
      <c r="D706" s="298" t="inlineStr">
        <is>
          <t>No bill</t>
        </is>
      </c>
      <c r="E706" s="297" t="inlineStr">
        <is>
          <t>Ingredients - Dairy</t>
        </is>
      </c>
      <c r="F706" s="299" t="n">
        <v>590</v>
      </c>
      <c r="G706" s="300" t="inlineStr">
        <is>
          <t>Restaurant</t>
        </is>
      </c>
      <c r="H706" s="300" t="inlineStr">
        <is>
          <t>Cash</t>
        </is>
      </c>
      <c r="I706" s="301" t="inlineStr">
        <is>
          <t>✅ Paid</t>
        </is>
      </c>
      <c r="J706" s="423" t="inlineStr">
        <is>
          <t>No receipt; cash</t>
        </is>
      </c>
    </row>
    <row r="707">
      <c r="B707" s="429" t="n">
        <v>46266</v>
      </c>
      <c r="C707" s="297" t="inlineStr">
        <is>
          <t>3B Aceite</t>
        </is>
      </c>
      <c r="D707" s="298" t="inlineStr">
        <is>
          <t>Tres B</t>
        </is>
      </c>
      <c r="E707" s="297" t="inlineStr">
        <is>
          <t>Supermarket/General</t>
        </is>
      </c>
      <c r="F707" s="299" t="n">
        <v>628</v>
      </c>
      <c r="G707" s="300" t="inlineStr">
        <is>
          <t>Restaurant</t>
        </is>
      </c>
      <c r="H707" s="300" t="inlineStr">
        <is>
          <t>Cash</t>
        </is>
      </c>
      <c r="I707" s="301" t="inlineStr">
        <is>
          <t>✅ Paid</t>
        </is>
      </c>
      <c r="J707" s="423" t="inlineStr">
        <is>
          <t>No receipt; cash</t>
        </is>
      </c>
    </row>
    <row r="708">
      <c r="B708" s="429" t="n">
        <v>46266</v>
      </c>
      <c r="C708" s="297" t="inlineStr">
        <is>
          <t>Carne Hamburguesa</t>
        </is>
      </c>
      <c r="D708" s="298" t="inlineStr">
        <is>
          <t>No bill</t>
        </is>
      </c>
      <c r="E708" s="297" t="inlineStr">
        <is>
          <t>Ingredients - Meat</t>
        </is>
      </c>
      <c r="F708" s="299" t="n">
        <v>380</v>
      </c>
      <c r="G708" s="300" t="inlineStr">
        <is>
          <t>Restaurant</t>
        </is>
      </c>
      <c r="H708" s="300" t="inlineStr">
        <is>
          <t>Cash</t>
        </is>
      </c>
      <c r="I708" s="301" t="inlineStr">
        <is>
          <t>✅ Paid</t>
        </is>
      </c>
      <c r="J708" s="423" t="inlineStr">
        <is>
          <t>No receipt; cash</t>
        </is>
      </c>
    </row>
    <row r="709">
      <c r="B709" s="429" t="n">
        <v>46266</v>
      </c>
      <c r="C709" s="297" t="inlineStr">
        <is>
          <t>Mole</t>
        </is>
      </c>
      <c r="D709" s="298" t="inlineStr">
        <is>
          <t>No bill</t>
        </is>
      </c>
      <c r="E709" s="297" t="inlineStr">
        <is>
          <t>Ingredients - Pantry</t>
        </is>
      </c>
      <c r="F709" s="299" t="n">
        <v>890</v>
      </c>
      <c r="G709" s="300" t="inlineStr">
        <is>
          <t>Restaurant</t>
        </is>
      </c>
      <c r="H709" s="300" t="inlineStr">
        <is>
          <t>Cash</t>
        </is>
      </c>
      <c r="I709" s="301" t="inlineStr">
        <is>
          <t>✅ Paid</t>
        </is>
      </c>
      <c r="J709" s="423" t="inlineStr">
        <is>
          <t>No receipt; cash</t>
        </is>
      </c>
    </row>
    <row r="710">
      <c r="B710" s="429" t="n">
        <v>46266</v>
      </c>
      <c r="C710" s="297" t="inlineStr">
        <is>
          <t>Chile pasilla</t>
        </is>
      </c>
      <c r="D710" s="298" t="inlineStr">
        <is>
          <t>No bill</t>
        </is>
      </c>
      <c r="E710" s="297" t="inlineStr">
        <is>
          <t>Ingredients - Vegetables</t>
        </is>
      </c>
      <c r="F710" s="299" t="n">
        <v>115</v>
      </c>
      <c r="G710" s="300" t="inlineStr">
        <is>
          <t>Restaurant</t>
        </is>
      </c>
      <c r="H710" s="300" t="inlineStr">
        <is>
          <t>Cash</t>
        </is>
      </c>
      <c r="I710" s="301" t="inlineStr">
        <is>
          <t>✅ Paid</t>
        </is>
      </c>
      <c r="J710" s="423" t="inlineStr">
        <is>
          <t>No receipt; cash</t>
        </is>
      </c>
    </row>
    <row r="711">
      <c r="B711" s="429" t="n">
        <v>46266</v>
      </c>
      <c r="C711" s="297" t="inlineStr">
        <is>
          <t>Pan Reales</t>
        </is>
      </c>
      <c r="D711" s="298" t="inlineStr">
        <is>
          <t>Pan Reales</t>
        </is>
      </c>
      <c r="E711" s="297" t="inlineStr">
        <is>
          <t>Ingredients - Bread</t>
        </is>
      </c>
      <c r="F711" s="299" t="n">
        <v>416</v>
      </c>
      <c r="G711" s="300" t="inlineStr">
        <is>
          <t>Restaurant</t>
        </is>
      </c>
      <c r="H711" s="300" t="inlineStr">
        <is>
          <t>Cash</t>
        </is>
      </c>
      <c r="I711" s="301" t="inlineStr">
        <is>
          <t>✅ Paid</t>
        </is>
      </c>
      <c r="J711" s="423" t="inlineStr">
        <is>
          <t>No receipt; cash</t>
        </is>
      </c>
    </row>
    <row r="712">
      <c r="B712" s="429" t="n">
        <v>46266</v>
      </c>
      <c r="C712" s="297" t="inlineStr">
        <is>
          <t>Pollo</t>
        </is>
      </c>
      <c r="D712" s="298" t="inlineStr">
        <is>
          <t>No bill</t>
        </is>
      </c>
      <c r="E712" s="297" t="inlineStr">
        <is>
          <t>Ingredients - Meat</t>
        </is>
      </c>
      <c r="F712" s="299" t="n">
        <v>1032</v>
      </c>
      <c r="G712" s="300" t="inlineStr">
        <is>
          <t>Restaurant</t>
        </is>
      </c>
      <c r="H712" s="300" t="inlineStr">
        <is>
          <t>Cash</t>
        </is>
      </c>
      <c r="I712" s="301" t="inlineStr">
        <is>
          <t>✅ Paid</t>
        </is>
      </c>
      <c r="J712" s="423" t="inlineStr">
        <is>
          <t>No receipt; cash</t>
        </is>
      </c>
    </row>
    <row r="713">
      <c r="B713" s="429" t="n">
        <v>46266</v>
      </c>
      <c r="C713" s="297" t="inlineStr">
        <is>
          <t>Gas</t>
        </is>
      </c>
      <c r="D713" s="298" t="inlineStr">
        <is>
          <t>No bill</t>
        </is>
      </c>
      <c r="E713" s="297" t="inlineStr">
        <is>
          <t>Utilities/Gas</t>
        </is>
      </c>
      <c r="F713" s="299" t="n">
        <v>1500</v>
      </c>
      <c r="G713" s="300" t="inlineStr">
        <is>
          <t>Restaurant</t>
        </is>
      </c>
      <c r="H713" s="300" t="inlineStr">
        <is>
          <t>Cash</t>
        </is>
      </c>
      <c r="I713" s="301" t="inlineStr">
        <is>
          <t>✅ Paid</t>
        </is>
      </c>
      <c r="J713" s="423" t="inlineStr">
        <is>
          <t>No receipt; cash</t>
        </is>
      </c>
    </row>
    <row r="714">
      <c r="B714" s="429" t="n">
        <v>46266</v>
      </c>
      <c r="C714" s="297" t="inlineStr">
        <is>
          <t>Sams Club</t>
        </is>
      </c>
      <c r="D714" s="298" t="inlineStr">
        <is>
          <t>Sam's Club</t>
        </is>
      </c>
      <c r="E714" s="297" t="inlineStr">
        <is>
          <t>Supermarket/General</t>
        </is>
      </c>
      <c r="F714" s="299" t="n">
        <v>2816</v>
      </c>
      <c r="G714" s="300" t="inlineStr">
        <is>
          <t>Restaurant</t>
        </is>
      </c>
      <c r="H714" s="300" t="inlineStr">
        <is>
          <t>Cash</t>
        </is>
      </c>
      <c r="I714" s="301" t="inlineStr">
        <is>
          <t>✅ Paid</t>
        </is>
      </c>
      <c r="J714" s="423" t="inlineStr">
        <is>
          <t>No receipt; cash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1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 (INACTIVE)</t>
        </is>
      </c>
      <c r="B13" s="98" t="inlineStr">
        <is>
          <t>Ayudante / Support — left Aug 2026 · final week paid 14 Aug ($1,200)</t>
        </is>
      </c>
      <c r="C13" s="99" t="n">
        <v>0</v>
      </c>
      <c r="D13" s="100" t="inlineStr">
        <is>
          <t>—</t>
        </is>
      </c>
      <c r="E13" s="100" t="inlineStr">
        <is>
          <t>—</t>
        </is>
      </c>
      <c r="F13" s="100" t="inlineStr">
        <is>
          <t>—</t>
        </is>
      </c>
      <c r="G13" s="100" t="inlineStr">
        <is>
          <t>—</t>
        </is>
      </c>
      <c r="H13" s="100" t="inlineStr">
        <is>
          <t>—</t>
        </is>
      </c>
      <c r="I13" s="100" t="inlineStr">
        <is>
          <t>—</t>
        </is>
      </c>
      <c r="J13" s="100" t="inlineStr">
        <is>
          <t>—</t>
        </is>
      </c>
      <c r="K13" s="101" t="n">
        <v>0</v>
      </c>
      <c r="L13" s="102" t="n">
        <v>0</v>
      </c>
    </row>
    <row r="14" ht="19.5" customHeight="1" s="331" thickBot="1">
      <c r="A14" s="97" t="inlineStr">
        <is>
          <t>Armando</t>
        </is>
      </c>
      <c r="B14" s="445" t="inlineStr">
        <is>
          <t>Ayudante / Support</t>
        </is>
      </c>
      <c r="C14" s="446" t="n">
        <v>370</v>
      </c>
      <c r="D14" s="447" t="inlineStr">
        <is>
          <t>Full Day</t>
        </is>
      </c>
      <c r="E14" s="447" t="inlineStr">
        <is>
          <t>Full Day</t>
        </is>
      </c>
      <c r="F14" s="447" t="inlineStr">
        <is>
          <t>Full Day</t>
        </is>
      </c>
      <c r="G14" s="447" t="inlineStr">
        <is>
          <t>Full Day</t>
        </is>
      </c>
      <c r="H14" s="447" t="inlineStr">
        <is>
          <t>Full Day</t>
        </is>
      </c>
      <c r="I14" s="447" t="inlineStr">
        <is>
          <t>Day Off</t>
        </is>
      </c>
      <c r="J14" s="447" t="inlineStr">
        <is>
          <t>Day Off</t>
        </is>
      </c>
      <c r="K14" s="448">
        <f>COUNTIF(D14:J14,"Full Day")</f>
        <v/>
      </c>
      <c r="L14" s="449">
        <f>K14*C14</f>
        <v/>
      </c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Armando — Ayudante Salary</t>
        </is>
      </c>
      <c r="B37" s="199" t="n">
        <v>1850</v>
      </c>
      <c r="C37" s="220" t="n">
        <v>7400</v>
      </c>
      <c r="D37" s="221" t="inlineStr">
        <is>
          <t>$370/day · 5 days Mon–Fri · Sat not available · started 13 Aug 2026 (first payment $740 = 2 days on 14 Aug). Replaces Samu.</t>
        </is>
      </c>
      <c r="E37" s="222" t="n"/>
    </row>
    <row r="38">
      <c r="A38" t="inlineStr">
        <is>
          <t>Samu — Ayudante Salary (INACTIVE)</t>
        </is>
      </c>
      <c r="B38" s="193" t="n">
        <v>0</v>
      </c>
      <c r="C38" s="223" t="n">
        <v>0</v>
      </c>
      <c r="D38" s="224" t="inlineStr">
        <is>
          <t>Left Aug 2026 — final week paid 14 Aug · removed from forward fixed costs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STAFF STATUS — ✅ JOHN + DEBI + ARMANDO ACTIVE (Samu left Aug 2026)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Debi + Armando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Samu left Aug 2026 — replaced by Armando ($1,850/wk vs $1,200/wk)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15" customWidth="1" style="331" min="6" max="14"/>
    <col width="9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31" t="inlineStr">
        <is>
          <t>LOKA — MONTHLY P&amp;L   (live formulas — auto-updates from Daily Log &amp; Expenses)</t>
        </is>
      </c>
      <c r="B1" s="432" t="n"/>
      <c r="C1" s="432" t="n"/>
      <c r="D1" s="432" t="n"/>
      <c r="E1" s="432" t="n"/>
      <c r="F1" s="432" t="n"/>
      <c r="G1" s="43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5" t="inlineStr">
        <is>
          <t>Sep 2026</t>
        </is>
      </c>
      <c r="G3" s="433" t="n"/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7">
        <f>SUMIFS('📅 Daily Log'!$F$8:$F$5000,'📅 Daily Log'!$B$8:$B$5000,"&gt;="&amp;DATE(2026,9,1),'📅 Daily Log'!$B$8:$B$5000,"&lt;"&amp;DATE(2026,10,1))</f>
        <v/>
      </c>
      <c r="G4" s="433" t="n"/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7">
        <f>SUMIFS('💸 Expenses'!$F$8:$F$5000,'💸 Expenses'!$B$8:$B$5000,"&gt;="&amp;DATE(2026,9,1),'💸 Expenses'!$B$8:$B$5000,"&lt;"&amp;DATE(2026,10,1))</f>
        <v/>
      </c>
      <c r="G5" s="433" t="n"/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8">
        <f>F4-F5</f>
        <v/>
      </c>
      <c r="G6" s="433" t="n"/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40">
        <f>COUNTIFS('📅 Daily Log'!$F$8:$F$5000,"&gt;0",'📅 Daily Log'!$B$8:$B$5000,"&gt;="&amp;DATE(2026,9,1),'📅 Daily Log'!$B$8:$B$5000,"&lt;"&amp;DATE(2026,10,1))</f>
        <v/>
      </c>
      <c r="G7" s="433" t="n"/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7">
        <f>IFERROR(F4/F7,0)</f>
        <v/>
      </c>
      <c r="G8" s="433" t="n"/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5" t="inlineStr">
        <is>
          <t>Sep 2026</t>
        </is>
      </c>
      <c r="G10" s="433" t="n"/>
      <c r="H10" s="433" t="n"/>
      <c r="I10" s="433" t="n"/>
      <c r="J10" s="433" t="n"/>
      <c r="K10" s="433" t="n"/>
      <c r="L10" s="433" t="n"/>
    </row>
    <row r="11">
      <c r="A11" s="439" t="inlineStr">
        <is>
          <t>Card</t>
        </is>
      </c>
      <c r="B11" s="437">
        <f>SUMIFS('📅 Daily Log'!$D$8:$D$5000,'📅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</f>
        <v/>
      </c>
      <c r="F11" s="437">
        <f>SUMIFS('📅 Daily Log'!$D$8:$D$5000,'📅 Daily Log'!$B$8:$B$5000,"&gt;="&amp;DATE(2026,9,1),'📅 Daily Log'!$B$8:$B$5000,"&lt;"&amp;DATE(2026,10,1))</f>
        <v/>
      </c>
      <c r="G11" s="433" t="n"/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7">
        <f>SUMIFS('📅 Daily Log'!$E$8:$E$5000,'📅 Daily Log'!$B$8:$B$5000,"&gt;="&amp;DATE(2026,9,1),'📅 Daily Log'!$B$8:$B$5000,"&lt;"&amp;DATE(2026,10,1))</f>
        <v/>
      </c>
      <c r="G12" s="433" t="n"/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7">
        <f>SUMIFS('📅 Daily Log'!$G$8:$G$5000,'📅 Daily Log'!$B$8:$B$5000,"&gt;="&amp;DATE(2026,9,1),'📅 Daily Log'!$B$8:$B$5000,"&lt;"&amp;DATE(2026,10,1))</f>
        <v/>
      </c>
      <c r="G13" s="433" t="n"/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8">
        <f>F11+F12+F13</f>
        <v/>
      </c>
      <c r="G14" s="433" t="n"/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5" t="inlineStr">
        <is>
          <t>Sep 2026</t>
        </is>
      </c>
      <c r="G16" s="433" t="n"/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7">
        <f>SUMIFS('💸 Expenses'!$F$8:$F$5000,'💸 Expenses'!$E$8:$E$5000,$A17,'💸 Expenses'!$B$8:$B$5000,"&gt;="&amp;DATE(2026,9,1),'💸 Expenses'!$B$8:$B$5000,"&lt;"&amp;DATE(2026,10,1))</f>
        <v/>
      </c>
      <c r="G17" s="433" t="n"/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7">
        <f>SUMIFS('💸 Expenses'!$F$8:$F$5000,'💸 Expenses'!$E$8:$E$5000,$A18,'💸 Expenses'!$B$8:$B$5000,"&gt;="&amp;DATE(2026,9,1),'💸 Expenses'!$B$8:$B$5000,"&lt;"&amp;DATE(2026,10,1))</f>
        <v/>
      </c>
      <c r="G18" s="433" t="n"/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7">
        <f>SUMIFS('💸 Expenses'!$F$8:$F$5000,'💸 Expenses'!$E$8:$E$5000,$A19,'💸 Expenses'!$B$8:$B$5000,"&gt;="&amp;DATE(2026,9,1),'💸 Expenses'!$B$8:$B$5000,"&lt;"&amp;DATE(2026,10,1))</f>
        <v/>
      </c>
      <c r="G19" s="433" t="n"/>
      <c r="H19" s="433" t="n"/>
      <c r="I19" s="433" t="n"/>
      <c r="J19" s="433" t="n"/>
      <c r="K19" s="433" t="n"/>
      <c r="L19" s="433" t="n"/>
    </row>
    <row r="20">
      <c r="A20" s="439" t="inlineStr">
        <is>
          <t>Supermarket/General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7">
        <f>SUMIFS('💸 Expenses'!$F$8:$F$5000,'💸 Expenses'!$E$8:$E$5000,$A20,'💸 Expenses'!$B$8:$B$5000,"&gt;="&amp;DATE(2026,9,1),'💸 Expenses'!$B$8:$B$5000,"&lt;"&amp;DATE(2026,10,1))</f>
        <v/>
      </c>
      <c r="G20" s="433" t="n"/>
      <c r="H20" s="433" t="n"/>
      <c r="I20" s="433" t="n"/>
      <c r="J20" s="433" t="n"/>
      <c r="K20" s="433" t="n"/>
      <c r="L20" s="433" t="n"/>
    </row>
    <row r="21">
      <c r="A21" s="439" t="inlineStr">
        <is>
          <t>Ingredients - Vegetables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7">
        <f>SUMIFS('💸 Expenses'!$F$8:$F$5000,'💸 Expenses'!$E$8:$E$5000,$A21,'💸 Expenses'!$B$8:$B$5000,"&gt;="&amp;DATE(2026,9,1),'💸 Expenses'!$B$8:$B$5000,"&lt;"&amp;DATE(2026,10,1))</f>
        <v/>
      </c>
      <c r="G21" s="433" t="n"/>
      <c r="H21" s="433" t="n"/>
      <c r="I21" s="433" t="n"/>
      <c r="J21" s="433" t="n"/>
      <c r="K21" s="433" t="n"/>
      <c r="L21" s="433" t="n"/>
    </row>
    <row r="22">
      <c r="A22" s="439" t="inlineStr">
        <is>
          <t>Ingredients - Pantry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7">
        <f>SUMIFS('💸 Expenses'!$F$8:$F$5000,'💸 Expenses'!$E$8:$E$5000,$A22,'💸 Expenses'!$B$8:$B$5000,"&gt;="&amp;DATE(2026,9,1),'💸 Expenses'!$B$8:$B$5000,"&lt;"&amp;DATE(2026,10,1))</f>
        <v/>
      </c>
      <c r="G22" s="433" t="n"/>
      <c r="H22" s="433" t="n"/>
      <c r="I22" s="433" t="n"/>
      <c r="J22" s="433" t="n"/>
      <c r="K22" s="433" t="n"/>
      <c r="L22" s="433" t="n"/>
    </row>
    <row r="23">
      <c r="A23" s="439" t="inlineStr">
        <is>
          <t>Ingredients - Dairy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7">
        <f>SUMIFS('💸 Expenses'!$F$8:$F$5000,'💸 Expenses'!$E$8:$E$5000,$A23,'💸 Expenses'!$B$8:$B$5000,"&gt;="&amp;DATE(2026,9,1),'💸 Expenses'!$B$8:$B$5000,"&lt;"&amp;DATE(2026,10,1))</f>
        <v/>
      </c>
      <c r="G23" s="433" t="n"/>
      <c r="H23" s="433" t="n"/>
      <c r="I23" s="433" t="n"/>
      <c r="J23" s="433" t="n"/>
      <c r="K23" s="433" t="n"/>
      <c r="L23" s="433" t="n"/>
    </row>
    <row r="24">
      <c r="A24" s="439" t="inlineStr">
        <is>
          <t>Ingredients - Beverages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7">
        <f>SUMIFS('💸 Expenses'!$F$8:$F$5000,'💸 Expenses'!$E$8:$E$5000,$A24,'💸 Expenses'!$B$8:$B$5000,"&gt;="&amp;DATE(2026,9,1),'💸 Expenses'!$B$8:$B$5000,"&lt;"&amp;DATE(2026,10,1))</f>
        <v/>
      </c>
      <c r="G24" s="433" t="n"/>
      <c r="H24" s="433" t="n"/>
      <c r="I24" s="433" t="n"/>
      <c r="J24" s="433" t="n"/>
      <c r="K24" s="433" t="n"/>
      <c r="L24" s="433" t="n"/>
    </row>
    <row r="25">
      <c r="A25" s="439" t="inlineStr">
        <is>
          <t>Ingredients - Bread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7">
        <f>SUMIFS('💸 Expenses'!$F$8:$F$5000,'💸 Expenses'!$E$8:$E$5000,$A25,'💸 Expenses'!$B$8:$B$5000,"&gt;="&amp;DATE(2026,9,1),'💸 Expenses'!$B$8:$B$5000,"&lt;"&amp;DATE(2026,10,1))</f>
        <v/>
      </c>
      <c r="G25" s="433" t="n"/>
      <c r="H25" s="433" t="n"/>
      <c r="I25" s="433" t="n"/>
      <c r="J25" s="433" t="n"/>
      <c r="K25" s="433" t="n"/>
      <c r="L25" s="433" t="n"/>
    </row>
    <row r="26">
      <c r="A26" s="439" t="inlineStr">
        <is>
          <t>Utilities/Electricity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7">
        <f>SUMIFS('💸 Expenses'!$F$8:$F$5000,'💸 Expenses'!$E$8:$E$5000,$A26,'💸 Expenses'!$B$8:$B$5000,"&gt;="&amp;DATE(2026,9,1),'💸 Expenses'!$B$8:$B$5000,"&lt;"&amp;DATE(2026,10,1))</f>
        <v/>
      </c>
      <c r="G26" s="433" t="n"/>
      <c r="H26" s="433" t="n"/>
      <c r="I26" s="433" t="n"/>
      <c r="J26" s="433" t="n"/>
      <c r="K26" s="433" t="n"/>
      <c r="L26" s="433" t="n"/>
    </row>
    <row r="27">
      <c r="A27" s="439" t="inlineStr">
        <is>
          <t>Supplies/Other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7">
        <f>SUMIFS('💸 Expenses'!$F$8:$F$5000,'💸 Expenses'!$E$8:$E$5000,$A27,'💸 Expenses'!$B$8:$B$5000,"&gt;="&amp;DATE(2026,9,1),'💸 Expenses'!$B$8:$B$5000,"&lt;"&amp;DATE(2026,10,1))</f>
        <v/>
      </c>
      <c r="G27" s="433" t="n"/>
      <c r="H27" s="433" t="n"/>
      <c r="I27" s="433" t="n"/>
      <c r="J27" s="433" t="n"/>
      <c r="K27" s="433" t="n"/>
      <c r="L27" s="433" t="n"/>
    </row>
    <row r="28">
      <c r="A28" s="439" t="inlineStr">
        <is>
          <t>Ingredients - Meat &amp; Fish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7">
        <f>SUMIFS('💸 Expenses'!$F$8:$F$5000,'💸 Expenses'!$E$8:$E$5000,$A28,'💸 Expenses'!$B$8:$B$5000,"&gt;="&amp;DATE(2026,9,1),'💸 Expenses'!$B$8:$B$5000,"&lt;"&amp;DATE(2026,10,1))</f>
        <v/>
      </c>
      <c r="G28" s="433" t="n"/>
      <c r="H28" s="433" t="n"/>
      <c r="I28" s="433" t="n"/>
      <c r="J28" s="433" t="n"/>
      <c r="K28" s="433" t="n"/>
      <c r="L28" s="433" t="n"/>
    </row>
    <row r="29">
      <c r="A29" s="439" t="inlineStr">
        <is>
          <t>Maintenance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7">
        <f>SUMIFS('💸 Expenses'!$F$8:$F$5000,'💸 Expenses'!$E$8:$E$5000,$A29,'💸 Expenses'!$B$8:$B$5000,"&gt;="&amp;DATE(2026,9,1),'💸 Expenses'!$B$8:$B$5000,"&lt;"&amp;DATE(2026,10,1))</f>
        <v/>
      </c>
      <c r="G29" s="433" t="n"/>
      <c r="H29" s="433" t="n"/>
      <c r="I29" s="433" t="n"/>
      <c r="J29" s="433" t="n"/>
      <c r="K29" s="433" t="n"/>
      <c r="L29" s="433" t="n"/>
    </row>
    <row r="30">
      <c r="A30" s="439" t="inlineStr">
        <is>
          <t>Utilities/Gas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7">
        <f>SUMIFS('💸 Expenses'!$F$8:$F$5000,'💸 Expenses'!$E$8:$E$5000,$A30,'💸 Expenses'!$B$8:$B$5000,"&gt;="&amp;DATE(2026,9,1),'💸 Expenses'!$B$8:$B$5000,"&lt;"&amp;DATE(2026,10,1))</f>
        <v/>
      </c>
      <c r="G30" s="433" t="n"/>
      <c r="H30" s="433" t="n"/>
      <c r="I30" s="433" t="n"/>
      <c r="J30" s="433" t="n"/>
      <c r="K30" s="433" t="n"/>
      <c r="L30" s="433" t="n"/>
    </row>
    <row r="31">
      <c r="A31" s="439" t="inlineStr">
        <is>
          <t>Packaging/Disposables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7">
        <f>SUMIFS('💸 Expenses'!$F$8:$F$5000,'💸 Expenses'!$E$8:$E$5000,$A31,'💸 Expenses'!$B$8:$B$5000,"&gt;="&amp;DATE(2026,9,1),'💸 Expenses'!$B$8:$B$5000,"&lt;"&amp;DATE(2026,10,1))</f>
        <v/>
      </c>
      <c r="G31" s="433" t="n"/>
      <c r="H31" s="433" t="n"/>
      <c r="I31" s="433" t="n"/>
      <c r="J31" s="433" t="n"/>
      <c r="K31" s="433" t="n"/>
      <c r="L31" s="433" t="n"/>
    </row>
    <row r="32">
      <c r="A32" s="439" t="inlineStr">
        <is>
          <t>Ingredients - Fruit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7">
        <f>SUMIFS('💸 Expenses'!$F$8:$F$5000,'💸 Expenses'!$E$8:$E$5000,$A32,'💸 Expenses'!$B$8:$B$5000,"&gt;="&amp;DATE(2026,9,1),'💸 Expenses'!$B$8:$B$5000,"&lt;"&amp;DATE(2026,10,1))</f>
        <v/>
      </c>
      <c r="G32" s="433" t="n"/>
      <c r="H32" s="433" t="n"/>
      <c r="I32" s="433" t="n"/>
      <c r="J32" s="433" t="n"/>
      <c r="K32" s="433" t="n"/>
      <c r="L32" s="433" t="n"/>
    </row>
    <row r="33">
      <c r="A33" s="439" t="inlineStr">
        <is>
          <t>Kitchen Supplies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7">
        <f>SUMIFS('💸 Expenses'!$F$8:$F$5000,'💸 Expenses'!$E$8:$E$5000,$A33,'💸 Expenses'!$B$8:$B$5000,"&gt;="&amp;DATE(2026,9,1),'💸 Expenses'!$B$8:$B$5000,"&lt;"&amp;DATE(2026,10,1))</f>
        <v/>
      </c>
      <c r="G33" s="433" t="n"/>
      <c r="H33" s="433" t="n"/>
      <c r="I33" s="433" t="n"/>
      <c r="J33" s="433" t="n"/>
      <c r="K33" s="433" t="n"/>
      <c r="L33" s="433" t="n"/>
    </row>
    <row r="34">
      <c r="A34" s="439" t="inlineStr">
        <is>
          <t>Utilities/Internet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7">
        <f>SUMIFS('💸 Expenses'!$F$8:$F$5000,'💸 Expenses'!$E$8:$E$5000,$A34,'💸 Expenses'!$B$8:$B$5000,"&gt;="&amp;DATE(2026,9,1),'💸 Expenses'!$B$8:$B$5000,"&lt;"&amp;DATE(2026,10,1))</f>
        <v/>
      </c>
      <c r="G34" s="433" t="n"/>
      <c r="H34" s="433" t="n"/>
      <c r="I34" s="433" t="n"/>
      <c r="J34" s="433" t="n"/>
      <c r="K34" s="433" t="n"/>
      <c r="L34" s="433" t="n"/>
    </row>
    <row r="35">
      <c r="A35" s="439" t="inlineStr">
        <is>
          <t>Software/Subscription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7">
        <f>SUMIFS('💸 Expenses'!$F$8:$F$5000,'💸 Expenses'!$E$8:$E$5000,$A35,'💸 Expenses'!$B$8:$B$5000,"&gt;="&amp;DATE(2026,9,1),'💸 Expenses'!$B$8:$B$5000,"&lt;"&amp;DATE(2026,10,1))</f>
        <v/>
      </c>
      <c r="G35" s="433" t="n"/>
      <c r="H35" s="433" t="n"/>
      <c r="I35" s="433" t="n"/>
      <c r="J35" s="433" t="n"/>
      <c r="K35" s="433" t="n"/>
      <c r="L35" s="433" t="n"/>
    </row>
    <row r="36">
      <c r="A36" s="439" t="inlineStr">
        <is>
          <t>Office Supplies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7">
        <f>SUMIFS('💸 Expenses'!$F$8:$F$5000,'💸 Expenses'!$E$8:$E$5000,$A36,'💸 Expenses'!$B$8:$B$5000,"&gt;="&amp;DATE(2026,9,1),'💸 Expenses'!$B$8:$B$5000,"&lt;"&amp;DATE(2026,10,1))</f>
        <v/>
      </c>
      <c r="G36" s="433" t="n"/>
      <c r="H36" s="433" t="n"/>
      <c r="I36" s="433" t="n"/>
      <c r="J36" s="433" t="n"/>
      <c r="K36" s="433" t="n"/>
      <c r="L36" s="433" t="n"/>
    </row>
    <row r="37">
      <c r="A37" s="439" t="inlineStr">
        <is>
          <t>Ingredients - Other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7">
        <f>SUMIFS('💸 Expenses'!$F$8:$F$5000,'💸 Expenses'!$E$8:$E$5000,$A37,'💸 Expenses'!$B$8:$B$5000,"&gt;="&amp;DATE(2026,9,1),'💸 Expenses'!$B$8:$B$5000,"&lt;"&amp;DATE(2026,10,1))</f>
        <v/>
      </c>
      <c r="G37" s="433" t="n"/>
      <c r="H37" s="433" t="n"/>
      <c r="I37" s="433" t="n"/>
      <c r="J37" s="433" t="n"/>
      <c r="K37" s="433" t="n"/>
      <c r="L37" s="433" t="n"/>
    </row>
    <row r="38">
      <c r="A38" s="439" t="inlineStr">
        <is>
          <t>Staff - Advance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7">
        <f>SUMIFS('💸 Expenses'!$F$8:$F$5000,'💸 Expenses'!$E$8:$E$5000,$A38,'💸 Expenses'!$B$8:$B$5000,"&gt;="&amp;DATE(2026,9,1),'💸 Expenses'!$B$8:$B$5000,"&lt;"&amp;DATE(2026,10,1))</f>
        <v/>
      </c>
      <c r="G38" s="433" t="n"/>
      <c r="H38" s="433" t="n"/>
      <c r="I38" s="433" t="n"/>
      <c r="J38" s="433" t="n"/>
      <c r="K38" s="433" t="n"/>
      <c r="L38" s="433" t="n"/>
    </row>
    <row r="39">
      <c r="A39" s="439" t="inlineStr">
        <is>
          <t>Ingredients - Eggs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7">
        <f>SUMIFS('💸 Expenses'!$F$8:$F$5000,'💸 Expenses'!$E$8:$E$5000,$A39,'💸 Expenses'!$B$8:$B$5000,"&gt;="&amp;DATE(2026,9,1),'💸 Expenses'!$B$8:$B$5000,"&lt;"&amp;DATE(2026,10,1))</f>
        <v/>
      </c>
      <c r="G39" s="433" t="n"/>
      <c r="H39" s="433" t="n"/>
      <c r="I39" s="433" t="n"/>
      <c r="J39" s="433" t="n"/>
      <c r="K39" s="433" t="n"/>
      <c r="L39" s="433" t="n"/>
    </row>
    <row r="40">
      <c r="A40" s="439" t="inlineStr">
        <is>
          <t>Ingredients - Desserts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7">
        <f>SUMIFS('💸 Expenses'!$F$8:$F$5000,'💸 Expenses'!$E$8:$E$5000,$A40,'💸 Expenses'!$B$8:$B$5000,"&gt;="&amp;DATE(2026,9,1),'💸 Expenses'!$B$8:$B$5000,"&lt;"&amp;DATE(2026,10,1))</f>
        <v/>
      </c>
      <c r="G40" s="433" t="n"/>
      <c r="H40" s="433" t="n"/>
      <c r="I40" s="433" t="n"/>
      <c r="J40" s="433" t="n"/>
      <c r="K40" s="433" t="n"/>
      <c r="L40" s="433" t="n"/>
    </row>
    <row r="41">
      <c r="A41" s="439" t="inlineStr">
        <is>
          <t>Staff - Propinas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7">
        <f>SUMIFS('💸 Expenses'!$F$8:$F$5000,'💸 Expenses'!$E$8:$E$5000,$A41,'💸 Expenses'!$B$8:$B$5000,"&gt;="&amp;DATE(2026,9,1),'💸 Expenses'!$B$8:$B$5000,"&lt;"&amp;DATE(2026,10,1))</f>
        <v/>
      </c>
      <c r="G41" s="433" t="n"/>
      <c r="H41" s="433" t="n"/>
      <c r="I41" s="433" t="n"/>
      <c r="J41" s="433" t="n"/>
      <c r="K41" s="433" t="n"/>
      <c r="L41" s="433" t="n"/>
    </row>
    <row r="42">
      <c r="A42" s="436" t="inlineStr">
        <is>
          <t>TOTAL EXPENSES</t>
        </is>
      </c>
      <c r="B42" s="438">
        <f>SUMIFS('💸 Expenses'!$F$8:$F$5000,'💸 Expenses'!$B$8:$B$5000,"&gt;="&amp;DATE(2026,5,1),'💸 Expenses'!$B$8:$B$5000,"&lt;"&amp;DATE(2026,6,1))</f>
        <v/>
      </c>
      <c r="C42" s="438">
        <f>SUMIFS('💸 Expenses'!$F$8:$F$5000,'💸 Expenses'!$B$8:$B$5000,"&gt;="&amp;DATE(2026,6,1),'💸 Expenses'!$B$8:$B$5000,"&lt;"&amp;DATE(2026,7,1))</f>
        <v/>
      </c>
      <c r="D42" s="438">
        <f>SUMIFS('💸 Expenses'!$F$8:$F$5000,'💸 Expenses'!$B$8:$B$5000,"&gt;="&amp;DATE(2026,7,1),'💸 Expenses'!$B$8:$B$5000,"&lt;"&amp;DATE(2026,8,1))</f>
        <v/>
      </c>
      <c r="E42" s="438">
        <f>SUMIFS('💸 Expenses'!$F$8:$F$5000,'💸 Expenses'!$B$8:$B$5000,"&gt;="&amp;DATE(2026,8,1),'💸 Expenses'!$B$8:$B$5000,"&lt;"&amp;DATE(2026,9,1))</f>
        <v/>
      </c>
      <c r="F42" s="438">
        <f>SUMIFS('💸 Expenses'!$F$8:$F$5000,'💸 Expenses'!$B$8:$B$5000,"&gt;="&amp;DATE(2026,9,1),'💸 Expenses'!$B$8:$B$5000,"&lt;"&amp;DATE(2026,10,1))</f>
        <v/>
      </c>
      <c r="G42" s="433" t="n"/>
      <c r="H42" s="433" t="n"/>
      <c r="I42" s="433" t="n"/>
      <c r="J42" s="433" t="n"/>
      <c r="K42" s="433" t="n"/>
      <c r="L42" s="433" t="n"/>
    </row>
    <row r="43">
      <c r="A43" s="436" t="inlineStr">
        <is>
          <t>NET PROFIT / LOSS</t>
        </is>
      </c>
      <c r="B43" s="438">
        <f>B4-B42</f>
        <v/>
      </c>
      <c r="C43" s="438">
        <f>C4-C42</f>
        <v/>
      </c>
      <c r="D43" s="438">
        <f>D4-D42</f>
        <v/>
      </c>
      <c r="E43" s="438">
        <f>E4-E42</f>
        <v/>
      </c>
      <c r="F43" s="438">
        <f>F4-F42</f>
        <v/>
      </c>
      <c r="G43" s="433" t="n"/>
      <c r="H43" s="433" t="n"/>
      <c r="I43" s="433" t="n"/>
      <c r="J43" s="433" t="n"/>
      <c r="K43" s="433" t="n"/>
      <c r="L43" s="433" t="n"/>
    </row>
    <row r="44">
      <c r="A44" s="433" t="n"/>
      <c r="B44" s="433" t="n"/>
      <c r="C44" s="433" t="n"/>
      <c r="D44" s="433" t="n"/>
      <c r="E44" s="433" t="n"/>
      <c r="F44" s="433" t="n"/>
      <c r="G44" s="433" t="n"/>
      <c r="H44" s="433" t="n"/>
      <c r="I44" s="433" t="n"/>
      <c r="J44" s="433" t="n"/>
      <c r="K44" s="433" t="n"/>
      <c r="L44" s="433" t="n"/>
    </row>
    <row r="45">
      <c r="A45" s="433" t="n"/>
      <c r="B45" s="433" t="n"/>
      <c r="C45" s="433" t="n"/>
      <c r="D45" s="433" t="n"/>
      <c r="E45" s="433" t="n"/>
      <c r="F45" s="433" t="n"/>
      <c r="G45" s="433" t="n"/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F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n">
        <v>46246</v>
      </c>
      <c r="B66" s="232" t="inlineStr">
        <is>
          <t>Transfer-to-me (customer payment 12-Aug)</t>
        </is>
      </c>
      <c r="C66" s="232" t="inlineStr">
        <is>
          <t>Transfer Received</t>
        </is>
      </c>
      <c r="D66" s="232" t="n"/>
      <c r="E66" s="233" t="n">
        <v>130</v>
      </c>
      <c r="F66" s="233">
        <f>IFERROR(F65+D66-E66,0)</f>
        <v/>
      </c>
      <c r="G66" s="232" t="inlineStr">
        <is>
          <t>✅ Received</t>
        </is>
      </c>
      <c r="H66" s="232" t="inlineStr">
        <is>
          <t>Customer paid Lohith personal acct</t>
        </is>
      </c>
    </row>
    <row r="67">
      <c r="A67" s="430" t="n">
        <v>46246</v>
      </c>
      <c r="B67" s="232" t="inlineStr">
        <is>
          <t>Pollo $639 (paid by Lohith)</t>
        </is>
      </c>
      <c r="C67" s="232" t="inlineStr">
        <is>
          <t>Expense - Personal</t>
        </is>
      </c>
      <c r="D67" s="232" t="n">
        <v>639</v>
      </c>
      <c r="E67" s="233" t="n"/>
      <c r="F67" s="233">
        <f>IFERROR(F66+D67-E67,0)</f>
        <v/>
      </c>
      <c r="G67" s="232" t="inlineStr">
        <is>
          <t>⏳ Reimburse</t>
        </is>
      </c>
      <c r="H67" s="232" t="inlineStr">
        <is>
          <t>Fronted from own pocket; excluded from till via cash_adjust</t>
        </is>
      </c>
    </row>
    <row r="68">
      <c r="A68" s="430" t="n">
        <v>46247</v>
      </c>
      <c r="B68" s="232" t="inlineStr">
        <is>
          <t>Transfer-to-me (customer payment 13-Aug)</t>
        </is>
      </c>
      <c r="C68" s="232" t="inlineStr">
        <is>
          <t>Transfer Received</t>
        </is>
      </c>
      <c r="D68" s="232" t="n"/>
      <c r="E68" s="233" t="n">
        <v>135</v>
      </c>
      <c r="F68" s="233">
        <f>IFERROR(F67+D68-E68,0)</f>
        <v/>
      </c>
      <c r="G68" s="232" t="inlineStr">
        <is>
          <t>✅ Received</t>
        </is>
      </c>
      <c r="H68" s="232" t="inlineStr">
        <is>
          <t>Customer paid Lohith personal acct</t>
        </is>
      </c>
    </row>
    <row r="69">
      <c r="A69" s="430" t="n">
        <v>46249</v>
      </c>
      <c r="B69" s="232" t="inlineStr">
        <is>
          <t>Pollo $368 + Pollo $995 (paid by Lohith)</t>
        </is>
      </c>
      <c r="C69" s="232" t="inlineStr">
        <is>
          <t>Expense - Personal</t>
        </is>
      </c>
      <c r="D69" s="232" t="n">
        <v>1363</v>
      </c>
      <c r="E69" s="233" t="n"/>
      <c r="F69" s="233">
        <f>IFERROR(F68+D69-E69,0)</f>
        <v/>
      </c>
      <c r="G69" s="232" t="inlineStr">
        <is>
          <t>⏳ Reimburse</t>
        </is>
      </c>
      <c r="H69" s="232" t="inlineStr">
        <is>
          <t>Fronted from own pocket; excluded from till via cash_adjust</t>
        </is>
      </c>
    </row>
    <row r="70">
      <c r="A70" s="430" t="n">
        <v>46251</v>
      </c>
      <c r="B70" s="232" t="inlineStr">
        <is>
          <t>Transfer-to-me (customer payment 17-Aug)</t>
        </is>
      </c>
      <c r="C70" s="232" t="inlineStr">
        <is>
          <t>Transfer Received</t>
        </is>
      </c>
      <c r="D70" s="232" t="n"/>
      <c r="E70" s="233" t="n">
        <v>130</v>
      </c>
      <c r="F70" s="233">
        <f>IFERROR(F69+D70-E70,0)</f>
        <v/>
      </c>
      <c r="G70" s="232" t="inlineStr">
        <is>
          <t>✅ Received</t>
        </is>
      </c>
      <c r="H70" s="232" t="inlineStr">
        <is>
          <t>Customer paid Lohith personal acct</t>
        </is>
      </c>
    </row>
    <row r="71">
      <c r="A71" s="430" t="n">
        <v>46251</v>
      </c>
      <c r="B71" s="232" t="inlineStr">
        <is>
          <t>Telmex $349 (paid by Lohith)</t>
        </is>
      </c>
      <c r="C71" s="232" t="inlineStr">
        <is>
          <t>Expense - Personal</t>
        </is>
      </c>
      <c r="D71" s="232" t="n">
        <v>349</v>
      </c>
      <c r="E71" s="233" t="n"/>
      <c r="F71" s="233">
        <f>IFERROR(F70+D71-E71,0)</f>
        <v/>
      </c>
      <c r="G71" s="232" t="inlineStr">
        <is>
          <t>⏳ Reimburse</t>
        </is>
      </c>
      <c r="H71" s="232" t="inlineStr">
        <is>
          <t>Fronted from own pocket; excluded from till via cash_adjust</t>
        </is>
      </c>
    </row>
    <row r="72">
      <c r="A72" s="430" t="n">
        <v>46251</v>
      </c>
      <c r="B72" s="232" t="inlineStr">
        <is>
          <t>Settlement - restaurant paid Lohith</t>
        </is>
      </c>
      <c r="C72" s="232" t="inlineStr">
        <is>
          <t>Transfer Received</t>
        </is>
      </c>
      <c r="D72" s="232" t="n"/>
      <c r="E72" s="233" t="n">
        <v>2820</v>
      </c>
      <c r="F72" s="233">
        <f>IFERROR(F71+D72-E72,0)</f>
        <v/>
      </c>
      <c r="G72" s="232" t="inlineStr">
        <is>
          <t>✅ Received</t>
        </is>
      </c>
      <c r="H72" s="232" t="inlineStr">
        <is>
          <t>Ledger settled from operating cash</t>
        </is>
      </c>
    </row>
    <row r="73">
      <c r="A73" s="430" t="n">
        <v>46252</v>
      </c>
      <c r="B73" s="232" t="inlineStr">
        <is>
          <t>Transfer-to-me (customer payment 18-Aug)</t>
        </is>
      </c>
      <c r="C73" s="232" t="inlineStr">
        <is>
          <t>Transfer Received</t>
        </is>
      </c>
      <c r="D73" s="232" t="n"/>
      <c r="E73" s="233" t="n">
        <v>210</v>
      </c>
      <c r="F73" s="233">
        <f>IFERROR(F72+D73-E73,0)</f>
        <v/>
      </c>
      <c r="G73" s="232" t="inlineStr">
        <is>
          <t>✅ Received</t>
        </is>
      </c>
      <c r="H73" s="232" t="inlineStr">
        <is>
          <t>Customer paid Lohith personal acct</t>
        </is>
      </c>
    </row>
    <row r="74">
      <c r="A74" s="430" t="n">
        <v>46253</v>
      </c>
      <c r="B74" s="232" t="inlineStr">
        <is>
          <t>Transfer-to-me (customer payment 19-Aug)</t>
        </is>
      </c>
      <c r="C74" s="232" t="inlineStr">
        <is>
          <t>Transfer Received</t>
        </is>
      </c>
      <c r="D74" s="232" t="n"/>
      <c r="E74" s="233" t="n">
        <v>120</v>
      </c>
      <c r="F74" s="233">
        <f>IFERROR(F73+D74-E74,0)</f>
        <v/>
      </c>
      <c r="G74" s="232" t="inlineStr">
        <is>
          <t>✅ Received</t>
        </is>
      </c>
      <c r="H74" s="232" t="inlineStr">
        <is>
          <t>Customer paid Lohith personal acct</t>
        </is>
      </c>
    </row>
    <row r="75">
      <c r="A75" s="430" t="n">
        <v>46253</v>
      </c>
      <c r="B75" s="232" t="inlineStr">
        <is>
          <t>Pollo $418 (paid by Lohith)</t>
        </is>
      </c>
      <c r="C75" s="232" t="inlineStr">
        <is>
          <t>Expense - Personal</t>
        </is>
      </c>
      <c r="D75" s="232" t="n">
        <v>418</v>
      </c>
      <c r="E75" s="233" t="n"/>
      <c r="F75" s="233">
        <f>IFERROR(F74+D75-E75,0)</f>
        <v/>
      </c>
      <c r="G75" s="232" t="inlineStr">
        <is>
          <t>⏳ Reimburse</t>
        </is>
      </c>
      <c r="H75" s="232" t="inlineStr">
        <is>
          <t>Fronted from own pocket; excluded from till via cash_adjust</t>
        </is>
      </c>
    </row>
    <row r="76">
      <c r="A76" s="430" t="n">
        <v>46258</v>
      </c>
      <c r="B76" s="232" t="inlineStr">
        <is>
          <t>Pollo $1,429 (paid by Lohith)</t>
        </is>
      </c>
      <c r="C76" s="232" t="inlineStr">
        <is>
          <t>Expense - Personal</t>
        </is>
      </c>
      <c r="D76" s="232" t="n">
        <v>1429</v>
      </c>
      <c r="E76" s="233" t="n"/>
      <c r="F76" s="233">
        <f>IFERROR(F75+D76-E76,0)</f>
        <v/>
      </c>
      <c r="G76" s="232" t="inlineStr">
        <is>
          <t>⏳ Reimburse</t>
        </is>
      </c>
      <c r="H76" s="232" t="inlineStr">
        <is>
          <t>Fronted from own pocket; excluded from till via cash_adjust</t>
        </is>
      </c>
    </row>
    <row r="77">
      <c r="A77" s="430" t="n">
        <v>46259</v>
      </c>
      <c r="B77" s="232" t="inlineStr">
        <is>
          <t>Transfer-to-me (customer payment 25-Aug)</t>
        </is>
      </c>
      <c r="C77" s="232" t="inlineStr">
        <is>
          <t>Transfer Received</t>
        </is>
      </c>
      <c r="D77" s="232" t="n"/>
      <c r="E77" s="233" t="n">
        <v>250</v>
      </c>
      <c r="F77" s="233">
        <f>IFERROR(F76+D77-E77,0)</f>
        <v/>
      </c>
      <c r="G77" s="232" t="inlineStr">
        <is>
          <t>✅ Received</t>
        </is>
      </c>
      <c r="H77" s="232" t="inlineStr">
        <is>
          <t>Customer paid Lohith personal acct</t>
        </is>
      </c>
    </row>
    <row r="78">
      <c r="A78" s="430" t="n">
        <v>46261</v>
      </c>
      <c r="B78" s="232" t="inlineStr">
        <is>
          <t>Transfer-to-me (customer payment 27-Aug)</t>
        </is>
      </c>
      <c r="C78" s="232" t="inlineStr">
        <is>
          <t>Transfer Received</t>
        </is>
      </c>
      <c r="D78" s="232" t="n"/>
      <c r="E78" s="233" t="n">
        <v>260</v>
      </c>
      <c r="F78" s="233">
        <f>IFERROR(F77+D78-E78,0)</f>
        <v/>
      </c>
      <c r="G78" s="232" t="inlineStr">
        <is>
          <t>✅ Received</t>
        </is>
      </c>
      <c r="H78" s="232" t="inlineStr">
        <is>
          <t>Customer paid Lohith personal acct</t>
        </is>
      </c>
    </row>
    <row r="79">
      <c r="A79" s="430" t="n">
        <v>46262</v>
      </c>
      <c r="B79" s="232" t="inlineStr">
        <is>
          <t>Transfer-to-me (customer payment 28-Aug)</t>
        </is>
      </c>
      <c r="C79" s="232" t="inlineStr">
        <is>
          <t>Transfer Received</t>
        </is>
      </c>
      <c r="D79" s="232" t="n"/>
      <c r="E79" s="233" t="n">
        <v>235</v>
      </c>
      <c r="F79" s="233">
        <f>IFERROR(F78+D79-E79,0)</f>
        <v/>
      </c>
      <c r="G79" s="232" t="inlineStr">
        <is>
          <t>✅ Received</t>
        </is>
      </c>
      <c r="H79" s="232" t="inlineStr">
        <is>
          <t>Customer paid Lohith personal acct</t>
        </is>
      </c>
    </row>
    <row r="80">
      <c r="A80" s="430" t="n">
        <v>46265</v>
      </c>
      <c r="B80" s="232" t="inlineStr">
        <is>
          <t>Transfer-to-me (customer payment 31-Aug)</t>
        </is>
      </c>
      <c r="C80" s="232" t="inlineStr">
        <is>
          <t>Transfer Received</t>
        </is>
      </c>
      <c r="D80" s="232" t="n"/>
      <c r="E80" s="233" t="n">
        <v>130</v>
      </c>
      <c r="F80" s="233">
        <f>IFERROR(F79+D80-E80,0)</f>
        <v/>
      </c>
      <c r="G80" s="232" t="inlineStr">
        <is>
          <t>✅ Received</t>
        </is>
      </c>
      <c r="H80" s="232" t="inlineStr">
        <is>
          <t>Customer paid Lohith personal acct</t>
        </is>
      </c>
    </row>
    <row r="81">
      <c r="A81" s="430" t="inlineStr">
        <is>
          <t>TOTALS &amp; CURRENT BALANCE</t>
        </is>
      </c>
      <c r="B81" s="232" t="n"/>
      <c r="C81" s="232" t="n"/>
      <c r="D81" s="232">
        <f>SUM(D4:D80)</f>
        <v/>
      </c>
      <c r="E81" s="233">
        <f>SUM(E4:E80)</f>
        <v/>
      </c>
      <c r="F81" s="233">
        <f>F80</f>
        <v/>
      </c>
      <c r="G81" s="232">
        <f>IF(F80&gt;0,"Restaurant owes Lohith $"&amp;TEXT(F80,"#,##0"),IF(F80&lt;0,"Lohith holds $"&amp;TEXT(ABS(F80),"#,##0"),"Zero balance"))</f>
        <v/>
      </c>
      <c r="H81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2026-09-02T05:00:49Z</dcterms:modified>
  <cp:lastModifiedBy>LOHITH REDDY</cp:lastModifiedBy>
</cp:coreProperties>
</file>