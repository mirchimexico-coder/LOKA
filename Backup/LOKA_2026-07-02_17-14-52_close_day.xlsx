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  <font>
      <b val="1"/>
      <color rgb="00FFFFFF"/>
      <sz val="12"/>
    </font>
    <font>
      <i val="1"/>
      <color rgb="00808080"/>
      <sz val="9"/>
    </font>
    <font>
      <b val="1"/>
      <sz val="9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411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  <xf numFmtId="0" fontId="98" fillId="57" borderId="19" applyAlignment="1" pivotButton="0" quotePrefix="0" xfId="0">
      <alignment horizontal="left"/>
    </xf>
    <xf numFmtId="0" fontId="0" fillId="57" borderId="0" pivotButton="0" quotePrefix="0" xfId="0"/>
    <xf numFmtId="0" fontId="94" fillId="0" borderId="26" pivotButton="0" quotePrefix="0" xfId="0"/>
    <xf numFmtId="175" fontId="72" fillId="0" borderId="26" applyAlignment="1" pivotButton="0" quotePrefix="0" xfId="0">
      <alignment horizontal="right"/>
    </xf>
    <xf numFmtId="0" fontId="97" fillId="0" borderId="26" pivotButton="0" quotePrefix="0" xfId="0"/>
    <xf numFmtId="0" fontId="99" fillId="0" borderId="0" applyAlignment="1" pivotButton="0" quotePrefix="0" xfId="0">
      <alignment horizontal="left"/>
    </xf>
    <xf numFmtId="0" fontId="99" fillId="0" borderId="19" applyAlignment="1" pivotButton="0" quotePrefix="0" xfId="0">
      <alignment horizontal="left"/>
    </xf>
    <xf numFmtId="0" fontId="99" fillId="0" borderId="0" pivotButton="0" quotePrefix="0" xfId="0"/>
    <xf numFmtId="0" fontId="99" fillId="0" borderId="19" pivotButton="0" quotePrefix="0" xfId="0"/>
    <xf numFmtId="0" fontId="97" fillId="0" borderId="0" pivotButton="0" quotePrefix="0" xfId="0"/>
    <xf numFmtId="0" fontId="100" fillId="0" borderId="0" pivotButton="0" quotePrefix="0" xfId="0"/>
    <xf numFmtId="10" fontId="97" fillId="0" borderId="0" pivotButton="0" quotePrefix="0" xfId="0"/>
    <xf numFmtId="175" fontId="0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 Jul 2026  |  Capital, Acquisition, Pre-Opening, Renovation CapEx &amp; Operations↔Capital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Owner ledger balance settled from budget (rent + fronted items)</t>
        </is>
      </c>
      <c r="D139" s="242" t="n">
        <v>19314.81</v>
      </c>
    </row>
    <row r="140">
      <c r="B140">
        <f>REMAINING WITH ME (budget left with Lohith)</f>
        <v/>
      </c>
      <c r="D140">
        <f>D136-D137-D138-D139</f>
        <v/>
      </c>
    </row>
    <row r="142" ht="22" customHeight="1" s="278">
      <c r="B142" s="398" t="inlineStr">
        <is>
          <t xml:space="preserve">  K.  OPERATIONS ↔ CAPITAL  —  RUNNING POSITION</t>
        </is>
      </c>
    </row>
    <row r="143">
      <c r="B143" s="400" t="inlineStr">
        <is>
          <t>Operating Income (all-time, from Daily Log)</t>
        </is>
      </c>
      <c r="C143" s="401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400" t="inlineStr">
        <is>
          <t>Operating Expenses (all-time, from Expenses)</t>
        </is>
      </c>
      <c r="C144" s="401">
        <f>SUM('💸 Expenses'!F8:F500)</f>
        <v/>
      </c>
      <c r="D144" s="191" t="n"/>
      <c r="E144" s="190" t="n"/>
      <c r="F144" s="190" t="n"/>
      <c r="G144" s="189" t="n"/>
    </row>
    <row r="145">
      <c r="B145" s="400" t="inlineStr">
        <is>
          <t>MP Commission (auto: card × 4.06%)</t>
        </is>
      </c>
      <c r="C145" s="379">
        <f>SUM('📅 Daily Log'!R8:R500)</f>
        <v/>
      </c>
    </row>
    <row r="146">
      <c r="B146" s="402" t="inlineStr">
        <is>
          <t>OPERATING RESULT  (income − expenses − commission)</t>
        </is>
      </c>
      <c r="C146" s="379">
        <f>C143-C144-C145</f>
        <v/>
      </c>
      <c r="E146" s="403" t="n"/>
    </row>
    <row r="147">
      <c r="B147" s="377" t="inlineStr">
        <is>
          <t>ADVANCE OWED by Operations to Capital</t>
        </is>
      </c>
      <c r="C147" s="379" t="n">
        <v>19314.81</v>
      </c>
      <c r="E147" s="405" t="inlineStr">
        <is>
          <t>Rent + fronted operating items funded from capital budget (settled 30 Jun). Add future capital-funded operating costs here.</t>
        </is>
      </c>
    </row>
    <row r="148">
      <c r="B148" s="406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T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407" t="inlineStr">
        <is>
          <t>MP Comm $</t>
        </is>
      </c>
      <c r="S7" s="408" t="inlineStr">
        <is>
          <t>MP Rate</t>
        </is>
      </c>
      <c r="T7" s="409" t="n">
        <v>0.0406</v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10">
        <f>IFERROR(D8*$T$7,0)</f>
        <v/>
      </c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410">
        <f>IFERROR(D9*$T$7,0)</f>
        <v/>
      </c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10">
        <f>IFERROR(D10*$T$7,0)</f>
        <v/>
      </c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410">
        <f>IFERROR(D11*$T$7,0)</f>
        <v/>
      </c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10">
        <f>IFERROR(D12*$T$7,0)</f>
        <v/>
      </c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410">
        <f>IFERROR(D13*$T$7,0)</f>
        <v/>
      </c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10">
        <f>IFERROR(D14*$T$7,0)</f>
        <v/>
      </c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410">
        <f>IFERROR(D15*$T$7,0)</f>
        <v/>
      </c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10">
        <f>IFERROR(D16*$T$7,0)</f>
        <v/>
      </c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410">
        <f>IFERROR(D17*$T$7,0)</f>
        <v/>
      </c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10">
        <f>IFERROR(D18*$T$7,0)</f>
        <v/>
      </c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410">
        <f>IFERROR(D19*$T$7,0)</f>
        <v/>
      </c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10">
        <f>IFERROR(D20*$T$7,0)</f>
        <v/>
      </c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410">
        <f>IFERROR(D21*$T$7,0)</f>
        <v/>
      </c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10">
        <f>IFERROR(D22*$T$7,0)</f>
        <v/>
      </c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410">
        <f>IFERROR(D23*$T$7,0)</f>
        <v/>
      </c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10">
        <f>IFERROR(D24*$T$7,0)</f>
        <v/>
      </c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410">
        <f>IFERROR(D25*$T$7,0)</f>
        <v/>
      </c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10">
        <f>IFERROR(D26*$T$7,0)</f>
        <v/>
      </c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410">
        <f>IFERROR(D27*$T$7,0)</f>
        <v/>
      </c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10">
        <f>IFERROR(D28*$T$7,0)</f>
        <v/>
      </c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410">
        <f>IFERROR(D29*$T$7,0)</f>
        <v/>
      </c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10">
        <f>IFERROR(D30*$T$7,0)</f>
        <v/>
      </c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410">
        <f>IFERROR(D31*$T$7,0)</f>
        <v/>
      </c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10">
        <f>IFERROR(D32*$T$7,0)</f>
        <v/>
      </c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410">
        <f>IFERROR(D33*$T$7,0)</f>
        <v/>
      </c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10">
        <f>IFERROR(D34*$T$7,0)</f>
        <v/>
      </c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410">
        <f>IFERROR(D35*$T$7,0)</f>
        <v/>
      </c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10">
        <f>IFERROR(D36*$T$7,0)</f>
        <v/>
      </c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410">
        <f>IFERROR(D37*$T$7,0)</f>
        <v/>
      </c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10">
        <f>IFERROR(D38*$T$7,0)</f>
        <v/>
      </c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410">
        <f>IFERROR(D39*$T$7,0)</f>
        <v/>
      </c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10">
        <f>IFERROR(D40*$T$7,0)</f>
        <v/>
      </c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  <c r="R41" s="410">
        <f>IFERROR(D41*$T$7,0)</f>
        <v/>
      </c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  <c r="R42" s="410">
        <f>IFERROR(D42*$T$7,0)</f>
        <v/>
      </c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  <c r="R43" s="410">
        <f>IFERROR(D43*$T$7,0)</f>
        <v/>
      </c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  <c r="R44" s="410">
        <f>IFERROR(D44*$T$7,0)</f>
        <v/>
      </c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  <c r="R45" s="410">
        <f>IFERROR(D45*$T$7,0)</f>
        <v/>
      </c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  <c r="R46" s="410">
        <f>IFERROR(D46*$T$7,0)</f>
        <v/>
      </c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  <c r="R47" s="410">
        <f>IFERROR(D47*$T$7,0)</f>
        <v/>
      </c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  <c r="R48" s="410">
        <f>IFERROR(D48*$T$7,0)</f>
        <v/>
      </c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  <c r="R49" s="410">
        <f>IFERROR(D49*$T$7,0)</f>
        <v/>
      </c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  <c r="R50" s="410">
        <f>IFERROR(D50*$T$7,0)</f>
        <v/>
      </c>
    </row>
    <row r="51" ht="16.5" customHeight="1" s="278">
      <c r="B51" s="385" t="n">
        <v>46203</v>
      </c>
      <c r="C51" s="256" t="inlineStr">
        <is>
          <t>Tue</t>
        </is>
      </c>
      <c r="D51" s="257" t="n">
        <v>2408</v>
      </c>
      <c r="E51" s="49" t="n">
        <v>1670</v>
      </c>
      <c r="F51" s="50">
        <f>IFERROR(D51+E51+G51,0)</f>
        <v/>
      </c>
      <c r="G51" s="258" t="n">
        <v>55</v>
      </c>
      <c r="H51" s="259">
        <f>SUMIFS('💸 Expenses'!$F$8:$F$500,'💸 Expenses'!$B$8:$B$500,"&gt;="&amp;B51,'💸 Expenses'!$B$8:$B$500,"&lt;"&amp;(B51+1))</f>
        <v/>
      </c>
      <c r="I51" s="260">
        <f>IFERROR(F51-H51,0)</f>
        <v/>
      </c>
      <c r="J51" s="261">
        <f>IFERROR(I51/F51,0)</f>
        <v/>
      </c>
      <c r="K51" s="255" t="n"/>
      <c r="L51" s="262" t="inlineStr">
        <is>
          <t>Cierre via loka.py</t>
        </is>
      </c>
      <c r="M51" s="21" t="n"/>
      <c r="N51" s="56" t="n"/>
      <c r="O51" s="57" t="n"/>
      <c r="P51" s="58" t="n"/>
      <c r="Q51" s="56" t="n"/>
      <c r="R51" s="410">
        <f>IFERROR(D51*$T$7,0)</f>
        <v/>
      </c>
    </row>
    <row r="52" ht="16.5" customHeight="1" s="278">
      <c r="B52" s="385" t="n">
        <v>46204</v>
      </c>
      <c r="C52" s="386" t="inlineStr">
        <is>
          <t>Wed</t>
        </is>
      </c>
      <c r="D52" s="387" t="n">
        <v>2498</v>
      </c>
      <c r="E52" s="37" t="n">
        <v>2024</v>
      </c>
      <c r="F52" s="38">
        <f>IFERROR(D52+E52+G52,0)</f>
        <v/>
      </c>
      <c r="G52" s="388" t="n">
        <v>0</v>
      </c>
      <c r="H52" s="389">
        <f>SUMIFS('💸 Expenses'!$F$8:$F$500,'💸 Expenses'!$B$8:$B$500,"&gt;="&amp;B52,'💸 Expenses'!$B$8:$B$500,"&lt;"&amp;(B52+1))</f>
        <v/>
      </c>
      <c r="I52" s="390">
        <f>IFERROR(F52-H52,0)</f>
        <v/>
      </c>
      <c r="J52" s="391">
        <f>IFERROR(I52/F52,0)</f>
        <v/>
      </c>
      <c r="K52" s="251" t="n"/>
      <c r="L52" s="392" t="inlineStr">
        <is>
          <t>Cierre via loka.py</t>
        </is>
      </c>
      <c r="M52" s="12" t="n"/>
      <c r="N52" s="44" t="n"/>
      <c r="O52" s="45" t="n"/>
      <c r="P52" s="46" t="n"/>
      <c r="Q52" s="44" t="n"/>
      <c r="R52" s="410">
        <f>IFERROR(D52*$T$7,0)</f>
        <v/>
      </c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382" t="n">
        <v>46203</v>
      </c>
      <c r="C393" s="248" t="inlineStr">
        <is>
          <t>Tortillas blancas 2.055kg + Bolillo x6</t>
        </is>
      </c>
      <c r="D393" s="249" t="inlineStr">
        <is>
          <t>Chedraui Paseo</t>
        </is>
      </c>
      <c r="E393" s="248" t="inlineStr">
        <is>
          <t>Ingredients - Bread</t>
        </is>
      </c>
      <c r="F393" s="67" t="n">
        <v>43.17</v>
      </c>
      <c r="G393" s="250" t="inlineStr">
        <is>
          <t>Restaurant</t>
        </is>
      </c>
      <c r="H393" s="250" t="inlineStr">
        <is>
          <t>Card</t>
        </is>
      </c>
      <c r="I393" s="251" t="inlineStr">
        <is>
          <t>✅ Paid</t>
        </is>
      </c>
      <c r="J393" s="383" t="inlineStr">
        <is>
          <t>Debito BBVA; ticket 30-Jun 08:38</t>
        </is>
      </c>
    </row>
    <row r="394">
      <c r="B394" s="382" t="n">
        <v>46203</v>
      </c>
      <c r="C394" s="252" t="inlineStr">
        <is>
          <t>Pan hamburguesa ajonjoli x24, pan caja arandano 900g x4, chapata x24</t>
        </is>
      </c>
      <c r="D394" s="253" t="inlineStr">
        <is>
          <t>Productos Real La Cruz</t>
        </is>
      </c>
      <c r="E394" s="252" t="inlineStr">
        <is>
          <t>Ingredients - Bread</t>
        </is>
      </c>
      <c r="F394" s="70" t="n">
        <v>728</v>
      </c>
      <c r="G394" s="254" t="inlineStr">
        <is>
          <t>Restaurant</t>
        </is>
      </c>
      <c r="H394" s="254" t="inlineStr">
        <is>
          <t>Card</t>
        </is>
      </c>
      <c r="I394" s="255" t="inlineStr">
        <is>
          <t>✅ Paid</t>
        </is>
      </c>
      <c r="J394" s="383" t="inlineStr">
        <is>
          <t>Tarjeta debito; base $740 - $12 desc = $728; folio 4423</t>
        </is>
      </c>
    </row>
    <row r="395">
      <c r="B395" s="382" t="n">
        <v>46203</v>
      </c>
      <c r="C395" s="248" t="inlineStr">
        <is>
          <t>Queso Gouda Menona 2.06kg @ $135/kg</t>
        </is>
      </c>
      <c r="D395" s="249" t="inlineStr">
        <is>
          <t>La Bodega del Buen Queso</t>
        </is>
      </c>
      <c r="E395" s="248" t="inlineStr">
        <is>
          <t>Ingredients - Dairy</t>
        </is>
      </c>
      <c r="F395" s="67" t="n">
        <v>278.1</v>
      </c>
      <c r="G395" s="250" t="inlineStr">
        <is>
          <t>Restaurant</t>
        </is>
      </c>
      <c r="H395" s="250" t="inlineStr">
        <is>
          <t>Cash</t>
        </is>
      </c>
      <c r="I395" s="251" t="inlineStr">
        <is>
          <t>✅ Paid</t>
        </is>
      </c>
      <c r="J395" s="383" t="inlineStr">
        <is>
          <t>Efectivo; nota 0032709</t>
        </is>
      </c>
    </row>
    <row r="396">
      <c r="B396" s="382" t="n">
        <v>46203</v>
      </c>
      <c r="C396" s="252" t="inlineStr">
        <is>
          <t>Miscelanea LC remision (2 lineas manuscritas ilegibles)</t>
        </is>
      </c>
      <c r="D396" s="253" t="inlineStr">
        <is>
          <t>Miscelanea LC La Cruz</t>
        </is>
      </c>
      <c r="E396" s="252" t="inlineStr">
        <is>
          <t>Ingredients - Other</t>
        </is>
      </c>
      <c r="F396" s="70" t="n">
        <v>436</v>
      </c>
      <c r="G396" s="254" t="inlineStr">
        <is>
          <t>Restaurant</t>
        </is>
      </c>
      <c r="H396" s="254" t="inlineStr">
        <is>
          <t>Card</t>
        </is>
      </c>
      <c r="I396" s="255" t="inlineStr">
        <is>
          <t>✅ Paid</t>
        </is>
      </c>
      <c r="J396" s="383" t="inlineStr">
        <is>
          <t>Getnet $436 autoritativo (Aut 785588, 11:38); lineas ~$197 + 'CH Alto' ~$239 ilegibles - confirmar articulos</t>
        </is>
      </c>
    </row>
    <row r="397">
      <c r="B397" s="382" t="n">
        <v>46204</v>
      </c>
      <c r="C397" s="248" t="inlineStr">
        <is>
          <t>Aceite La Posada 800 x2</t>
        </is>
      </c>
      <c r="D397" s="249" t="inlineStr">
        <is>
          <t>OXXO</t>
        </is>
      </c>
      <c r="E397" s="248" t="inlineStr">
        <is>
          <t>Ingredients - Pantry</t>
        </is>
      </c>
      <c r="F397" s="67" t="n">
        <v>56</v>
      </c>
      <c r="G397" s="250" t="inlineStr">
        <is>
          <t>Restaurant</t>
        </is>
      </c>
      <c r="H397" s="250" t="inlineStr">
        <is>
          <t>Cash</t>
        </is>
      </c>
      <c r="I397" s="251" t="inlineStr">
        <is>
          <t>✅ Paid</t>
        </is>
      </c>
      <c r="J397" s="383" t="inlineStr">
        <is>
          <t>OXXO 09:14; cooking oil</t>
        </is>
      </c>
    </row>
    <row r="398">
      <c r="B398" s="382" t="n">
        <v>46204</v>
      </c>
      <c r="C398" s="252" t="inlineStr">
        <is>
          <t>Horchata/Jamaica/Limonada 1L x6 c/u (18 pzas)</t>
        </is>
      </c>
      <c r="D398" s="253" t="inlineStr">
        <is>
          <t>Casa Reca</t>
        </is>
      </c>
      <c r="E398" s="252" t="inlineStr">
        <is>
          <t>Ingredients - Beverages</t>
        </is>
      </c>
      <c r="F398" s="70" t="n">
        <v>450</v>
      </c>
      <c r="G398" s="254" t="inlineStr">
        <is>
          <t>Restaurant</t>
        </is>
      </c>
      <c r="H398" s="254" t="inlineStr">
        <is>
          <t>Cash</t>
        </is>
      </c>
      <c r="I398" s="255" t="inlineStr">
        <is>
          <t>✅ Paid</t>
        </is>
      </c>
      <c r="J398" s="383" t="inlineStr">
        <is>
          <t>Nota venta ruta preventa Casa Reca; facturado a 'CAFE OH LELE' = nombre anterior de LOKA (OK); efectivo confirmado</t>
        </is>
      </c>
    </row>
    <row r="399">
      <c r="B399" s="382" t="n">
        <v>46204</v>
      </c>
      <c r="C399" s="248" t="inlineStr">
        <is>
          <t>Salchicha nortena p/asar 1kg</t>
        </is>
      </c>
      <c r="D399" s="249" t="inlineStr">
        <is>
          <t>San Juan Salchichonerias</t>
        </is>
      </c>
      <c r="E399" s="248" t="inlineStr">
        <is>
          <t>Ingredients - Meat</t>
        </is>
      </c>
      <c r="F399" s="67" t="n">
        <v>73</v>
      </c>
      <c r="G399" s="250" t="inlineStr">
        <is>
          <t>Restaurant</t>
        </is>
      </c>
      <c r="H399" s="250" t="inlineStr">
        <is>
          <t>Card</t>
        </is>
      </c>
      <c r="I399" s="251" t="inlineStr">
        <is>
          <t>✅ Paid</t>
        </is>
      </c>
      <c r="J399" s="383" t="inlineStr">
        <is>
          <t>Ticket 0255365 La Cruz 14:49; tarjeta Banregio</t>
        </is>
      </c>
    </row>
    <row r="400">
      <c r="B400" s="382" t="n">
        <v>46204</v>
      </c>
      <c r="C400" s="252" t="inlineStr">
        <is>
          <t>Tortillas blancas x2</t>
        </is>
      </c>
      <c r="D400" s="253" t="inlineStr">
        <is>
          <t>Chedraui Paseo</t>
        </is>
      </c>
      <c r="E400" s="252" t="inlineStr">
        <is>
          <t>Ingredients - Bread</t>
        </is>
      </c>
      <c r="F400" s="70" t="n">
        <v>55.93</v>
      </c>
      <c r="G400" s="254" t="inlineStr">
        <is>
          <t>Restaurant</t>
        </is>
      </c>
      <c r="H400" s="254" t="inlineStr">
        <is>
          <t>Card</t>
        </is>
      </c>
      <c r="I400" s="255" t="inlineStr">
        <is>
          <t>✅ Paid</t>
        </is>
      </c>
      <c r="J400" s="383" t="inlineStr">
        <is>
          <t>Debito BBVA; 08:55</t>
        </is>
      </c>
    </row>
    <row r="401">
      <c r="B401" s="382" t="n">
        <v>46204</v>
      </c>
      <c r="C401" s="248" t="inlineStr">
        <is>
          <t>Muslo (pollo) 5.23kg @ $50/kg</t>
        </is>
      </c>
      <c r="D401" s="249" t="inlineStr">
        <is>
          <t>Remision Loka Cafe</t>
        </is>
      </c>
      <c r="E401" s="248" t="inlineStr">
        <is>
          <t>Ingredients - Meat</t>
        </is>
      </c>
      <c r="F401" s="67" t="n">
        <v>262</v>
      </c>
      <c r="G401" s="250" t="inlineStr">
        <is>
          <t>Restaurant</t>
        </is>
      </c>
      <c r="H401" s="250" t="inlineStr">
        <is>
          <t>Cash</t>
        </is>
      </c>
      <c r="I401" s="251" t="inlineStr">
        <is>
          <t>✅ Paid</t>
        </is>
      </c>
      <c r="J401" s="383" t="inlineStr">
        <is>
          <t>Nota remision manuscrita; 5.23x50=261.50, total escrito $262; metodo no confirmado</t>
        </is>
      </c>
    </row>
    <row r="402">
      <c r="B402" s="382" t="n">
        <v>46204</v>
      </c>
      <c r="C402" s="252" t="inlineStr">
        <is>
          <t>Rosca chocolate base + salchicha p/asar 800 x2</t>
        </is>
      </c>
      <c r="D402" s="253" t="inlineStr">
        <is>
          <t>H-E-B</t>
        </is>
      </c>
      <c r="E402" s="252" t="inlineStr">
        <is>
          <t>Ingredients - Other</t>
        </is>
      </c>
      <c r="F402" s="70" t="n">
        <v>246.8</v>
      </c>
      <c r="G402" s="254" t="inlineStr">
        <is>
          <t>Restaurant</t>
        </is>
      </c>
      <c r="H402" s="254" t="inlineStr">
        <is>
          <t>Card</t>
        </is>
      </c>
      <c r="I402" s="255" t="inlineStr">
        <is>
          <t>✅ Paid</t>
        </is>
      </c>
      <c r="J402" s="383" t="inlineStr">
        <is>
          <t>Cuenta tarjeta ***3982; rosca $105 + salchicha $141.80; incl IEPS</t>
        </is>
      </c>
    </row>
    <row r="403">
      <c r="B403" s="382" t="n">
        <v>46204</v>
      </c>
      <c r="C403" s="248" t="inlineStr">
        <is>
          <t>Aceite La Posada 800 x12</t>
        </is>
      </c>
      <c r="D403" s="249" t="inlineStr">
        <is>
          <t>OXXO</t>
        </is>
      </c>
      <c r="E403" s="248" t="inlineStr">
        <is>
          <t>Ingredients - Pantry</t>
        </is>
      </c>
      <c r="F403" s="67" t="n">
        <v>336</v>
      </c>
      <c r="G403" s="250" t="inlineStr">
        <is>
          <t>Restaurant</t>
        </is>
      </c>
      <c r="H403" s="250" t="inlineStr">
        <is>
          <t>Card</t>
        </is>
      </c>
      <c r="I403" s="251" t="inlineStr">
        <is>
          <t>✅ Paid</t>
        </is>
      </c>
      <c r="J403" s="383" t="inlineStr">
        <is>
          <t>BBVA debito ML ***3982 AUT 922070; 18:35; cooking oil</t>
        </is>
      </c>
    </row>
    <row r="404">
      <c r="B404" s="382" t="n">
        <v>46204</v>
      </c>
      <c r="C404" s="252" t="inlineStr">
        <is>
          <t>Pork Belly</t>
        </is>
      </c>
      <c r="D404" s="253" t="inlineStr">
        <is>
          <t>No bill</t>
        </is>
      </c>
      <c r="E404" s="252" t="inlineStr">
        <is>
          <t>Ingredients - Meat</t>
        </is>
      </c>
      <c r="F404" s="70" t="n">
        <v>355</v>
      </c>
      <c r="G404" s="254" t="inlineStr">
        <is>
          <t>Restaurant</t>
        </is>
      </c>
      <c r="H404" s="254" t="inlineStr">
        <is>
          <t>Cash</t>
        </is>
      </c>
      <c r="I404" s="255" t="inlineStr">
        <is>
          <t>✅ Paid</t>
        </is>
      </c>
      <c r="J404" s="383" t="inlineStr">
        <is>
          <t>No receipt; cash purchase</t>
        </is>
      </c>
    </row>
    <row r="405">
      <c r="B405" s="382" t="n">
        <v>46204</v>
      </c>
      <c r="C405" s="248" t="inlineStr">
        <is>
          <t>Carne molida</t>
        </is>
      </c>
      <c r="D405" s="249" t="inlineStr">
        <is>
          <t>No bill</t>
        </is>
      </c>
      <c r="E405" s="248" t="inlineStr">
        <is>
          <t>Ingredients - Meat</t>
        </is>
      </c>
      <c r="F405" s="67" t="n">
        <v>271</v>
      </c>
      <c r="G405" s="250" t="inlineStr">
        <is>
          <t>Restaurant</t>
        </is>
      </c>
      <c r="H405" s="250" t="inlineStr">
        <is>
          <t>Cash</t>
        </is>
      </c>
      <c r="I405" s="251" t="inlineStr">
        <is>
          <t>✅ Paid</t>
        </is>
      </c>
      <c r="J405" s="383" t="inlineStr">
        <is>
          <t>No receipt; cash purchase</t>
        </is>
      </c>
    </row>
    <row r="406">
      <c r="B406" s="382" t="n">
        <v>46204</v>
      </c>
      <c r="C406" s="252" t="inlineStr">
        <is>
          <t>Agua Ciel</t>
        </is>
      </c>
      <c r="D406" s="253" t="inlineStr">
        <is>
          <t>No bill</t>
        </is>
      </c>
      <c r="E406" s="252" t="inlineStr">
        <is>
          <t>Ingredients - Beverages</t>
        </is>
      </c>
      <c r="F406" s="70" t="n">
        <v>49.5</v>
      </c>
      <c r="G406" s="254" t="inlineStr">
        <is>
          <t>Restaurant</t>
        </is>
      </c>
      <c r="H406" s="254" t="inlineStr">
        <is>
          <t>Cash</t>
        </is>
      </c>
      <c r="I406" s="255" t="inlineStr">
        <is>
          <t>✅ Paid</t>
        </is>
      </c>
      <c r="J406" s="383" t="inlineStr">
        <is>
          <t>No receipt; cash purchase</t>
        </is>
      </c>
    </row>
    <row r="407">
      <c r="B407" s="382" t="n">
        <v>46204</v>
      </c>
      <c r="C407" s="248" t="inlineStr">
        <is>
          <t>Agua natural</t>
        </is>
      </c>
      <c r="D407" s="249" t="inlineStr">
        <is>
          <t>No bill</t>
        </is>
      </c>
      <c r="E407" s="248" t="inlineStr">
        <is>
          <t>Ingredients - Beverages</t>
        </is>
      </c>
      <c r="F407" s="67" t="n">
        <v>36</v>
      </c>
      <c r="G407" s="250" t="inlineStr">
        <is>
          <t>Restaurant</t>
        </is>
      </c>
      <c r="H407" s="250" t="inlineStr">
        <is>
          <t>Cash</t>
        </is>
      </c>
      <c r="I407" s="251" t="inlineStr">
        <is>
          <t>✅ Paid</t>
        </is>
      </c>
      <c r="J407" s="383" t="inlineStr">
        <is>
          <t>No receipt; cash purchase</t>
        </is>
      </c>
    </row>
    <row r="408">
      <c r="B408" s="382" t="n">
        <v>46204</v>
      </c>
      <c r="C408" s="252" t="inlineStr">
        <is>
          <t>Hielos</t>
        </is>
      </c>
      <c r="D408" s="253" t="inlineStr">
        <is>
          <t>No bill</t>
        </is>
      </c>
      <c r="E408" s="252" t="inlineStr">
        <is>
          <t>Kitchen Supplies</t>
        </is>
      </c>
      <c r="F408" s="70" t="n">
        <v>150</v>
      </c>
      <c r="G408" s="254" t="inlineStr">
        <is>
          <t>Restaurant</t>
        </is>
      </c>
      <c r="H408" s="254" t="inlineStr">
        <is>
          <t>Cash</t>
        </is>
      </c>
      <c r="I408" s="255" t="inlineStr">
        <is>
          <t>✅ Paid</t>
        </is>
      </c>
      <c r="J408" s="383" t="inlineStr">
        <is>
          <t>No receipt; cash purchase</t>
        </is>
      </c>
    </row>
    <row r="409">
      <c r="B409" s="382" t="n">
        <v>46205</v>
      </c>
      <c r="C409" s="248" t="inlineStr">
        <is>
          <t>Tomatoes</t>
        </is>
      </c>
      <c r="D409" s="249" t="inlineStr">
        <is>
          <t>No bill</t>
        </is>
      </c>
      <c r="E409" s="248" t="inlineStr">
        <is>
          <t>Ingredients - Vegetables</t>
        </is>
      </c>
      <c r="F409" s="67" t="n">
        <v>31</v>
      </c>
      <c r="G409" s="250" t="inlineStr">
        <is>
          <t>Restaurant</t>
        </is>
      </c>
      <c r="H409" s="250" t="inlineStr">
        <is>
          <t>Cash</t>
        </is>
      </c>
      <c r="I409" s="251" t="inlineStr">
        <is>
          <t>✅ Paid</t>
        </is>
      </c>
      <c r="J409" s="383" t="inlineStr">
        <is>
          <t>No receipt; cash purchase</t>
        </is>
      </c>
    </row>
    <row r="410">
      <c r="B410" s="382" t="n">
        <v>46205</v>
      </c>
      <c r="C410" s="252" t="inlineStr">
        <is>
          <t>Bistec puerco (pork steak)</t>
        </is>
      </c>
      <c r="D410" s="253" t="inlineStr">
        <is>
          <t>No bill</t>
        </is>
      </c>
      <c r="E410" s="252" t="inlineStr">
        <is>
          <t>Ingredients - Meat</t>
        </is>
      </c>
      <c r="F410" s="70" t="n">
        <v>287</v>
      </c>
      <c r="G410" s="254" t="inlineStr">
        <is>
          <t>Restaurant</t>
        </is>
      </c>
      <c r="H410" s="254" t="inlineStr">
        <is>
          <t>Cash</t>
        </is>
      </c>
      <c r="I410" s="255" t="inlineStr">
        <is>
          <t>✅ Paid</t>
        </is>
      </c>
      <c r="J410" s="383" t="inlineStr">
        <is>
          <t>No receipt; cash purchase</t>
        </is>
      </c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15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84" t="inlineStr">
        <is>
          <t>LOKA — MONTHLY P&amp;L   (live formulas — auto-updates from Daily Log &amp; Expenses)</t>
        </is>
      </c>
      <c r="B1" s="383" t="n"/>
      <c r="C1" s="383" t="n"/>
      <c r="D1" s="383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6" t="inlineStr">
        <is>
          <t>Jul 2026</t>
        </is>
      </c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8">
        <f>SUMIFS('📅 Daily Log'!$F$8:$F$500,'📅 Daily Log'!$B$8:$B$500,"&gt;="&amp;DATE(2026,7,1),'📅 Daily Log'!$B$8:$B$500,"&lt;"&amp;DATE(2026,8,1))</f>
        <v/>
      </c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8">
        <f>SUMIFS('💸 Expenses'!$F$8:$F$500,'💸 Expenses'!$B$8:$B$500,"&gt;="&amp;DATE(2026,7,1),'💸 Expenses'!$B$8:$B$500,"&lt;"&amp;DATE(2026,8,1))</f>
        <v/>
      </c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9">
        <f>D4-D5</f>
        <v/>
      </c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81">
        <f>COUNTIFS('📅 Daily Log'!$F$8:$F$500,"&gt;0",'📅 Daily Log'!$B$8:$B$500,"&gt;="&amp;DATE(2026,7,1),'📅 Daily Log'!$B$8:$B$500,"&lt;"&amp;DATE(2026,8,1))</f>
        <v/>
      </c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8">
        <f>IFERROR(D4/D7,0)</f>
        <v/>
      </c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6" t="inlineStr">
        <is>
          <t>Jul 2026</t>
        </is>
      </c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8">
        <f>SUMIFS('📅 Daily Log'!$D$8:$D$500,'📅 Daily Log'!$B$8:$B$500,"&gt;="&amp;DATE(2026,7,1),'📅 Daily Log'!$B$8:$B$500,"&lt;"&amp;DATE(2026,8,1))</f>
        <v/>
      </c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8">
        <f>SUMIFS('📅 Daily Log'!$E$8:$E$500,'📅 Daily Log'!$B$8:$B$500,"&gt;="&amp;DATE(2026,7,1),'📅 Daily Log'!$B$8:$B$500,"&lt;"&amp;DATE(2026,8,1))</f>
        <v/>
      </c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8">
        <f>SUMIFS('📅 Daily Log'!$G$8:$G$500,'📅 Daily Log'!$B$8:$B$500,"&gt;="&amp;DATE(2026,7,1),'📅 Daily Log'!$B$8:$B$500,"&lt;"&amp;DATE(2026,8,1))</f>
        <v/>
      </c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9">
        <f>D11+D12+D13</f>
        <v/>
      </c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6" t="inlineStr">
        <is>
          <t>Jul 2026</t>
        </is>
      </c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8">
        <f>SUMIFS('💸 Expenses'!$F$8:$F$500,'💸 Expenses'!$E$8:$E$500,$A17,'💸 Expenses'!$B$8:$B$500,"&gt;="&amp;DATE(2026,7,1),'💸 Expenses'!$B$8:$B$500,"&lt;"&amp;DATE(2026,8,1))</f>
        <v/>
      </c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8">
        <f>SUMIFS('💸 Expenses'!$F$8:$F$500,'💸 Expenses'!$E$8:$E$500,$A18,'💸 Expenses'!$B$8:$B$500,"&gt;="&amp;DATE(2026,7,1),'💸 Expenses'!$B$8:$B$500,"&lt;"&amp;DATE(2026,8,1))</f>
        <v/>
      </c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8">
        <f>SUMIFS('💸 Expenses'!$F$8:$F$500,'💸 Expenses'!$E$8:$E$500,$A19,'💸 Expenses'!$B$8:$B$500,"&gt;="&amp;DATE(2026,7,1),'💸 Expenses'!$B$8:$B$500,"&lt;"&amp;DATE(2026,8,1))</f>
        <v/>
      </c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Pantry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8">
        <f>SUMIFS('💸 Expenses'!$F$8:$F$500,'💸 Expenses'!$E$8:$E$500,$A20,'💸 Expenses'!$B$8:$B$500,"&gt;="&amp;DATE(2026,7,1),'💸 Expenses'!$B$8:$B$500,"&lt;"&amp;DATE(2026,8,1))</f>
        <v/>
      </c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Vegetables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8">
        <f>SUMIFS('💸 Expenses'!$F$8:$F$500,'💸 Expenses'!$E$8:$E$500,$A21,'💸 Expenses'!$B$8:$B$500,"&gt;="&amp;DATE(2026,7,1),'💸 Expenses'!$B$8:$B$500,"&lt;"&amp;DATE(2026,8,1))</f>
        <v/>
      </c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8">
        <f>SUMIFS('💸 Expenses'!$F$8:$F$500,'💸 Expenses'!$E$8:$E$500,$A22,'💸 Expenses'!$B$8:$B$500,"&gt;="&amp;DATE(2026,7,1),'💸 Expenses'!$B$8:$B$500,"&lt;"&amp;DATE(2026,8,1))</f>
        <v/>
      </c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8">
        <f>SUMIFS('💸 Expenses'!$F$8:$F$500,'💸 Expenses'!$E$8:$E$500,$A23,'💸 Expenses'!$B$8:$B$500,"&gt;="&amp;DATE(2026,7,1),'💸 Expenses'!$B$8:$B$500,"&lt;"&amp;DATE(2026,8,1))</f>
        <v/>
      </c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8">
        <f>SUMIFS('💸 Expenses'!$F$8:$F$500,'💸 Expenses'!$E$8:$E$500,$A24,'💸 Expenses'!$B$8:$B$500,"&gt;="&amp;DATE(2026,7,1),'💸 Expenses'!$B$8:$B$500,"&lt;"&amp;DATE(2026,8,1))</f>
        <v/>
      </c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8">
        <f>SUMIFS('💸 Expenses'!$F$8:$F$500,'💸 Expenses'!$E$8:$E$500,$A25,'💸 Expenses'!$B$8:$B$500,"&gt;="&amp;DATE(2026,7,1),'💸 Expenses'!$B$8:$B$500,"&lt;"&amp;DATE(2026,8,1))</f>
        <v/>
      </c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Ingredients - Bread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8">
        <f>SUMIFS('💸 Expenses'!$F$8:$F$500,'💸 Expenses'!$E$8:$E$500,$A26,'💸 Expenses'!$B$8:$B$500,"&gt;="&amp;DATE(2026,7,1),'💸 Expenses'!$B$8:$B$500,"&lt;"&amp;DATE(2026,8,1))</f>
        <v/>
      </c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Maintenance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8">
        <f>SUMIFS('💸 Expenses'!$F$8:$F$500,'💸 Expenses'!$E$8:$E$500,$A27,'💸 Expenses'!$B$8:$B$500,"&gt;="&amp;DATE(2026,7,1),'💸 Expenses'!$B$8:$B$500,"&lt;"&amp;DATE(2026,8,1))</f>
        <v/>
      </c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8">
        <f>SUMIFS('💸 Expenses'!$F$8:$F$500,'💸 Expenses'!$E$8:$E$500,$A28,'💸 Expenses'!$B$8:$B$500,"&gt;="&amp;DATE(2026,7,1),'💸 Expenses'!$B$8:$B$500,"&lt;"&amp;DATE(2026,8,1))</f>
        <v/>
      </c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8">
        <f>SUMIFS('💸 Expenses'!$F$8:$F$500,'💸 Expenses'!$E$8:$E$500,$A29,'💸 Expenses'!$B$8:$B$500,"&gt;="&amp;DATE(2026,7,1),'💸 Expenses'!$B$8:$B$500,"&lt;"&amp;DATE(2026,8,1))</f>
        <v/>
      </c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8">
        <f>SUMIFS('💸 Expenses'!$F$8:$F$500,'💸 Expenses'!$E$8:$E$500,$A30,'💸 Expenses'!$B$8:$B$500,"&gt;="&amp;DATE(2026,7,1),'💸 Expenses'!$B$8:$B$500,"&lt;"&amp;DATE(2026,8,1))</f>
        <v/>
      </c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8">
        <f>SUMIFS('💸 Expenses'!$F$8:$F$500,'💸 Expenses'!$E$8:$E$500,$A31,'💸 Expenses'!$B$8:$B$500,"&gt;="&amp;DATE(2026,7,1),'💸 Expenses'!$B$8:$B$500,"&lt;"&amp;DATE(2026,8,1))</f>
        <v/>
      </c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Software / Subscription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8">
        <f>SUMIFS('💸 Expenses'!$F$8:$F$500,'💸 Expenses'!$E$8:$E$500,$A32,'💸 Expenses'!$B$8:$B$500,"&gt;="&amp;DATE(2026,7,1),'💸 Expenses'!$B$8:$B$500,"&lt;"&amp;DATE(2026,8,1))</f>
        <v/>
      </c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Kitchen Supplies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8">
        <f>SUMIFS('💸 Expenses'!$F$8:$F$500,'💸 Expenses'!$E$8:$E$500,$A33,'💸 Expenses'!$B$8:$B$500,"&gt;="&amp;DATE(2026,7,1),'💸 Expenses'!$B$8:$B$500,"&lt;"&amp;DATE(2026,8,1))</f>
        <v/>
      </c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Staff - Advance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8">
        <f>SUMIFS('💸 Expenses'!$F$8:$F$500,'💸 Expenses'!$E$8:$E$500,$A34,'💸 Expenses'!$B$8:$B$500,"&gt;="&amp;DATE(2026,7,1),'💸 Expenses'!$B$8:$B$500,"&lt;"&amp;DATE(2026,8,1))</f>
        <v/>
      </c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Utilities / Internet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8">
        <f>SUMIFS('💸 Expenses'!$F$8:$F$500,'💸 Expenses'!$E$8:$E$500,$A35,'💸 Expenses'!$B$8:$B$500,"&gt;="&amp;DATE(2026,7,1),'💸 Expenses'!$B$8:$B$500,"&lt;"&amp;DATE(2026,8,1))</f>
        <v/>
      </c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Packaging / Disposables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8">
        <f>SUMIFS('💸 Expenses'!$F$8:$F$500,'💸 Expenses'!$E$8:$E$500,$A36,'💸 Expenses'!$B$8:$B$500,"&gt;="&amp;DATE(2026,7,1),'💸 Expenses'!$B$8:$B$500,"&lt;"&amp;DATE(2026,8,1))</f>
        <v/>
      </c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8">
        <f>SUMIFS('💸 Expenses'!$F$8:$F$500,'💸 Expenses'!$E$8:$E$500,$A37,'💸 Expenses'!$B$8:$B$500,"&gt;="&amp;DATE(2026,7,1),'💸 Expenses'!$B$8:$B$500,"&lt;"&amp;DATE(2026,8,1))</f>
        <v/>
      </c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8">
        <f>SUMIFS('💸 Expenses'!$F$8:$F$500,'💸 Expenses'!$E$8:$E$500,$A38,'💸 Expenses'!$B$8:$B$500,"&gt;="&amp;DATE(2026,7,1),'💸 Expenses'!$B$8:$B$500,"&lt;"&amp;DATE(2026,8,1))</f>
        <v/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Staff - Propinas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8">
        <f>SUMIFS('💸 Expenses'!$F$8:$F$500,'💸 Expenses'!$E$8:$E$500,$A39,'💸 Expenses'!$B$8:$B$500,"&gt;="&amp;DATE(2026,7,1),'💸 Expenses'!$B$8:$B$500,"&lt;"&amp;DATE(2026,8,1))</f>
        <v/>
      </c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8">
        <f>SUMIFS('💸 Expenses'!$F$8:$F$500,'💸 Expenses'!$E$8:$E$500,$A40,'💸 Expenses'!$B$8:$B$500,"&gt;="&amp;DATE(2026,7,1),'💸 Expenses'!$B$8:$B$500,"&lt;"&amp;DATE(2026,8,1))</f>
        <v/>
      </c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8">
        <f>SUMIFS('💸 Expenses'!$F$8:$F$500,'💸 Expenses'!$E$8:$E$500,$A41,'💸 Expenses'!$B$8:$B$500,"&gt;="&amp;DATE(2026,7,1),'💸 Expenses'!$B$8:$B$500,"&lt;"&amp;DATE(2026,8,1))</f>
        <v/>
      </c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9">
        <f>SUMIFS('💸 Expenses'!$F$8:$F$500,'💸 Expenses'!$B$8:$B$500,"&gt;="&amp;DATE(2026,7,1),'💸 Expenses'!$B$8:$B$500,"&lt;"&amp;DATE(2026,8,1))</f>
        <v/>
      </c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9">
        <f>D4-D42</f>
        <v/>
      </c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397" t="inlineStr">
        <is>
          <t>TOTALS &amp; CURRENT BALANCE</t>
        </is>
      </c>
      <c r="B31" s="232" t="n"/>
      <c r="C31" s="232" t="n"/>
      <c r="D31" s="232">
        <f>SUM(D4:D30)</f>
        <v/>
      </c>
      <c r="E31" s="233">
        <f>SUM(E4:E30)</f>
        <v/>
      </c>
      <c r="F31" s="233">
        <f>F30</f>
        <v/>
      </c>
      <c r="G31" s="232">
        <f>IF(F30&gt;0,"Restaurant owes Lohith $"&amp;TEXT(F30,"#,##0"),IF(F30&lt;0,"Lohith holds $"&amp;TEXT(ABS(F30),"#,##0"),"Zero balance"))</f>
        <v/>
      </c>
      <c r="H3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2026-07-02T23:14:51Z</dcterms:modified>
  <cp:lastModifiedBy>LOHITH REDDY</cp:lastModifiedBy>
</cp:coreProperties>
</file>