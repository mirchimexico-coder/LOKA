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6623.98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1341.81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 t="n">
        <v>4044</v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inlineStr">
        <is>
          <t>12-Jun-2026</t>
        </is>
      </c>
      <c r="C33" s="47" t="inlineStr">
        <is>
          <t>Fri</t>
        </is>
      </c>
      <c r="D33" s="48" t="n"/>
      <c r="E33" s="49" t="n"/>
      <c r="F33" s="50">
        <f>IFERROR(D33+E33+G33,0)</f>
        <v/>
      </c>
      <c r="G33" s="51" t="n"/>
      <c r="H33" s="52" t="n">
        <v>901.8</v>
      </c>
      <c r="I33" s="53">
        <f>IFERROR(F33-H33,0)</f>
        <v/>
      </c>
      <c r="J33" s="54">
        <f>IFERROR(I33/F33,0)</f>
        <v/>
      </c>
      <c r="K33" s="55" t="n"/>
      <c r="L33" s="18" t="inlineStr">
        <is>
          <t>Expenses logged — revenue pending</t>
        </is>
      </c>
      <c r="M33" s="21" t="n"/>
      <c r="N33" s="56" t="n"/>
      <c r="O33" s="57" t="n"/>
      <c r="P33" s="58" t="n"/>
      <c r="Q33" s="56" t="n"/>
    </row>
    <row r="34" ht="16.5" customHeight="1" s="274">
      <c r="B34" s="34" t="inlineStr">
        <is>
          <t>13-Jun-2026</t>
        </is>
      </c>
      <c r="C34" s="35" t="inlineStr">
        <is>
          <t>Sat</t>
        </is>
      </c>
      <c r="D34" s="36" t="n"/>
      <c r="E34" s="37" t="n"/>
      <c r="F34" s="38">
        <f>IFERROR(D34+E34+G34,0)</f>
        <v/>
      </c>
      <c r="G34" s="39" t="n"/>
      <c r="H34" s="40" t="n">
        <v>468.16</v>
      </c>
      <c r="I34" s="41">
        <f>IFERROR(F34-H34,0)</f>
        <v/>
      </c>
      <c r="J34" s="42">
        <f>IFERROR(I34/F34,0)</f>
        <v/>
      </c>
      <c r="K34" s="43" t="n"/>
      <c r="L34" s="9" t="inlineStr">
        <is>
          <t>Chedraui logged — bistec note + revenue pending</t>
        </is>
      </c>
      <c r="M34" s="12" t="n"/>
      <c r="N34" s="44" t="n"/>
      <c r="O34" s="45" t="n"/>
      <c r="P34" s="46" t="n"/>
      <c r="Q34" s="44" t="n"/>
    </row>
    <row r="35" ht="16.5" customHeight="1" s="274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74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9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46175</v>
      </c>
      <c r="C158" s="65" t="inlineStr">
        <is>
          <t>Tortillas Blanca K (6.025 kg)</t>
        </is>
      </c>
      <c r="D158" s="66" t="inlineStr">
        <is>
          <t>Chedraui Paseo</t>
        </is>
      </c>
      <c r="E158" s="65" t="inlineStr">
        <is>
          <t>Ingredients - Pantry</t>
        </is>
      </c>
      <c r="F158" s="67" t="n">
        <v>75.31</v>
      </c>
      <c r="G158" s="14" t="inlineStr">
        <is>
          <t>Restaurant</t>
        </is>
      </c>
      <c r="H158" s="14" t="inlineStr">
        <is>
          <t>Card</t>
        </is>
      </c>
      <c r="I158" s="43" t="inlineStr">
        <is>
          <t>✅ Paid</t>
        </is>
      </c>
      <c r="J158" t="inlineStr">
        <is>
          <t>6.025kg x $14.50, discount -$12.05</t>
        </is>
      </c>
    </row>
    <row r="159">
      <c r="B159" s="64" t="n">
        <v>46176</v>
      </c>
      <c r="C159" s="69" t="inlineStr">
        <is>
          <t>Tomate Sal (1.510 kg)</t>
        </is>
      </c>
      <c r="D159" s="68" t="inlineStr">
        <is>
          <t>Chedraui Paseo</t>
        </is>
      </c>
      <c r="E159" s="69" t="inlineStr">
        <is>
          <t>Ingredients - Vegetables</t>
        </is>
      </c>
      <c r="F159" s="70" t="n">
        <v>43.63</v>
      </c>
      <c r="G159" s="23" t="inlineStr">
        <is>
          <t>Restaurant</t>
        </is>
      </c>
      <c r="H159" s="23" t="inlineStr">
        <is>
          <t>Card</t>
        </is>
      </c>
      <c r="I159" s="55" t="inlineStr">
        <is>
          <t>✅ Paid</t>
        </is>
      </c>
      <c r="J159" t="inlineStr">
        <is>
          <t>1.510kg x $28.90</t>
        </is>
      </c>
    </row>
    <row r="160">
      <c r="B160" s="64" t="n">
        <v>46176</v>
      </c>
      <c r="C160" s="65" t="inlineStr">
        <is>
          <t>Tortillas Blanca K (6.235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77.93000000000001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6.235kg net after -$12.47 discount — total Chedraui bill $138.36</t>
        </is>
      </c>
    </row>
    <row r="161">
      <c r="B161" s="64" t="n">
        <v>46176</v>
      </c>
      <c r="C161" s="69" t="inlineStr">
        <is>
          <t>Bolillo (8 pcs)</t>
        </is>
      </c>
      <c r="D161" s="68" t="inlineStr">
        <is>
          <t>Chedraui Paseo</t>
        </is>
      </c>
      <c r="E161" s="69" t="inlineStr">
        <is>
          <t>Ingredients - Bread</t>
        </is>
      </c>
      <c r="F161" s="70" t="n">
        <v>16.8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8 x $2.10 — Chedraui Paseo, total receipt $138.36</t>
        </is>
      </c>
    </row>
    <row r="162">
      <c r="B162" s="64" t="n">
        <v>46176</v>
      </c>
      <c r="C162" s="65" t="inlineStr">
        <is>
          <t>Gises Comp de Colores C/12 (x2)</t>
        </is>
      </c>
      <c r="D162" s="66" t="inlineStr">
        <is>
          <t>Office Depot Queretaro</t>
        </is>
      </c>
      <c r="E162" s="65" t="inlineStr">
        <is>
          <t>Supplies / Other</t>
        </is>
      </c>
      <c r="F162" s="67" t="n">
        <v>108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Chalk set x2 for menu board</t>
        </is>
      </c>
    </row>
    <row r="163">
      <c r="B163" s="64" t="n">
        <v>46176</v>
      </c>
      <c r="C163" s="69" t="inlineStr">
        <is>
          <t>Extension GE 2.7M 3 Contact</t>
        </is>
      </c>
      <c r="D163" s="68" t="inlineStr">
        <is>
          <t>Office Depot Queretaro</t>
        </is>
      </c>
      <c r="E163" s="69" t="inlineStr">
        <is>
          <t>Supplies / Other</t>
        </is>
      </c>
      <c r="F163" s="70" t="n">
        <v>239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Extension cord 2.7m 3 outlets</t>
        </is>
      </c>
    </row>
    <row r="164">
      <c r="B164" s="64" t="n">
        <v>46176</v>
      </c>
      <c r="C164" s="65" t="inlineStr">
        <is>
          <t>Sobres Oficina Ecol 10.4x24 CM100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109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Office envelopes</t>
        </is>
      </c>
    </row>
    <row r="165">
      <c r="B165" s="64" t="n">
        <v>46176</v>
      </c>
      <c r="C165" s="69" t="inlineStr">
        <is>
          <t>Pechuga (3.11 kg)</t>
        </is>
      </c>
      <c r="D165" s="68" t="inlineStr">
        <is>
          <t>Remision</t>
        </is>
      </c>
      <c r="E165" s="69" t="inlineStr">
        <is>
          <t>Ingredients - Meat</t>
        </is>
      </c>
      <c r="F165" s="70" t="n">
        <v>358</v>
      </c>
      <c r="G165" s="23" t="inlineStr">
        <is>
          <t>Restaurant</t>
        </is>
      </c>
      <c r="H165" s="23" t="inlineStr">
        <is>
          <t>Cash</t>
        </is>
      </c>
      <c r="I165" s="55" t="inlineStr">
        <is>
          <t>✅ Paid</t>
        </is>
      </c>
      <c r="J165" t="inlineStr">
        <is>
          <t>3.11kg x $115/kg</t>
        </is>
      </c>
    </row>
    <row r="166">
      <c r="B166" s="64" t="n">
        <v>46176</v>
      </c>
      <c r="C166" s="65" t="inlineStr">
        <is>
          <t>Muslo de Pollo (4.30 kg)</t>
        </is>
      </c>
      <c r="D166" s="66" t="inlineStr">
        <is>
          <t>Remision</t>
        </is>
      </c>
      <c r="E166" s="65" t="inlineStr">
        <is>
          <t>Ingredients - Meat</t>
        </is>
      </c>
      <c r="F166" s="67" t="n">
        <v>215</v>
      </c>
      <c r="G166" s="14" t="inlineStr">
        <is>
          <t>Restaurant</t>
        </is>
      </c>
      <c r="H166" s="14" t="inlineStr">
        <is>
          <t>Cash</t>
        </is>
      </c>
      <c r="I166" s="43" t="inlineStr">
        <is>
          <t>✅ Paid</t>
        </is>
      </c>
      <c r="J166" t="inlineStr">
        <is>
          <t>4.30kg x $50/kg</t>
        </is>
      </c>
    </row>
    <row r="167">
      <c r="B167" s="64" t="n">
        <v>46176</v>
      </c>
      <c r="C167" s="69" t="inlineStr">
        <is>
          <t>Milanesa de Pollo (3.20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432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3.20kg x $135/kg</t>
        </is>
      </c>
    </row>
    <row r="168">
      <c r="B168" s="64" t="n">
        <v>46176</v>
      </c>
      <c r="C168" s="65" t="inlineStr">
        <is>
          <t>Filete de Mojarra (3.425 kg)</t>
        </is>
      </c>
      <c r="D168" s="66" t="inlineStr">
        <is>
          <t>EVD Bizkaia</t>
        </is>
      </c>
      <c r="E168" s="65" t="inlineStr">
        <is>
          <t>Ingredients - Meat &amp; Fish</t>
        </is>
      </c>
      <c r="F168" s="67" t="n">
        <v>479.5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3.425kg x $140/kg</t>
        </is>
      </c>
    </row>
    <row r="169">
      <c r="B169" s="64" t="n">
        <v>46176</v>
      </c>
      <c r="C169" s="69" t="inlineStr">
        <is>
          <t>Costilla de Res (3.025 kg)</t>
        </is>
      </c>
      <c r="D169" s="68" t="inlineStr">
        <is>
          <t>Miscelanea LC La Cruz</t>
        </is>
      </c>
      <c r="E169" s="69" t="inlineStr">
        <is>
          <t>Ingredients - Meat</t>
        </is>
      </c>
      <c r="F169" s="70" t="n">
        <v>311</v>
      </c>
      <c r="G169" s="23" t="inlineStr">
        <is>
          <t>Restaurant</t>
        </is>
      </c>
      <c r="H169" s="23" t="inlineStr">
        <is>
          <t>Card</t>
        </is>
      </c>
      <c r="I169" s="55" t="inlineStr">
        <is>
          <t>✅ Paid</t>
        </is>
      </c>
      <c r="J169" t="inlineStr">
        <is>
          <t>3.025kg x $103/kg — Getnet 03/06/2026</t>
        </is>
      </c>
    </row>
    <row r="170">
      <c r="B170" s="64" t="n">
        <v>46176</v>
      </c>
      <c r="C170" s="65" t="inlineStr">
        <is>
          <t>Lechuga Italiana</t>
        </is>
      </c>
      <c r="D170" s="66" t="inlineStr">
        <is>
          <t>—</t>
        </is>
      </c>
      <c r="E170" s="65" t="inlineStr">
        <is>
          <t>Ingredients - Vegetables</t>
        </is>
      </c>
      <c r="F170" s="67" t="n">
        <v>64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No bill</t>
        </is>
      </c>
    </row>
    <row r="171">
      <c r="B171" s="64" t="n">
        <v>46176</v>
      </c>
      <c r="C171" s="69" t="inlineStr">
        <is>
          <t>Chicken Boneless + Carne Hamburguesa</t>
        </is>
      </c>
      <c r="D171" s="68" t="inlineStr">
        <is>
          <t>—</t>
        </is>
      </c>
      <c r="E171" s="69" t="inlineStr">
        <is>
          <t>Ingredients - Meat</t>
        </is>
      </c>
      <c r="F171" s="70" t="n">
        <v>1580</v>
      </c>
      <c r="G171" s="23" t="inlineStr">
        <is>
          <t>Restaurant</t>
        </is>
      </c>
      <c r="H171" s="23" t="inlineStr">
        <is>
          <t>Cash</t>
        </is>
      </c>
      <c r="I171" s="55" t="inlineStr">
        <is>
          <t>✅ Paid</t>
        </is>
      </c>
      <c r="J171" t="inlineStr">
        <is>
          <t>No bill — boneless chicken + hamburger meat</t>
        </is>
      </c>
    </row>
    <row r="172">
      <c r="B172" s="64" t="n">
        <v>46177</v>
      </c>
      <c r="C172" s="65" t="inlineStr">
        <is>
          <t>Vasos DART 100Z 40/25 (4 packs)</t>
        </is>
      </c>
      <c r="D172" s="66" t="inlineStr">
        <is>
          <t>Guimar Polietilenos</t>
        </is>
      </c>
      <c r="E172" s="65" t="inlineStr">
        <is>
          <t>Supplies / Other</t>
        </is>
      </c>
      <c r="F172" s="67" t="n">
        <v>62</v>
      </c>
      <c r="G172" s="14" t="inlineStr">
        <is>
          <t>Restaurant</t>
        </is>
      </c>
      <c r="H172" s="14" t="inlineStr">
        <is>
          <t>Card</t>
        </is>
      </c>
      <c r="I172" s="43" t="inlineStr">
        <is>
          <t>✅ Paid</t>
        </is>
      </c>
      <c r="J172" t="inlineStr">
        <is>
          <t>4 packs x $15.50</t>
        </is>
      </c>
    </row>
    <row r="173">
      <c r="B173" s="64" t="n">
        <v>46177</v>
      </c>
      <c r="C173" s="69" t="inlineStr">
        <is>
          <t>Tapas DART Plastica 10SL 10/100 (100pcs)</t>
        </is>
      </c>
      <c r="D173" s="68" t="inlineStr">
        <is>
          <t>Guimar Polietilenos</t>
        </is>
      </c>
      <c r="E173" s="69" t="inlineStr">
        <is>
          <t>Supplies / Other</t>
        </is>
      </c>
      <c r="F173" s="70" t="n">
        <v>62</v>
      </c>
      <c r="G173" s="23" t="inlineStr">
        <is>
          <t>Restaurant</t>
        </is>
      </c>
      <c r="H173" s="23" t="inlineStr">
        <is>
          <t>Card</t>
        </is>
      </c>
      <c r="I173" s="55" t="inlineStr">
        <is>
          <t>✅ Paid</t>
        </is>
      </c>
      <c r="J173" t="inlineStr">
        <is>
          <t>100 x $0.62</t>
        </is>
      </c>
    </row>
    <row r="174">
      <c r="B174" s="64" t="n">
        <v>46177</v>
      </c>
      <c r="C174" s="65" t="inlineStr">
        <is>
          <t>Domo Triangular Alto RP25 250PZ (10pcs)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35.96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10 x $3.596</t>
        </is>
      </c>
    </row>
    <row r="175">
      <c r="B175" s="64" t="n">
        <v>46177</v>
      </c>
      <c r="C175" s="69" t="inlineStr">
        <is>
          <t>Domo Reyma RB-100 250PZ (10pcs)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23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 x $2.30 — Folio XCC36390</t>
        </is>
      </c>
    </row>
    <row r="176">
      <c r="B176" s="64" t="n">
        <v>46177</v>
      </c>
      <c r="C176" s="65" t="inlineStr">
        <is>
          <t>Vasos de Plast. 4CH Reyma 20/50 (2pks)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46</v>
      </c>
      <c r="G176" s="14" t="inlineStr">
        <is>
          <t>Restaurant</t>
        </is>
      </c>
      <c r="H176" s="14" t="inlineStr">
        <is>
          <t>Cash</t>
        </is>
      </c>
      <c r="I176" s="43" t="inlineStr">
        <is>
          <t>✅ Paid</t>
        </is>
      </c>
      <c r="J176" t="inlineStr">
        <is>
          <t>2 x $23.00 — Folio XCC36400</t>
        </is>
      </c>
    </row>
    <row r="177">
      <c r="B177" s="64" t="n">
        <v>46177</v>
      </c>
      <c r="C177" s="69" t="inlineStr">
        <is>
          <t>Reyma Tapas Vaso 5 1/2-4CH 20/50 (2pks)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46</v>
      </c>
      <c r="G177" s="23" t="inlineStr">
        <is>
          <t>Restaurant</t>
        </is>
      </c>
      <c r="H177" s="23" t="inlineStr">
        <is>
          <t>Cash</t>
        </is>
      </c>
      <c r="I177" s="55" t="inlineStr">
        <is>
          <t>✅ Paid</t>
        </is>
      </c>
      <c r="J177" t="inlineStr">
        <is>
          <t>2 x $23.00</t>
        </is>
      </c>
    </row>
    <row r="178">
      <c r="B178" s="64" t="n">
        <v>46177</v>
      </c>
      <c r="C178" s="65" t="inlineStr">
        <is>
          <t>Bistec Corte (7.54 kg)</t>
        </is>
      </c>
      <c r="D178" s="66" t="inlineStr">
        <is>
          <t>Miscelanea LC La Cruz</t>
        </is>
      </c>
      <c r="E178" s="65" t="inlineStr">
        <is>
          <t>Ingredients - Meat</t>
        </is>
      </c>
      <c r="F178" s="67" t="n">
        <v>245</v>
      </c>
      <c r="G178" s="14" t="inlineStr">
        <is>
          <t>Restaurant</t>
        </is>
      </c>
      <c r="H178" s="14" t="inlineStr">
        <is>
          <t>Card</t>
        </is>
      </c>
      <c r="I178" s="43" t="inlineStr">
        <is>
          <t>✅ Paid</t>
        </is>
      </c>
      <c r="J178" t="inlineStr">
        <is>
          <t>Getnet 04/06/2026 09:53</t>
        </is>
      </c>
    </row>
    <row r="179">
      <c r="B179" s="64" t="n">
        <v>46177</v>
      </c>
      <c r="C179" s="69" t="inlineStr">
        <is>
          <t>Queso</t>
        </is>
      </c>
      <c r="D179" s="68" t="inlineStr">
        <is>
          <t>—</t>
        </is>
      </c>
      <c r="E179" s="69" t="inlineStr">
        <is>
          <t>Ingredients - Dairy</t>
        </is>
      </c>
      <c r="F179" s="70" t="n">
        <v>82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No bill</t>
        </is>
      </c>
    </row>
    <row r="180">
      <c r="B180" s="64" t="n">
        <v>46177</v>
      </c>
      <c r="C180" s="65" t="inlineStr">
        <is>
          <t>Huevos</t>
        </is>
      </c>
      <c r="D180" s="66" t="inlineStr">
        <is>
          <t>—</t>
        </is>
      </c>
      <c r="E180" s="65" t="inlineStr">
        <is>
          <t>Ingredients - Pantry</t>
        </is>
      </c>
      <c r="F180" s="67" t="n">
        <v>69</v>
      </c>
      <c r="G180" s="14" t="inlineStr">
        <is>
          <t>Lohith</t>
        </is>
      </c>
      <c r="H180" s="14" t="inlineStr">
        <is>
          <t>Cash</t>
        </is>
      </c>
      <c r="I180" s="43" t="inlineStr">
        <is>
          <t>✅ Paid</t>
        </is>
      </c>
      <c r="J180" t="inlineStr">
        <is>
          <t>No bill — paid by Lohith</t>
        </is>
      </c>
    </row>
    <row r="181">
      <c r="B181" s="64" t="n">
        <v>46177</v>
      </c>
      <c r="C181" s="69" t="inlineStr">
        <is>
          <t>Ajonjoli Blanco</t>
        </is>
      </c>
      <c r="D181" s="68" t="inlineStr">
        <is>
          <t>—</t>
        </is>
      </c>
      <c r="E181" s="69" t="inlineStr">
        <is>
          <t>Ingredients - Pantry</t>
        </is>
      </c>
      <c r="F181" s="70" t="n">
        <v>44</v>
      </c>
      <c r="G181" s="23" t="inlineStr">
        <is>
          <t>Lohith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 — paid by Lohith</t>
        </is>
      </c>
    </row>
    <row r="182">
      <c r="B182" s="64" t="n">
        <v>46177</v>
      </c>
      <c r="C182" s="65" t="inlineStr">
        <is>
          <t>Ajonjoli Negro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45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Verduras variadas</t>
        </is>
      </c>
      <c r="D183" s="68" t="inlineStr">
        <is>
          <t>—</t>
        </is>
      </c>
      <c r="E183" s="69" t="inlineStr">
        <is>
          <t>Ingredients - Vegetables</t>
        </is>
      </c>
      <c r="F183" s="70" t="n">
        <v>200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Renta Mensual — Junio 2026</t>
        </is>
      </c>
      <c r="D184" s="66" t="inlineStr">
        <is>
          <t>Propietario</t>
        </is>
      </c>
      <c r="E184" s="65" t="inlineStr">
        <is>
          <t>Rent</t>
        </is>
      </c>
      <c r="F184" s="67" t="n">
        <v>15000</v>
      </c>
      <c r="G184" s="14" t="inlineStr">
        <is>
          <t>Lohith</t>
        </is>
      </c>
      <c r="H184" s="14" t="inlineStr">
        <is>
          <t>Personal</t>
        </is>
      </c>
      <c r="I184" s="43" t="inlineStr">
        <is>
          <t>⏳ Reimburse</t>
        </is>
      </c>
      <c r="J184" t="inlineStr">
        <is>
          <t>Monthly rent — June 2026 — paid personally by Lohith</t>
        </is>
      </c>
    </row>
    <row r="185">
      <c r="B185" s="64" t="n">
        <v>46177</v>
      </c>
      <c r="C185" s="69" t="inlineStr">
        <is>
          <t>Mantenimiento Mensual — Junio 2026</t>
        </is>
      </c>
      <c r="D185" s="68" t="inlineStr">
        <is>
          <t>Propietario</t>
        </is>
      </c>
      <c r="E185" s="69" t="inlineStr">
        <is>
          <t>Maintenance</t>
        </is>
      </c>
      <c r="F185" s="70" t="n">
        <v>5000</v>
      </c>
      <c r="G185" s="23" t="inlineStr">
        <is>
          <t>Lohith</t>
        </is>
      </c>
      <c r="H185" s="23" t="inlineStr">
        <is>
          <t>Personal</t>
        </is>
      </c>
      <c r="I185" s="55" t="inlineStr">
        <is>
          <t>⏳ Reimburse</t>
        </is>
      </c>
      <c r="J185" t="inlineStr">
        <is>
          <t>Monthly maintenance — June 2026 — paid personally by Lohith</t>
        </is>
      </c>
    </row>
    <row r="186">
      <c r="B186" s="64" t="n">
        <v>46178</v>
      </c>
      <c r="C186" s="65" t="inlineStr">
        <is>
          <t>Ahumada</t>
        </is>
      </c>
      <c r="D186" s="66" t="inlineStr">
        <is>
          <t>Miscelanea LC La Cruz</t>
        </is>
      </c>
      <c r="E186" s="65" t="inlineStr">
        <is>
          <t>Ingredients - Meat</t>
        </is>
      </c>
      <c r="F186" s="67" t="n">
        <v>245</v>
      </c>
      <c r="G186" s="14" t="inlineStr">
        <is>
          <t>Restaurant</t>
        </is>
      </c>
      <c r="H186" s="14" t="inlineStr">
        <is>
          <t>Card</t>
        </is>
      </c>
      <c r="I186" s="43" t="inlineStr">
        <is>
          <t>✅ Paid</t>
        </is>
      </c>
      <c r="J186" t="inlineStr">
        <is>
          <t>Getnet 05/06/2026</t>
        </is>
      </c>
    </row>
    <row r="187">
      <c r="B187" s="64" t="n">
        <v>46178</v>
      </c>
      <c r="C187" s="69" t="inlineStr">
        <is>
          <t>Papas</t>
        </is>
      </c>
      <c r="D187" s="68" t="inlineStr">
        <is>
          <t>Miscelanea LC La Cruz</t>
        </is>
      </c>
      <c r="E187" s="69" t="inlineStr">
        <is>
          <t>Ingredients - Vegetables</t>
        </is>
      </c>
      <c r="F187" s="70" t="n">
        <v>220</v>
      </c>
      <c r="G187" s="23" t="inlineStr">
        <is>
          <t>Restaurant</t>
        </is>
      </c>
      <c r="H187" s="23" t="inlineStr">
        <is>
          <t>Card</t>
        </is>
      </c>
      <c r="I187" s="55" t="inlineStr">
        <is>
          <t>✅ Paid</t>
        </is>
      </c>
      <c r="J187" t="inlineStr">
        <is>
          <t>Getnet 05/06/2026 — same remision</t>
        </is>
      </c>
    </row>
    <row r="188">
      <c r="B188" s="64" t="n">
        <v>46178</v>
      </c>
      <c r="C188" s="65" t="inlineStr">
        <is>
          <t>Tortillas Blanca K (10.045kg)</t>
        </is>
      </c>
      <c r="D188" s="66" t="inlineStr">
        <is>
          <t>Chedraui Paseo</t>
        </is>
      </c>
      <c r="E188" s="65" t="inlineStr">
        <is>
          <t>Ingredients - Pantry</t>
        </is>
      </c>
      <c r="F188" s="67" t="n">
        <v>125.56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3 batches: 4.025+4.015+2.005kg, discount -$20.08</t>
        </is>
      </c>
    </row>
    <row r="189">
      <c r="B189" s="64" t="n">
        <v>46178</v>
      </c>
      <c r="C189" s="69" t="inlineStr">
        <is>
          <t>Pepino</t>
        </is>
      </c>
      <c r="D189" s="68" t="inlineStr">
        <is>
          <t>—</t>
        </is>
      </c>
      <c r="E189" s="69" t="inlineStr">
        <is>
          <t>Ingredients - Vegetables</t>
        </is>
      </c>
      <c r="F189" s="70" t="n">
        <v>123.5</v>
      </c>
      <c r="G189" s="23" t="inlineStr">
        <is>
          <t>Restaurant</t>
        </is>
      </c>
      <c r="H189" s="23" t="inlineStr">
        <is>
          <t>Cash</t>
        </is>
      </c>
      <c r="I189" s="55" t="inlineStr">
        <is>
          <t>✅ Paid</t>
        </is>
      </c>
      <c r="J189" t="inlineStr">
        <is>
          <t>No bill</t>
        </is>
      </c>
    </row>
    <row r="190">
      <c r="B190" s="64" t="n">
        <v>46178</v>
      </c>
      <c r="C190" s="65" t="inlineStr">
        <is>
          <t>Hierbabuena</t>
        </is>
      </c>
      <c r="D190" s="66" t="inlineStr">
        <is>
          <t>—</t>
        </is>
      </c>
      <c r="E190" s="65" t="inlineStr">
        <is>
          <t>Ingredients - Vegetables</t>
        </is>
      </c>
      <c r="F190" s="67" t="n">
        <v>10</v>
      </c>
      <c r="G190" s="14" t="inlineStr">
        <is>
          <t>Restaurant</t>
        </is>
      </c>
      <c r="H190" s="14" t="inlineStr">
        <is>
          <t>Cash</t>
        </is>
      </c>
      <c r="I190" s="43" t="inlineStr">
        <is>
          <t>✅ Paid</t>
        </is>
      </c>
      <c r="J190" t="inlineStr">
        <is>
          <t>No bill</t>
        </is>
      </c>
    </row>
    <row r="191">
      <c r="B191" s="64" t="n">
        <v>46178</v>
      </c>
      <c r="C191" s="69" t="inlineStr">
        <is>
          <t>Lechuga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104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Hielo</t>
        </is>
      </c>
      <c r="D192" s="66" t="inlineStr">
        <is>
          <t>—</t>
        </is>
      </c>
      <c r="E192" s="65" t="inlineStr">
        <is>
          <t>Supplies / Other</t>
        </is>
      </c>
      <c r="F192" s="67" t="n">
        <v>50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46179</v>
      </c>
      <c r="C193" s="69" t="inlineStr">
        <is>
          <t>John — Salary Parcial Week 3 (Sat)</t>
        </is>
      </c>
      <c r="D193" s="68" t="inlineStr">
        <is>
          <t>Nomina</t>
        </is>
      </c>
      <c r="E193" s="69" t="inlineStr">
        <is>
          <t>Staff - Salary</t>
        </is>
      </c>
      <c r="F193" s="70" t="n">
        <v>2500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Week 3 partial — $1,250 balance due Mon 8 Jun</t>
        </is>
      </c>
    </row>
    <row r="194">
      <c r="B194" s="64" t="n">
        <v>46179</v>
      </c>
      <c r="C194" s="65" t="inlineStr">
        <is>
          <t>Debi — Salary Parcial Week 3 (Sat)</t>
        </is>
      </c>
      <c r="D194" s="66" t="inlineStr">
        <is>
          <t>Nomina</t>
        </is>
      </c>
      <c r="E194" s="65" t="inlineStr">
        <is>
          <t>Staff - Salary</t>
        </is>
      </c>
      <c r="F194" s="67" t="n">
        <v>1000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Week 3 partial — $500 balance due Mon 8 Jun</t>
        </is>
      </c>
    </row>
    <row r="195">
      <c r="B195" s="64" t="n">
        <v>46179</v>
      </c>
      <c r="C195" s="69" t="inlineStr">
        <is>
          <t>Judith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1500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$166.65 balance due Mon 8 Jun (5 days × $333.33)</t>
        </is>
      </c>
    </row>
    <row r="196">
      <c r="B196" s="64" t="n">
        <v>46181</v>
      </c>
      <c r="C196" s="65" t="inlineStr">
        <is>
          <t>John — Salary Balance + Propinas Week 3 (Mon)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1500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Balance $1,250 + Propinas $250 — paid Mon 8 Jun</t>
        </is>
      </c>
    </row>
    <row r="197">
      <c r="B197" s="64" t="n">
        <v>46181</v>
      </c>
      <c r="C197" s="69" t="inlineStr">
        <is>
          <t>Debi — Salary Balance + Propinas Week 3 (Mon)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750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Balance $500 + Propinas $250 — paid Mon 8 Jun</t>
        </is>
      </c>
    </row>
    <row r="198">
      <c r="B198" s="64" t="n">
        <v>46181</v>
      </c>
      <c r="C198" s="65" t="inlineStr">
        <is>
          <t>Judith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400.65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$166.65 + Propinas $234 — paid Mon 8 Jun</t>
        </is>
      </c>
    </row>
    <row r="199">
      <c r="B199" s="64" t="n">
        <v>46179</v>
      </c>
      <c r="C199" s="69" t="inlineStr">
        <is>
          <t>Aceite La Posada 800 (4 units, 2x1 promo)</t>
        </is>
      </c>
      <c r="D199" s="68" t="inlineStr">
        <is>
          <t>OXXO Pathe QRF</t>
        </is>
      </c>
      <c r="E199" s="69" t="inlineStr">
        <is>
          <t>Ingredients - Pantry</t>
        </is>
      </c>
      <c r="F199" s="70" t="n">
        <v>104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4 units, -$23.60 discount — paid $120 cash, change $16</t>
        </is>
      </c>
    </row>
    <row r="200">
      <c r="B200" s="64" t="n">
        <v>46179</v>
      </c>
      <c r="C200" s="65" t="inlineStr">
        <is>
          <t>Compra Miscelanea Producto Real II</t>
        </is>
      </c>
      <c r="D200" s="66" t="inlineStr">
        <is>
          <t>Misc Producto Real II</t>
        </is>
      </c>
      <c r="E200" s="65" t="inlineStr">
        <is>
          <t>Ingredients - Pantry</t>
        </is>
      </c>
      <c r="F200" s="67" t="n">
        <v>260</v>
      </c>
      <c r="G200" s="14" t="inlineStr">
        <is>
          <t>Restaurant</t>
        </is>
      </c>
      <c r="H200" s="14" t="inlineStr">
        <is>
          <t>Card</t>
        </is>
      </c>
      <c r="I200" s="43" t="inlineStr">
        <is>
          <t>✅ Paid</t>
        </is>
      </c>
      <c r="J200" t="inlineStr">
        <is>
          <t>Mastercard Debit ••••3982 — 06/06/2026 11:47</t>
        </is>
      </c>
    </row>
    <row r="201">
      <c r="B201" s="64" t="n">
        <v>46179</v>
      </c>
      <c r="C201" s="69" t="inlineStr">
        <is>
          <t>Hielo (2 paquetes)</t>
        </is>
      </c>
      <c r="D201" s="68" t="inlineStr">
        <is>
          <t>—</t>
        </is>
      </c>
      <c r="E201" s="69" t="inlineStr">
        <is>
          <t>Supplies / Other</t>
        </is>
      </c>
      <c r="F201" s="70" t="n">
        <v>50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No bill — 2 ice packets</t>
        </is>
      </c>
    </row>
    <row r="202">
      <c r="B202" s="64" t="n">
        <v>46180</v>
      </c>
      <c r="C202" s="65" t="inlineStr">
        <is>
          <t>Frutas y Legumbres variadas (Calabaza, Zanahoria, Limon, Cebolla, Papaya)</t>
        </is>
      </c>
      <c r="D202" s="66" t="inlineStr">
        <is>
          <t>Frutas y Legumbres El Compita</t>
        </is>
      </c>
      <c r="E202" s="65" t="inlineStr">
        <is>
          <t>Ingredients - Fruit</t>
        </is>
      </c>
      <c r="F202" s="67" t="n">
        <v>312</v>
      </c>
      <c r="G202" s="14" t="inlineStr">
        <is>
          <t>Restaurant</t>
        </is>
      </c>
      <c r="H202" s="14" t="inlineStr">
        <is>
          <t>Cash</t>
        </is>
      </c>
      <c r="I202" s="43" t="inlineStr">
        <is>
          <t>✅ Paid</t>
        </is>
      </c>
      <c r="J202" t="inlineStr">
        <is>
          <t>Mercado de Abastos — various produce</t>
        </is>
      </c>
    </row>
    <row r="203">
      <c r="B203" s="64" t="n">
        <v>46180</v>
      </c>
      <c r="C203" s="69" t="inlineStr">
        <is>
          <t>Chile de Arbol Suelto (2 kg)</t>
        </is>
      </c>
      <c r="D203" s="68" t="inlineStr">
        <is>
          <t>Los Morros II</t>
        </is>
      </c>
      <c r="E203" s="69" t="inlineStr">
        <is>
          <t>Ingredients - Vegetables</t>
        </is>
      </c>
      <c r="F203" s="70" t="n">
        <v>240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2 kg × $120/kg — 07/06/2026 11:53</t>
        </is>
      </c>
    </row>
    <row r="204">
      <c r="B204" s="64" t="n">
        <v>46180</v>
      </c>
      <c r="C204" s="65" t="inlineStr">
        <is>
          <t>Papas</t>
        </is>
      </c>
      <c r="D204" s="66" t="inlineStr">
        <is>
          <t>—</t>
        </is>
      </c>
      <c r="E204" s="65" t="inlineStr">
        <is>
          <t>Ingredients - Vegetables</t>
        </is>
      </c>
      <c r="F204" s="67" t="n">
        <v>200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9" t="inlineStr">
        <is>
          <t>Sandia y Jicama</t>
        </is>
      </c>
      <c r="D205" s="68" t="inlineStr">
        <is>
          <t>—</t>
        </is>
      </c>
      <c r="E205" s="69" t="inlineStr">
        <is>
          <t>Ingredients - Fruit</t>
        </is>
      </c>
      <c r="F205" s="70" t="n">
        <v>193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No bill</t>
        </is>
      </c>
    </row>
    <row r="206">
      <c r="B206" s="64" t="n">
        <v>46180</v>
      </c>
      <c r="C206" s="65" t="inlineStr">
        <is>
          <t>Pepino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112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Tomate Verde</t>
        </is>
      </c>
      <c r="D207" s="68" t="inlineStr">
        <is>
          <t>—</t>
        </is>
      </c>
      <c r="E207" s="69" t="inlineStr">
        <is>
          <t>Ingredients - Vegetables</t>
        </is>
      </c>
      <c r="F207" s="70" t="n">
        <v>55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Lechuga, Espinaca, Cilantro, Jengibre, Habanero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328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Chile Serrano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22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Tomate Roja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209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46181</v>
      </c>
      <c r="C211" s="69" t="inlineStr">
        <is>
          <t>Carne Molida (2.020 kg)</t>
        </is>
      </c>
      <c r="D211" s="68" t="inlineStr">
        <is>
          <t>Miscelanea LC La Cruz</t>
        </is>
      </c>
      <c r="E211" s="69" t="inlineStr">
        <is>
          <t>Ingredients - Meat</t>
        </is>
      </c>
      <c r="F211" s="70" t="n">
        <v>273</v>
      </c>
      <c r="G211" s="23" t="inlineStr">
        <is>
          <t>Restaurant</t>
        </is>
      </c>
      <c r="H211" s="23" t="inlineStr">
        <is>
          <t>Card</t>
        </is>
      </c>
      <c r="I211" s="55" t="inlineStr">
        <is>
          <t>✅ Paid</t>
        </is>
      </c>
      <c r="J211" t="inlineStr">
        <is>
          <t>2.020kg x $135/kg — Getnet 08/06/2026 11:01</t>
        </is>
      </c>
    </row>
    <row r="212">
      <c r="B212" s="64" t="n">
        <v>46181</v>
      </c>
      <c r="C212" s="65" t="inlineStr">
        <is>
          <t>Pure de Tomate Del (2 units)</t>
        </is>
      </c>
      <c r="D212" s="66" t="inlineStr">
        <is>
          <t>Chedraui Paseo</t>
        </is>
      </c>
      <c r="E212" s="65" t="inlineStr">
        <is>
          <t>Ingredients - Pantry</t>
        </is>
      </c>
      <c r="F212" s="67" t="n">
        <v>68</v>
      </c>
      <c r="G212" s="14" t="inlineStr">
        <is>
          <t>Restaurant</t>
        </is>
      </c>
      <c r="H212" s="14" t="inlineStr">
        <is>
          <t>Card</t>
        </is>
      </c>
      <c r="I212" s="43" t="inlineStr">
        <is>
          <t>✅ Paid</t>
        </is>
      </c>
      <c r="J212" t="inlineStr">
        <is>
          <t>2 x $34 — Folio 2606 0809 0301 8507 0068</t>
        </is>
      </c>
    </row>
    <row r="213">
      <c r="B213" s="64" t="n">
        <v>46181</v>
      </c>
      <c r="C213" s="69" t="inlineStr">
        <is>
          <t>Tortillas Blanca K (2.960 kg)</t>
        </is>
      </c>
      <c r="D213" s="68" t="inlineStr">
        <is>
          <t>Chedraui Paseo</t>
        </is>
      </c>
      <c r="E213" s="69" t="inlineStr">
        <is>
          <t>Ingredients - Pantry</t>
        </is>
      </c>
      <c r="F213" s="70" t="n">
        <v>39.66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2.960kg x $13.40</t>
        </is>
      </c>
    </row>
    <row r="214">
      <c r="B214" s="64" t="n">
        <v>46181</v>
      </c>
      <c r="C214" s="65" t="inlineStr">
        <is>
          <t>Bolillo (8 pcs)</t>
        </is>
      </c>
      <c r="D214" s="66" t="inlineStr">
        <is>
          <t>Chedraui Paseo</t>
        </is>
      </c>
      <c r="E214" s="65" t="inlineStr">
        <is>
          <t>Ingredients - Bread</t>
        </is>
      </c>
      <c r="F214" s="67" t="n">
        <v>16.8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8 x $2.10</t>
        </is>
      </c>
    </row>
    <row r="215">
      <c r="B215" s="64" t="n">
        <v>46181</v>
      </c>
      <c r="C215" s="69" t="inlineStr">
        <is>
          <t>Rosca Marmoleada</t>
        </is>
      </c>
      <c r="D215" s="68" t="inlineStr">
        <is>
          <t>Chedraui Paseo</t>
        </is>
      </c>
      <c r="E215" s="69" t="inlineStr">
        <is>
          <t>Ingredients - Bread</t>
        </is>
      </c>
      <c r="F215" s="70" t="n">
        <v>89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Total Chedraui $213.46 — BBVA ••••3982</t>
        </is>
      </c>
    </row>
    <row r="216">
      <c r="B216" s="64" t="n">
        <v>46181</v>
      </c>
      <c r="C216" s="65" t="inlineStr">
        <is>
          <t>Hielo</t>
        </is>
      </c>
      <c r="D216" s="66" t="inlineStr">
        <is>
          <t>—</t>
        </is>
      </c>
      <c r="E216" s="65" t="inlineStr">
        <is>
          <t>Supplies / Other</t>
        </is>
      </c>
      <c r="F216" s="67" t="n">
        <v>50</v>
      </c>
      <c r="G216" s="14" t="inlineStr">
        <is>
          <t>Restaurant</t>
        </is>
      </c>
      <c r="H216" s="14" t="inlineStr">
        <is>
          <t>Cash</t>
        </is>
      </c>
      <c r="I216" s="43" t="inlineStr">
        <is>
          <t>✅ Paid</t>
        </is>
      </c>
      <c r="J216" t="inlineStr">
        <is>
          <t>No bill</t>
        </is>
      </c>
    </row>
    <row r="217">
      <c r="B217" s="64" t="n">
        <v>46182</v>
      </c>
      <c r="C217" s="69" t="inlineStr">
        <is>
          <t>Queso Gouda Menona (2.04 kg)</t>
        </is>
      </c>
      <c r="D217" s="68" t="inlineStr">
        <is>
          <t>La Bodega del Buen Queso</t>
        </is>
      </c>
      <c r="E217" s="69" t="inlineStr">
        <is>
          <t>Ingredients - Dairy</t>
        </is>
      </c>
      <c r="F217" s="70" t="n">
        <v>275.4</v>
      </c>
      <c r="G217" s="23" t="inlineStr">
        <is>
          <t>Restaurant</t>
        </is>
      </c>
      <c r="H217" s="23" t="inlineStr">
        <is>
          <t>Cash</t>
        </is>
      </c>
      <c r="I217" s="55" t="inlineStr">
        <is>
          <t>✅ Paid</t>
        </is>
      </c>
      <c r="J217" t="inlineStr">
        <is>
          <t>2.04 kg x $135 — Nota 0031847, 09/jun/2026 10:10</t>
        </is>
      </c>
    </row>
    <row r="218">
      <c r="B218" s="64" t="n">
        <v>46182</v>
      </c>
      <c r="C218" s="65" t="inlineStr">
        <is>
          <t>Muslo de Pollo (4.40 kg)</t>
        </is>
      </c>
      <c r="D218" s="66" t="inlineStr">
        <is>
          <t>Remision</t>
        </is>
      </c>
      <c r="E218" s="65" t="inlineStr">
        <is>
          <t>Ingredients - Meat</t>
        </is>
      </c>
      <c r="F218" s="67" t="n">
        <v>220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4.40 kg x $50 — Remision 09/06/26</t>
        </is>
      </c>
    </row>
    <row r="219">
      <c r="B219" s="64" t="n">
        <v>46182</v>
      </c>
      <c r="C219" s="69" t="inlineStr">
        <is>
          <t>Pechuga de Pollo (3.95 kg)</t>
        </is>
      </c>
      <c r="D219" s="68" t="inlineStr">
        <is>
          <t>Remision</t>
        </is>
      </c>
      <c r="E219" s="69" t="inlineStr">
        <is>
          <t>Ingredients - Meat</t>
        </is>
      </c>
      <c r="F219" s="70" t="n">
        <v>455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3.95 kg x $115 — Remision 09/06/26 total $675</t>
        </is>
      </c>
    </row>
    <row r="220">
      <c r="B220" s="64" t="n">
        <v>46182</v>
      </c>
      <c r="C220" s="65" t="inlineStr">
        <is>
          <t>Jamon Deli Pierna Manolina</t>
        </is>
      </c>
      <c r="D220" s="66" t="inlineStr">
        <is>
          <t>San Juan Salchichonerias</t>
        </is>
      </c>
      <c r="E220" s="65" t="inlineStr">
        <is>
          <t>Ingredients - Meat</t>
        </is>
      </c>
      <c r="F220" s="67" t="n">
        <v>172.35</v>
      </c>
      <c r="G220" s="14" t="inlineStr">
        <is>
          <t>Restaurant</t>
        </is>
      </c>
      <c r="H220" s="14" t="inlineStr">
        <is>
          <t>Card</t>
        </is>
      </c>
      <c r="I220" s="43" t="inlineStr">
        <is>
          <t>✅ Paid</t>
        </is>
      </c>
      <c r="J220" t="inlineStr">
        <is>
          <t>After $24.56 discount — Rappi/Banregio ••••3982, 09/06/2026 10:20</t>
        </is>
      </c>
    </row>
    <row r="221">
      <c r="B221" s="64" t="n">
        <v>46182</v>
      </c>
      <c r="C221" s="69" t="inlineStr">
        <is>
          <t>Ribeye</t>
        </is>
      </c>
      <c r="D221" s="68" t="inlineStr">
        <is>
          <t>Miscelanea LC La Cruz</t>
        </is>
      </c>
      <c r="E221" s="69" t="inlineStr">
        <is>
          <t>Ingredients - Meat</t>
        </is>
      </c>
      <c r="F221" s="70" t="n">
        <v>426</v>
      </c>
      <c r="G221" s="23" t="inlineStr">
        <is>
          <t>Restaurant</t>
        </is>
      </c>
      <c r="H221" s="23" t="inlineStr">
        <is>
          <t>Card</t>
        </is>
      </c>
      <c r="I221" s="55" t="inlineStr">
        <is>
          <t>✅ Paid</t>
        </is>
      </c>
      <c r="J221" t="inlineStr">
        <is>
          <t>Getnet $529 total — 09/06/2026 10:16</t>
        </is>
      </c>
    </row>
    <row r="222">
      <c r="B222" s="64" t="n">
        <v>46182</v>
      </c>
      <c r="C222" s="65" t="inlineStr">
        <is>
          <t>Bistec Cerdo</t>
        </is>
      </c>
      <c r="D222" s="66" t="inlineStr">
        <is>
          <t>Miscelanea LC La Cruz</t>
        </is>
      </c>
      <c r="E222" s="65" t="inlineStr">
        <is>
          <t>Ingredients - Meat</t>
        </is>
      </c>
      <c r="F222" s="67" t="n">
        <v>103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Part of same Getnet $529 remision</t>
        </is>
      </c>
    </row>
    <row r="223">
      <c r="B223" s="64" t="n">
        <v>46182</v>
      </c>
      <c r="C223" s="69" t="inlineStr">
        <is>
          <t>Aceite La Posada 800 (x4, 2x1 promo)</t>
        </is>
      </c>
      <c r="D223" s="68" t="inlineStr">
        <is>
          <t>OXXO Pathe QRF</t>
        </is>
      </c>
      <c r="E223" s="69" t="inlineStr">
        <is>
          <t>Ingredients - Pantry</t>
        </is>
      </c>
      <c r="F223" s="70" t="n">
        <v>104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4 units after $23.60 promo discount — 09/06/2026 09:28</t>
        </is>
      </c>
    </row>
    <row r="224">
      <c r="B224" s="64" t="n">
        <v>46182</v>
      </c>
      <c r="C224" s="65" t="inlineStr">
        <is>
          <t>UHT Lala Entera 1.5L (x2)</t>
        </is>
      </c>
      <c r="D224" s="66" t="inlineStr">
        <is>
          <t>OXXO Pathe QRF</t>
        </is>
      </c>
      <c r="E224" s="65" t="inlineStr">
        <is>
          <t>Ingredients - Dairy</t>
        </is>
      </c>
      <c r="F224" s="67" t="n">
        <v>93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2 x $56 with $9.50 discount each = $93 — 09/06/2026 09:39</t>
        </is>
      </c>
    </row>
    <row r="225">
      <c r="B225" s="64" t="n">
        <v>46182</v>
      </c>
      <c r="C225" s="69" t="inlineStr">
        <is>
          <t>Lenteja Grande Granel (2 kg)</t>
        </is>
      </c>
      <c r="D225" s="68" t="inlineStr">
        <is>
          <t>Molino y Condimentos La Cruz</t>
        </is>
      </c>
      <c r="E225" s="69" t="inlineStr">
        <is>
          <t>Ingredients - Pantry</t>
        </is>
      </c>
      <c r="F225" s="70" t="n">
        <v>48</v>
      </c>
      <c r="G225" s="23" t="inlineStr">
        <is>
          <t>Restaurant</t>
        </is>
      </c>
      <c r="H225" s="23" t="inlineStr">
        <is>
          <t>Cash</t>
        </is>
      </c>
      <c r="I225" s="55" t="inlineStr">
        <is>
          <t>✅ Paid</t>
        </is>
      </c>
      <c r="J225" t="inlineStr">
        <is>
          <t>Nota 200483 — 09/06/2026</t>
        </is>
      </c>
    </row>
    <row r="226">
      <c r="B226" s="64" t="n">
        <v>46182</v>
      </c>
      <c r="C226" s="65" t="inlineStr">
        <is>
          <t>Hielo</t>
        </is>
      </c>
      <c r="D226" s="66" t="inlineStr">
        <is>
          <t>—</t>
        </is>
      </c>
      <c r="E226" s="65" t="inlineStr">
        <is>
          <t>Supplies / Other</t>
        </is>
      </c>
      <c r="F226" s="67" t="n">
        <v>50</v>
      </c>
      <c r="G226" s="14" t="inlineStr">
        <is>
          <t>Restaurant</t>
        </is>
      </c>
      <c r="H226" s="14" t="inlineStr">
        <is>
          <t>Cash</t>
        </is>
      </c>
      <c r="I226" s="43" t="inlineStr">
        <is>
          <t>✅ Paid</t>
        </is>
      </c>
      <c r="J226" t="inlineStr">
        <is>
          <t>No bill</t>
        </is>
      </c>
    </row>
    <row r="227">
      <c r="B227" s="64" t="n">
        <v>46182</v>
      </c>
      <c r="C227" s="69" t="inlineStr">
        <is>
          <t>Tea Zone Concentrado Lichi 1.9L</t>
        </is>
      </c>
      <c r="D227" s="68" t="inlineStr">
        <is>
          <t>Etrusca</t>
        </is>
      </c>
      <c r="E227" s="69" t="inlineStr">
        <is>
          <t>Ingredients - Beverages</t>
        </is>
      </c>
      <c r="F227" s="70" t="n">
        <v>679.01</v>
      </c>
      <c r="G227" s="23" t="inlineStr">
        <is>
          <t>Restaurant</t>
        </is>
      </c>
      <c r="H227" s="23" t="inlineStr">
        <is>
          <t>Card</t>
        </is>
      </c>
      <c r="I227" s="55" t="inlineStr">
        <is>
          <t>✅ Paid</t>
        </is>
      </c>
      <c r="J227" t="inlineStr">
        <is>
          <t>Folio 005C01FR44612 incl IVA</t>
        </is>
      </c>
    </row>
    <row r="228">
      <c r="B228" s="64" t="n">
        <v>46182</v>
      </c>
      <c r="C228" s="65" t="inlineStr">
        <is>
          <t>Tea Zone Concentrado Fresa 1.9L</t>
        </is>
      </c>
      <c r="D228" s="66" t="inlineStr">
        <is>
          <t>Etrusca</t>
        </is>
      </c>
      <c r="E228" s="65" t="inlineStr">
        <is>
          <t>Ingredients - Beverages</t>
        </is>
      </c>
      <c r="F228" s="67" t="n">
        <v>679.01</v>
      </c>
      <c r="G228" s="14" t="inlineStr">
        <is>
          <t>Restaurant</t>
        </is>
      </c>
      <c r="H228" s="14" t="inlineStr">
        <is>
          <t>Card</t>
        </is>
      </c>
      <c r="I228" s="43" t="inlineStr">
        <is>
          <t>✅ Paid</t>
        </is>
      </c>
      <c r="J228" t="inlineStr">
        <is>
          <t>incl IVA 93.66</t>
        </is>
      </c>
    </row>
    <row r="229">
      <c r="B229" s="64" t="n">
        <v>46182</v>
      </c>
      <c r="C229" s="69" t="inlineStr">
        <is>
          <t>Tea Zone Concentrado Maracuya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incl IVA 93.66</t>
        </is>
      </c>
    </row>
    <row r="230">
      <c r="B230" s="64" t="n">
        <v>46182</v>
      </c>
      <c r="C230" s="65" t="inlineStr">
        <is>
          <t>Tea Zone Concentrado Mango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Chillout Mix Base Taro 2kg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592.37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Frappe base powder</t>
        </is>
      </c>
    </row>
    <row r="232">
      <c r="B232" s="64" t="n">
        <v>46182</v>
      </c>
      <c r="C232" s="65" t="inlineStr">
        <is>
          <t>Chillout Mix Base Te Matcha 2kg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792.8200000000001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Frappe base powder</t>
        </is>
      </c>
    </row>
    <row r="233">
      <c r="B233" s="64" t="n">
        <v>46182</v>
      </c>
      <c r="C233" s="69" t="inlineStr">
        <is>
          <t>Jarabe Agave Caramelo 1L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177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Agave syrup</t>
        </is>
      </c>
    </row>
    <row r="234">
      <c r="B234" s="64" t="n">
        <v>46182</v>
      </c>
      <c r="C234" s="65" t="inlineStr">
        <is>
          <t>Jarabe Agave Crema Irlandesa 1L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177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Agave syrup</t>
        </is>
      </c>
    </row>
    <row r="235">
      <c r="B235" s="64" t="n">
        <v>46182</v>
      </c>
      <c r="C235" s="69" t="inlineStr">
        <is>
          <t>Jarabe Agave Vainilla Francesa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Etrusca total 4632.23 MC 2684 17:00</t>
        </is>
      </c>
    </row>
    <row r="236">
      <c r="B236" s="64" t="n">
        <v>46183</v>
      </c>
      <c r="C236" s="65" t="inlineStr">
        <is>
          <t>Groceries — Elote, Chile Poblano, Tomate, Tortillas, Bolillo</t>
        </is>
      </c>
      <c r="D236" s="66" t="inlineStr">
        <is>
          <t>Chedraui Paseo</t>
        </is>
      </c>
      <c r="E236" s="65" t="inlineStr">
        <is>
          <t>Supermarket / General</t>
        </is>
      </c>
      <c r="F236" s="67" t="n">
        <v>236.81</v>
      </c>
      <c r="G236" s="14" t="inlineStr">
        <is>
          <t>Lohith (Personal)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Paid personally by Lohith — reimburse · HSBC **5543 · 14 items</t>
        </is>
      </c>
    </row>
    <row r="237">
      <c r="B237" s="64" t="n">
        <v>46183</v>
      </c>
      <c r="C237" s="69" t="inlineStr">
        <is>
          <t>Comanda Restaurante (order pad)</t>
        </is>
      </c>
      <c r="D237" s="68" t="inlineStr">
        <is>
          <t>Office Depot</t>
        </is>
      </c>
      <c r="E237" s="69" t="inlineStr">
        <is>
          <t>Supplies / Other</t>
        </is>
      </c>
      <c r="F237" s="70" t="n">
        <v>59</v>
      </c>
      <c r="G237" s="23" t="inlineStr">
        <is>
          <t>Lohith (Personal)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Paid personally by Lohith — reimburse · MC **5543</t>
        </is>
      </c>
    </row>
    <row r="238">
      <c r="B238" s="64" t="n">
        <v>46183</v>
      </c>
      <c r="C238" s="65" t="inlineStr">
        <is>
          <t>Aguas Frescas 1LT — Horchata/Jamaica/Naranjada/Tamarindo (24 pcs + 4 canje)</t>
        </is>
      </c>
      <c r="D238" s="66" t="inlineStr">
        <is>
          <t>Reca del Bajio</t>
        </is>
      </c>
      <c r="E238" s="65" t="inlineStr">
        <is>
          <t>Ingredients - Beverages</t>
        </is>
      </c>
      <c r="F238" s="67" t="n">
        <v>600</v>
      </c>
      <c r="G238" s="14" t="inlineStr">
        <is>
          <t>Restaurant</t>
        </is>
      </c>
      <c r="H238" s="14" t="inlineStr">
        <is>
          <t>Cash</t>
        </is>
      </c>
      <c r="I238" s="43" t="inlineStr">
        <is>
          <t>✅ Paid</t>
        </is>
      </c>
      <c r="J238" t="inlineStr">
        <is>
          <t>6 pcs each flavor @ $21.55 + IVA · 4 free pcs (canje) · payment method assumed cash</t>
        </is>
      </c>
    </row>
    <row r="239">
      <c r="B239" s="64" t="n">
        <v>46183</v>
      </c>
      <c r="C239" s="69" t="inlineStr">
        <is>
          <t>Bistec de Cerdo (pork steak)</t>
        </is>
      </c>
      <c r="D239" s="68" t="inlineStr">
        <is>
          <t>Miscelánea LC La Cruz</t>
        </is>
      </c>
      <c r="E239" s="69" t="inlineStr">
        <is>
          <t>Ingredients - Meat</t>
        </is>
      </c>
      <c r="F239" s="70" t="n">
        <v>194</v>
      </c>
      <c r="G239" s="23" t="inlineStr">
        <is>
          <t>Restaurant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Getnet card slip + handwritten remision B. Cerdo - Aut 975901</t>
        </is>
      </c>
    </row>
    <row r="240">
      <c r="B240" s="64" t="n">
        <v>46184</v>
      </c>
      <c r="C240" s="65" t="inlineStr">
        <is>
          <t>Costillas de Cerdo $315 + Bistec de Cerdo $190 + Carne Molida $409</t>
        </is>
      </c>
      <c r="D240" s="66" t="inlineStr">
        <is>
          <t>Miscelánea LC La Cruz</t>
        </is>
      </c>
      <c r="E240" s="65" t="inlineStr">
        <is>
          <t>Ingredients - Meat</t>
        </is>
      </c>
      <c r="F240" s="67" t="n">
        <v>914</v>
      </c>
      <c r="G240" s="14" t="inlineStr">
        <is>
          <t>Restaurant</t>
        </is>
      </c>
      <c r="H240" s="14" t="inlineStr">
        <is>
          <t>Card</t>
        </is>
      </c>
      <c r="I240" s="43" t="inlineStr">
        <is>
          <t>✅ Paid</t>
        </is>
      </c>
      <c r="J240" t="inlineStr">
        <is>
          <t>Getnet slip $914 · ML debit MC · Aut 291606 · 08:59</t>
        </is>
      </c>
    </row>
    <row r="241">
      <c r="B241" s="64" t="n">
        <v>46184</v>
      </c>
      <c r="C241" s="69" t="inlineStr">
        <is>
          <t>Ala de Pollo $975 + Papa Harvest 13.62kg $690 + Boneless Freskecito $1,200</t>
        </is>
      </c>
      <c r="D241" s="68" t="inlineStr">
        <is>
          <t>ALICO (Cerro de las Campanas)</t>
        </is>
      </c>
      <c r="E241" s="69" t="inlineStr">
        <is>
          <t>Ingredients - Meat</t>
        </is>
      </c>
      <c r="F241" s="70" t="n">
        <v>2865</v>
      </c>
      <c r="G241" s="23" t="inlineStr">
        <is>
          <t>Restaurant</t>
        </is>
      </c>
      <c r="H241" s="23" t="inlineStr">
        <is>
          <t>Cash</t>
        </is>
      </c>
      <c r="I241" s="55" t="inlineStr">
        <is>
          <t>✅ Paid</t>
        </is>
      </c>
      <c r="J241" t="inlineStr">
        <is>
          <t>Paid cash exact $2,865 · 08:22 AM</t>
        </is>
      </c>
    </row>
    <row r="242">
      <c r="B242" s="64" t="n">
        <v>46184</v>
      </c>
      <c r="C242" s="65" t="inlineStr">
        <is>
          <t>Muslo de Pollo 4.70 kg @ $50</t>
        </is>
      </c>
      <c r="D242" s="66" t="inlineStr">
        <is>
          <t>Pollería (nota de remisión)</t>
        </is>
      </c>
      <c r="E242" s="65" t="inlineStr">
        <is>
          <t>Ingredients - Meat</t>
        </is>
      </c>
      <c r="F242" s="67" t="n">
        <v>235</v>
      </c>
      <c r="G242" s="14" t="inlineStr">
        <is>
          <t>Restaurant</t>
        </is>
      </c>
      <c r="H242" s="14" t="inlineStr">
        <is>
          <t>Cash</t>
        </is>
      </c>
      <c r="I242" s="43" t="inlineStr">
        <is>
          <t>✅ Paid</t>
        </is>
      </c>
      <c r="J242" t="inlineStr">
        <is>
          <t>Pink nota "Oh Lele" · marked Cobrado</t>
        </is>
      </c>
    </row>
    <row r="243">
      <c r="B243" s="64" t="n">
        <v>46182</v>
      </c>
      <c r="C243" s="69" t="inlineStr">
        <is>
          <t>Agua Natural — 3 bottles</t>
        </is>
      </c>
      <c r="D243" s="68" t="inlineStr">
        <is>
          <t>Local purchase</t>
        </is>
      </c>
      <c r="E243" s="69" t="inlineStr">
        <is>
          <t>Ingredients - Beverages</t>
        </is>
      </c>
      <c r="F243" s="70" t="n">
        <v>45</v>
      </c>
      <c r="G243" s="23" t="inlineStr">
        <is>
          <t>Restaurant</t>
        </is>
      </c>
      <c r="H243" s="23" t="inlineStr">
        <is>
          <t>Cash</t>
        </is>
      </c>
      <c r="I243" s="55" t="inlineStr">
        <is>
          <t>✅ Paid</t>
        </is>
      </c>
      <c r="J243" t="inlineStr">
        <is>
          <t>Logged retroactively (no receipt)</t>
        </is>
      </c>
    </row>
    <row r="244">
      <c r="B244" s="64" t="n">
        <v>46184</v>
      </c>
      <c r="C244" s="65" t="inlineStr">
        <is>
          <t>Agua Natural — 2 bottles</t>
        </is>
      </c>
      <c r="D244" s="66" t="inlineStr">
        <is>
          <t>Local purchase</t>
        </is>
      </c>
      <c r="E244" s="65" t="inlineStr">
        <is>
          <t>Ingredients - Beverages</t>
        </is>
      </c>
      <c r="F244" s="67" t="n">
        <v>30</v>
      </c>
      <c r="G244" s="14" t="inlineStr">
        <is>
          <t>Restaurant</t>
        </is>
      </c>
      <c r="H244" s="14" t="inlineStr">
        <is>
          <t>Cash</t>
        </is>
      </c>
      <c r="I244" s="43" t="inlineStr">
        <is>
          <t>✅ Paid</t>
        </is>
      </c>
      <c r="J244" t="inlineStr">
        <is>
          <t>Logged retroactively (no receipt)</t>
        </is>
      </c>
    </row>
    <row r="245">
      <c r="B245" s="64" t="n">
        <v>46183</v>
      </c>
      <c r="C245" s="69" t="inlineStr">
        <is>
          <t>Pasta (caracol, codo, fusilli) + Roma detergent 1kg</t>
        </is>
      </c>
      <c r="D245" s="68" t="inlineStr">
        <is>
          <t>Tiendas 3B (La Pradera)</t>
        </is>
      </c>
      <c r="E245" s="69" t="inlineStr">
        <is>
          <t>Supermarket / General</t>
        </is>
      </c>
      <c r="F245" s="70" t="n">
        <v>252</v>
      </c>
      <c r="G245" s="23" t="inlineStr">
        <is>
          <t>Restaurant</t>
        </is>
      </c>
      <c r="H245" s="23" t="inlineStr">
        <is>
          <t>Card</t>
        </is>
      </c>
      <c r="I245" s="55" t="inlineStr">
        <is>
          <t>✅ Paid</t>
        </is>
      </c>
      <c r="J245" t="inlineStr">
        <is>
          <t>Ticket 188 · 19:25 · card Banco Plata **2684 · logged 11 Jun</t>
        </is>
      </c>
    </row>
    <row r="246">
      <c r="B246" s="64" t="n">
        <v>46185</v>
      </c>
      <c r="C246" s="65" t="inlineStr">
        <is>
          <t>Leche PL UHT Nutri 1LT (2 pcs)</t>
        </is>
      </c>
      <c r="D246" s="66" t="inlineStr">
        <is>
          <t>OXXO Acueducto</t>
        </is>
      </c>
      <c r="E246" s="65" t="inlineStr">
        <is>
          <t>Ingredients - Dairy</t>
        </is>
      </c>
      <c r="F246" s="67" t="n">
        <v>42</v>
      </c>
      <c r="G246" s="14" t="inlineStr">
        <is>
          <t>Restaurant</t>
        </is>
      </c>
      <c r="H246" s="14" t="inlineStr">
        <is>
          <t>Card</t>
        </is>
      </c>
      <c r="I246" s="43" t="inlineStr">
        <is>
          <t>✅ Paid</t>
        </is>
      </c>
      <c r="J246" t="inlineStr">
        <is>
          <t>ML debit **3982 · Aut 324051 · 10:13</t>
        </is>
      </c>
    </row>
    <row r="247">
      <c r="B247" s="64" t="n">
        <v>46185</v>
      </c>
      <c r="C247" s="69" t="inlineStr">
        <is>
          <t>Pan hamburguesa ajonjolí (36) + Chapata grande (24)</t>
        </is>
      </c>
      <c r="D247" s="68" t="inlineStr">
        <is>
          <t>Productos Real (La Cruz)</t>
        </is>
      </c>
      <c r="E247" s="69" t="inlineStr">
        <is>
          <t>Ingredients - Bread</t>
        </is>
      </c>
      <c r="F247" s="70" t="n">
        <v>546</v>
      </c>
      <c r="G247" s="23" t="inlineStr">
        <is>
          <t>Restaurant</t>
        </is>
      </c>
      <c r="H247" s="23" t="inlineStr">
        <is>
          <t>Card</t>
        </is>
      </c>
      <c r="I247" s="55" t="inlineStr">
        <is>
          <t>✅ Paid</t>
        </is>
      </c>
      <c r="J247" t="inlineStr">
        <is>
          <t>Folio 4251 · debit · 09:38</t>
        </is>
      </c>
    </row>
    <row r="248">
      <c r="B248" s="64" t="n">
        <v>46185</v>
      </c>
      <c r="C248" s="65" t="inlineStr">
        <is>
          <t>Aceite Vegetal La Posada 800 (2 pcs)</t>
        </is>
      </c>
      <c r="D248" s="66" t="inlineStr">
        <is>
          <t>OXXO Pathe</t>
        </is>
      </c>
      <c r="E248" s="65" t="inlineStr">
        <is>
          <t>Ingredients - Other</t>
        </is>
      </c>
      <c r="F248" s="67" t="n">
        <v>104</v>
      </c>
      <c r="G248" s="14" t="inlineStr">
        <is>
          <t>Restaurant</t>
        </is>
      </c>
      <c r="H248" s="14" t="inlineStr">
        <is>
          <t>Card</t>
        </is>
      </c>
      <c r="I248" s="43" t="inlineStr">
        <is>
          <t>✅ Paid</t>
        </is>
      </c>
      <c r="J248" t="inlineStr">
        <is>
          <t>ML debit **3982 · Aut 468013 · 09:22</t>
        </is>
      </c>
    </row>
    <row r="249">
      <c r="B249" s="64" t="n">
        <v>46185</v>
      </c>
      <c r="C249" s="69" t="inlineStr">
        <is>
          <t>Plátano + Tortillas Blancas + Rosca Marmoleada</t>
        </is>
      </c>
      <c r="D249" s="68" t="inlineStr">
        <is>
          <t>Chedraui Paseo</t>
        </is>
      </c>
      <c r="E249" s="69" t="inlineStr">
        <is>
          <t>Supermarket / General</t>
        </is>
      </c>
      <c r="F249" s="70" t="n">
        <v>161.8</v>
      </c>
      <c r="G249" s="23" t="inlineStr">
        <is>
          <t>Restaurant</t>
        </is>
      </c>
      <c r="H249" s="23" t="inlineStr">
        <is>
          <t>Card</t>
        </is>
      </c>
      <c r="I249" s="55" t="inlineStr">
        <is>
          <t>✅ Paid</t>
        </is>
      </c>
      <c r="J249" t="inlineStr">
        <is>
          <t>Debit BBVA **3982 · Aut 200580 · 09:02</t>
        </is>
      </c>
    </row>
    <row r="250">
      <c r="B250" s="64" t="n">
        <v>46185</v>
      </c>
      <c r="C250" s="65" t="inlineStr">
        <is>
          <t>Lechugas (lettuce)</t>
        </is>
      </c>
      <c r="D250" s="66" t="inlineStr">
        <is>
          <t>Local purchase</t>
        </is>
      </c>
      <c r="E250" s="65" t="inlineStr">
        <is>
          <t>Ingredients - Produce</t>
        </is>
      </c>
      <c r="F250" s="67" t="n">
        <v>48</v>
      </c>
      <c r="G250" s="14" t="inlineStr">
        <is>
          <t>Restaurant</t>
        </is>
      </c>
      <c r="H250" s="14" t="inlineStr">
        <is>
          <t>Cash</t>
        </is>
      </c>
      <c r="I250" s="43" t="inlineStr">
        <is>
          <t>✅ Paid</t>
        </is>
      </c>
      <c r="J250" t="inlineStr">
        <is>
          <t>No receipt — logged manually</t>
        </is>
      </c>
    </row>
    <row r="251">
      <c r="B251" s="64" t="n">
        <v>46186</v>
      </c>
      <c r="C251" s="69" t="inlineStr">
        <is>
          <t>Empanizador Bimbo, especias, tomate, pimiento verde, papa, mole, tortillas (14 art.)</t>
        </is>
      </c>
      <c r="D251" s="68" t="inlineStr">
        <is>
          <t>Chedraui Paseo</t>
        </is>
      </c>
      <c r="E251" s="69" t="inlineStr">
        <is>
          <t>Supermarket / General</t>
        </is>
      </c>
      <c r="F251" s="70" t="n">
        <v>468.16</v>
      </c>
      <c r="G251" s="23" t="inlineStr">
        <is>
          <t>Restaurant</t>
        </is>
      </c>
      <c r="H251" s="23" t="inlineStr">
        <is>
          <t>Card</t>
        </is>
      </c>
      <c r="I251" s="55" t="inlineStr">
        <is>
          <t>✅ Paid</t>
        </is>
      </c>
      <c r="J251" t="inlineStr">
        <is>
          <t>Debit BBVA **3982 · Aut 641502 · 09:19 · Folio 2606-1309-1901</t>
        </is>
      </c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9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</t>
        </is>
      </c>
      <c r="B12" s="98" t="inlineStr">
        <is>
          <t>Mesero / Waiter</t>
        </is>
      </c>
      <c r="C12" s="99" t="n">
        <v>333.33</v>
      </c>
      <c r="D12" s="100" t="inlineStr">
        <is>
          <t>Full Day</t>
        </is>
      </c>
      <c r="E12" s="100" t="inlineStr">
        <is>
          <t>Full Day</t>
        </is>
      </c>
      <c r="F12" s="100" t="inlineStr">
        <is>
          <t>Full Day</t>
        </is>
      </c>
      <c r="G12" s="100" t="inlineStr">
        <is>
          <t>Full Day</t>
        </is>
      </c>
      <c r="H12" s="100" t="inlineStr">
        <is>
          <t>Full Day</t>
        </is>
      </c>
      <c r="I12" s="100" t="inlineStr">
        <is>
          <t>Full Day</t>
        </is>
      </c>
      <c r="J12" s="100" t="inlineStr">
        <is>
          <t>Day Off</t>
        </is>
      </c>
      <c r="K12" s="101">
        <f>COUNTIF(D12:J12,"Full Day")</f>
        <v/>
      </c>
      <c r="L12" s="102">
        <f>K12*C12</f>
        <v/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133.33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Full Day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</t>
        </is>
      </c>
      <c r="B37" s="222" t="n">
        <v>2000</v>
      </c>
      <c r="C37" s="259" t="n">
        <v>8000</v>
      </c>
      <c r="D37" s="260" t="inlineStr">
        <is>
          <t>Confirmed — $2,000/week | $333.33/day | Start 9 Jun 2026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$133.33/day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26" t="inlineStr">
        <is>
          <t>TOTALS &amp; CURRENT BALANCE</t>
        </is>
      </c>
      <c r="B74" s="219" t="n"/>
      <c r="C74" s="219" t="n"/>
      <c r="D74" s="256">
        <f>SUM(D63:D73)</f>
        <v/>
      </c>
      <c r="E74" s="257">
        <f>SUM(E63:E73)</f>
        <v/>
      </c>
      <c r="F74" s="258">
        <f>F73</f>
        <v/>
      </c>
      <c r="G74" s="226">
        <f>IF(F73&gt;0,"⏳ Restaurant owes Lohith $"&amp;TEXT(F73,"#,##0"),IF(F73&lt;0,"💵 Lohith holds $"&amp;TEXT(ABS(F73),"#,##0"),"✅ Zero balance"))</f>
        <v/>
      </c>
    </row>
    <row r="76">
      <c r="A76" s="242" t="inlineStr">
        <is>
          <t>HOW TO USE: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Add new rows above TOTALS. Spent by Lohith = restaurant expenses he paid personally.</t>
        </is>
      </c>
      <c r="B77" s="242" t="n"/>
      <c r="C77" s="242" t="n"/>
      <c r="D77" s="242" t="n"/>
      <c r="E77" s="242" t="n"/>
      <c r="F77" s="242" t="n"/>
      <c r="G77" s="242" t="n"/>
      <c r="H77" s="242" t="n"/>
    </row>
    <row r="78">
      <c r="A78" s="242" t="inlineStr">
        <is>
          <t>Transferred to Lohith = customer bank transfers received in his personal account.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Positive balance = restaurant owes Lohith. Negative = Lohith holds restaurant funds.</t>
        </is>
      </c>
      <c r="B79" s="242" t="n"/>
      <c r="C79" s="242" t="n"/>
      <c r="D79" s="242" t="n"/>
      <c r="E79" s="242" t="n"/>
      <c r="F79" s="242" t="n"/>
      <c r="G79" s="242" t="n"/>
      <c r="H79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2026-06-15T12:54:10Z</dcterms:modified>
  <cp:lastModifiedBy>LOHITH REDDY</cp:lastModifiedBy>
</cp:coreProperties>
</file>