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85" t="n">
        <v>46209</v>
      </c>
      <c r="C56" s="386" t="inlineStr">
        <is>
          <t>Mon</t>
        </is>
      </c>
      <c r="D56" s="387" t="n">
        <v>2190</v>
      </c>
      <c r="E56" s="37" t="n">
        <v>1500</v>
      </c>
      <c r="F56" s="38">
        <f>IFERROR(D56+E56+G56,0)</f>
        <v/>
      </c>
      <c r="G56" s="388" t="n">
        <v>0</v>
      </c>
      <c r="H56" s="389">
        <f>SUMIFS('💸 Expenses'!$F$8:$F$500,'💸 Expenses'!$B$8:$B$500,"&gt;="&amp;B56,'💸 Expenses'!$B$8:$B$500,"&lt;"&amp;(B56+1))</f>
        <v/>
      </c>
      <c r="I56" s="390">
        <f>IFERROR(F56-H56,0)</f>
        <v/>
      </c>
      <c r="J56" s="391">
        <f>IFERROR(I56/F56,0)</f>
        <v/>
      </c>
      <c r="K56" s="251" t="n"/>
      <c r="L56" s="392" t="inlineStr">
        <is>
          <t>Cierre via loka.py</t>
        </is>
      </c>
      <c r="M56" s="12" t="n"/>
      <c r="N56" s="44" t="n"/>
      <c r="O56" s="45" t="n"/>
      <c r="P56" s="46" t="n"/>
      <c r="Q56" s="44" t="n"/>
      <c r="R56" s="410">
        <f>IFERROR(D56*$T$7,0)</f>
        <v/>
      </c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382" t="n">
        <v>46209</v>
      </c>
      <c r="C434" s="252" t="inlineStr">
        <is>
          <t>Miscelanea LC remision (lineas ilegibles)</t>
        </is>
      </c>
      <c r="D434" s="253" t="inlineStr">
        <is>
          <t>Miscelanea LC La Cruz</t>
        </is>
      </c>
      <c r="E434" s="252" t="inlineStr">
        <is>
          <t>Ingredients - Vegetables</t>
        </is>
      </c>
      <c r="F434" s="70" t="n">
        <v>974</v>
      </c>
      <c r="G434" s="254" t="inlineStr">
        <is>
          <t>Restaurant</t>
        </is>
      </c>
      <c r="H434" s="254" t="inlineStr">
        <is>
          <t>Card</t>
        </is>
      </c>
      <c r="I434" s="255" t="inlineStr">
        <is>
          <t>✅ Paid</t>
        </is>
      </c>
      <c r="J434" s="383" t="inlineStr">
        <is>
          <t>Getnet $974 autoritativo (Aut 6B6666, 15:52); lineas manuscritas ilegibles</t>
        </is>
      </c>
    </row>
    <row r="435">
      <c r="B435" s="382" t="n">
        <v>46209</v>
      </c>
      <c r="C435" s="248" t="inlineStr">
        <is>
          <t>Miscelanea LC remision (lineas ilegibles)</t>
        </is>
      </c>
      <c r="D435" s="249" t="inlineStr">
        <is>
          <t>Miscelanea LC La Cruz</t>
        </is>
      </c>
      <c r="E435" s="248" t="inlineStr">
        <is>
          <t>Ingredients - Vegetables</t>
        </is>
      </c>
      <c r="F435" s="67" t="n">
        <v>289</v>
      </c>
      <c r="G435" s="250" t="inlineStr">
        <is>
          <t>Restaurant</t>
        </is>
      </c>
      <c r="H435" s="250" t="inlineStr">
        <is>
          <t>Card</t>
        </is>
      </c>
      <c r="I435" s="251" t="inlineStr">
        <is>
          <t>✅ Paid</t>
        </is>
      </c>
      <c r="J435" s="383" t="inlineStr">
        <is>
          <t>Getnet $289 autoritativo (Aut 722687, 09:45); lineas manuscritas ilegibles</t>
        </is>
      </c>
    </row>
    <row r="436">
      <c r="B436" s="382" t="n">
        <v>46209</v>
      </c>
      <c r="C436" s="252" t="inlineStr">
        <is>
          <t>Pasta seca (codo, caracol, spaguetti, estrella)</t>
        </is>
      </c>
      <c r="D436" s="253" t="inlineStr">
        <is>
          <t>Tres B</t>
        </is>
      </c>
      <c r="E436" s="252" t="inlineStr">
        <is>
          <t>Ingredients - Pantry</t>
        </is>
      </c>
      <c r="F436" s="70" t="n">
        <v>245</v>
      </c>
      <c r="G436" s="254" t="inlineStr">
        <is>
          <t>Restaurant</t>
        </is>
      </c>
      <c r="H436" s="254" t="inlineStr">
        <is>
          <t>Card</t>
        </is>
      </c>
      <c r="I436" s="255" t="inlineStr">
        <is>
          <t>✅ Paid</t>
        </is>
      </c>
      <c r="J436" s="383" t="inlineStr">
        <is>
          <t>Ticket 31 08:50; tarjeta ML ***3982</t>
        </is>
      </c>
    </row>
    <row r="437">
      <c r="B437" s="382" t="n">
        <v>46209</v>
      </c>
      <c r="C437" s="248" t="inlineStr">
        <is>
          <t>Coca-Cola 600ml x2 + Crema acida x2</t>
        </is>
      </c>
      <c r="D437" s="249" t="inlineStr">
        <is>
          <t>Sam's Club</t>
        </is>
      </c>
      <c r="E437" s="248" t="inlineStr">
        <is>
          <t>Supermarket/General</t>
        </is>
      </c>
      <c r="F437" s="67" t="n">
        <v>1420</v>
      </c>
      <c r="G437" s="250" t="inlineStr">
        <is>
          <t>Restaurant</t>
        </is>
      </c>
      <c r="H437" s="250" t="inlineStr">
        <is>
          <t>Card</t>
        </is>
      </c>
      <c r="I437" s="251" t="inlineStr">
        <is>
          <t>✅ Paid</t>
        </is>
      </c>
      <c r="J437" s="383" t="inlineStr">
        <is>
          <t>Coca 2x485.92 + crema 2x240.40 - desc 32.64; debito ***82; 11:01</t>
        </is>
      </c>
    </row>
    <row r="438">
      <c r="B438" s="382" t="n">
        <v>46209</v>
      </c>
      <c r="C438" s="252" t="inlineStr">
        <is>
          <t>Queso x2</t>
        </is>
      </c>
      <c r="D438" s="253" t="inlineStr">
        <is>
          <t>Walmart</t>
        </is>
      </c>
      <c r="E438" s="252" t="inlineStr">
        <is>
          <t>Ingredients - Dairy</t>
        </is>
      </c>
      <c r="F438" s="70" t="n">
        <v>74</v>
      </c>
      <c r="G438" s="254" t="inlineStr">
        <is>
          <t>Restaurant</t>
        </is>
      </c>
      <c r="H438" s="254" t="inlineStr">
        <is>
          <t>Card</t>
        </is>
      </c>
      <c r="I438" s="255" t="inlineStr">
        <is>
          <t>✅ Paid</t>
        </is>
      </c>
      <c r="J438" s="383" t="inlineStr">
        <is>
          <t>GV QSO 37x2; debito ***82; 11:17</t>
        </is>
      </c>
    </row>
    <row r="439">
      <c r="B439" s="382" t="n">
        <v>46209</v>
      </c>
      <c r="C439" s="248" t="inlineStr">
        <is>
          <t>Milanesa 1.53kg + Muslo 10.18kg + Pechuga 3.69kg</t>
        </is>
      </c>
      <c r="D439" s="249" t="inlineStr">
        <is>
          <t>Remision Loka Cafe</t>
        </is>
      </c>
      <c r="E439" s="248" t="inlineStr">
        <is>
          <t>Ingredients - Meat</t>
        </is>
      </c>
      <c r="F439" s="67" t="n">
        <v>1133</v>
      </c>
      <c r="G439" s="250" t="inlineStr">
        <is>
          <t>Restaurant</t>
        </is>
      </c>
      <c r="H439" s="250" t="inlineStr">
        <is>
          <t>Cash</t>
        </is>
      </c>
      <c r="I439" s="251" t="inlineStr">
        <is>
          <t>✅ Paid</t>
        </is>
      </c>
      <c r="J439" s="383" t="inlineStr">
        <is>
          <t>Milanesa $199 + muslo $509 + pechuga $425 = $1133; efectivo</t>
        </is>
      </c>
    </row>
    <row r="440">
      <c r="B440" s="382" t="n">
        <v>46209</v>
      </c>
      <c r="C440" s="252" t="inlineStr">
        <is>
          <t>Cilantro</t>
        </is>
      </c>
      <c r="D440" s="253" t="inlineStr">
        <is>
          <t>No bill</t>
        </is>
      </c>
      <c r="E440" s="252" t="inlineStr">
        <is>
          <t>Ingredients - Vegetables</t>
        </is>
      </c>
      <c r="F440" s="70" t="n">
        <v>5</v>
      </c>
      <c r="G440" s="254" t="inlineStr">
        <is>
          <t>Restaurant</t>
        </is>
      </c>
      <c r="H440" s="254" t="inlineStr">
        <is>
          <t>Cash</t>
        </is>
      </c>
      <c r="I440" s="255" t="inlineStr">
        <is>
          <t>✅ Paid</t>
        </is>
      </c>
      <c r="J440" s="383" t="inlineStr">
        <is>
          <t>No receipt; cash</t>
        </is>
      </c>
    </row>
    <row r="441">
      <c r="B441" s="382" t="n">
        <v>46209</v>
      </c>
      <c r="C441" s="248" t="inlineStr">
        <is>
          <t>Agua natural</t>
        </is>
      </c>
      <c r="D441" s="249" t="inlineStr">
        <is>
          <t>No bill</t>
        </is>
      </c>
      <c r="E441" s="248" t="inlineStr">
        <is>
          <t>Ingredients - Beverages</t>
        </is>
      </c>
      <c r="F441" s="67" t="n">
        <v>60</v>
      </c>
      <c r="G441" s="250" t="inlineStr">
        <is>
          <t>Restaurant</t>
        </is>
      </c>
      <c r="H441" s="250" t="inlineStr">
        <is>
          <t>Cash</t>
        </is>
      </c>
      <c r="I441" s="251" t="inlineStr">
        <is>
          <t>✅ Paid</t>
        </is>
      </c>
      <c r="J441" s="383" t="inlineStr">
        <is>
          <t>No receipt; cash</t>
        </is>
      </c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Supermarket/General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Utilities / Gas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Software / Subscription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Packaging/Disposables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Staff - Propinas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Office Supplies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2026-07-07T04:29:33Z</dcterms:modified>
  <cp:lastModifiedBy>LOHITH REDDY</cp:lastModifiedBy>
</cp:coreProperties>
</file>