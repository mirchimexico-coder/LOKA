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$#,##0.00"/>
  </numFmts>
  <fonts count="9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6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0" fontId="0" fillId="0" borderId="0" pivotButton="0" quotePrefix="0" xfId="0"/>
    <xf numFmtId="0" fontId="73" fillId="0" borderId="0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172" fontId="74" fillId="0" borderId="0" applyAlignment="1" pivotButton="0" quotePrefix="0" xfId="0">
      <alignment horizontal="left" vertical="center"/>
    </xf>
    <xf numFmtId="0" fontId="92" fillId="54" borderId="21" applyAlignment="1" pivotButton="0" quotePrefix="0" xfId="0">
      <alignment horizontal="center"/>
    </xf>
    <xf numFmtId="0" fontId="0" fillId="54" borderId="0" pivotButton="0" quotePrefix="0" xfId="0"/>
    <xf numFmtId="0" fontId="91" fillId="0" borderId="21" pivotButton="0" quotePrefix="0" xfId="0"/>
    <xf numFmtId="0" fontId="93" fillId="55" borderId="22" applyAlignment="1" pivotButton="0" quotePrefix="0" xfId="0">
      <alignment horizontal="left"/>
    </xf>
    <xf numFmtId="0" fontId="93" fillId="55" borderId="22" applyAlignment="1" pivotButton="0" quotePrefix="0" xfId="0">
      <alignment horizontal="right"/>
    </xf>
    <xf numFmtId="0" fontId="91" fillId="0" borderId="22" applyAlignment="1" pivotButton="0" quotePrefix="0" xfId="0">
      <alignment horizontal="left"/>
    </xf>
    <xf numFmtId="174" fontId="91" fillId="0" borderId="22" applyAlignment="1" pivotButton="0" quotePrefix="0" xfId="0">
      <alignment horizontal="right"/>
    </xf>
    <xf numFmtId="0" fontId="94" fillId="0" borderId="22" applyAlignment="1" pivotButton="0" quotePrefix="0" xfId="0">
      <alignment horizontal="left"/>
    </xf>
    <xf numFmtId="174" fontId="94" fillId="0" borderId="22" applyAlignment="1" pivotButton="0" quotePrefix="0" xfId="0">
      <alignment horizontal="right"/>
    </xf>
    <xf numFmtId="3" fontId="91" fillId="0" borderId="22" applyAlignment="1" pivotButton="0" quotePrefix="0" xfId="0">
      <alignment horizontal="right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tabSelected="1" topLeftCell="A119" zoomScaleNormal="100" workbookViewId="0">
      <selection activeCell="E88" sqref="E88"/>
    </sheetView>
  </sheetViews>
  <sheetFormatPr baseColWidth="8" defaultRowHeight="14.4" customHeight="1"/>
  <cols>
    <col width="3" customWidth="1" style="392" min="1" max="1"/>
    <col width="48" customWidth="1" style="392" min="2" max="2"/>
    <col width="18" customWidth="1" style="310" min="3" max="3"/>
    <col width="20" customWidth="1" style="310" min="4" max="6"/>
    <col width="24" customWidth="1" style="392" min="7" max="7"/>
    <col width="26" customWidth="1" style="392" min="8" max="8"/>
  </cols>
  <sheetData>
    <row r="1" ht="36" customHeight="1" s="392">
      <c r="B1" s="309" t="inlineStr">
        <is>
          <t>LOKA  —  CAPITAL, OWNERSHIP &amp; PRE-OPENING EXPENSES</t>
        </is>
      </c>
    </row>
    <row r="2" ht="24" customHeight="1" s="392">
      <c r="B2" s="313" t="inlineStr">
        <is>
          <t>Last updated: 17 Jun 2026  |  Capital, Acquisition, Pre-Opening &amp; Renovation CapEx</t>
        </is>
      </c>
    </row>
    <row r="4" ht="25.95" customHeight="1" s="392">
      <c r="B4" s="312" t="inlineStr">
        <is>
          <t xml:space="preserve">  A.  OWNERSHIP STRUCTURE</t>
        </is>
      </c>
    </row>
    <row r="5" ht="22.05" customHeight="1" s="392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392">
      <c r="B6" s="154" t="inlineStr">
        <is>
          <t>Lohith Reddy</t>
        </is>
      </c>
      <c r="C6" s="154" t="n">
        <v>0.5</v>
      </c>
      <c r="D6" s="162" t="n">
        <v>300000</v>
      </c>
      <c r="E6" s="162">
        <f>D67</f>
        <v/>
      </c>
      <c r="F6" s="162">
        <f>D6-E6</f>
        <v/>
      </c>
      <c r="G6" s="154" t="inlineStr">
        <is>
          <t>50% — Managing Partner</t>
        </is>
      </c>
    </row>
    <row r="7" ht="19.95" customHeight="1" s="392">
      <c r="B7" s="154" t="inlineStr">
        <is>
          <t>Kashigoud Patil</t>
        </is>
      </c>
      <c r="C7" s="154" t="n">
        <v>0.3</v>
      </c>
      <c r="D7" s="162" t="n">
        <v>180000</v>
      </c>
      <c r="E7" s="162">
        <f>D52</f>
        <v/>
      </c>
      <c r="F7" s="162">
        <f>D7-E7</f>
        <v/>
      </c>
      <c r="G7" s="154" t="inlineStr">
        <is>
          <t>30% — Partner</t>
        </is>
      </c>
    </row>
    <row r="8" ht="19.95" customHeight="1" s="392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D82</f>
        <v/>
      </c>
      <c r="F8" s="162">
        <f>D8-E8</f>
        <v/>
      </c>
      <c r="G8" s="154" t="inlineStr">
        <is>
          <t>20% — Partner</t>
        </is>
      </c>
    </row>
    <row r="9" ht="22.05" customHeight="1" s="392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392">
      <c r="B11" s="312" t="inlineStr">
        <is>
          <t xml:space="preserve">  B.  RESTAURANT ACQUISITION  —  $390,000 TOTAL</t>
        </is>
      </c>
    </row>
    <row r="12" ht="22.05" customHeight="1" s="392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392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392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392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392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392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392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392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392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392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392">
      <c r="B23" s="165" t="inlineStr">
        <is>
          <t>Payment to Previous Owners — Jun 19 (a)</t>
        </is>
      </c>
      <c r="C23" s="196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392">
      <c r="B24" s="165" t="inlineStr">
        <is>
          <t>Payment to Previous Owners — Jun 19 (b)</t>
        </is>
      </c>
      <c r="C24" s="196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392">
      <c r="B25" s="165" t="inlineStr">
        <is>
          <t>Electricity Bill (Mar–May CFE) — paid by Lohith for Previous Owners</t>
        </is>
      </c>
      <c r="C25" s="196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392">
      <c r="B26" s="165" t="n"/>
      <c r="C26" s="196" t="n"/>
      <c r="D26" s="173" t="n"/>
      <c r="E26" s="188" t="n"/>
      <c r="F26" s="188" t="n"/>
      <c r="G26" s="165" t="n"/>
    </row>
    <row r="27" ht="19.95" customHeight="1" s="392">
      <c r="B27" s="165" t="n"/>
      <c r="C27" s="196" t="n"/>
      <c r="D27" s="173" t="n"/>
      <c r="E27" s="188" t="n"/>
      <c r="F27" s="188" t="n"/>
      <c r="G27" s="165" t="n"/>
    </row>
    <row r="28" ht="19.95" customHeight="1" s="392">
      <c r="B28" s="165" t="n"/>
      <c r="C28" s="196" t="n"/>
      <c r="D28" s="173" t="n"/>
      <c r="E28" s="188" t="n"/>
      <c r="F28" s="188" t="n"/>
      <c r="G28" s="165" t="n"/>
    </row>
    <row r="29" ht="19.95" customHeight="1" s="392">
      <c r="B29" s="165" t="n"/>
      <c r="C29" s="196" t="n"/>
      <c r="D29" s="173" t="n"/>
      <c r="E29" s="188" t="n"/>
      <c r="F29" s="188" t="n"/>
      <c r="G29" s="165" t="n"/>
    </row>
    <row r="30" ht="19.95" customHeight="1" s="392">
      <c r="B30" s="165" t="n"/>
      <c r="C30" s="196" t="n"/>
      <c r="D30" s="173" t="n"/>
      <c r="E30" s="188" t="n"/>
      <c r="F30" s="188" t="n"/>
      <c r="G30" s="165" t="n"/>
    </row>
    <row r="31">
      <c r="B31" s="166" t="inlineStr">
        <is>
          <t>Balance Remaining</t>
        </is>
      </c>
      <c r="C31" s="166" t="n"/>
      <c r="D31" s="174">
        <f>D13-SUM(D14:D30)</f>
        <v/>
      </c>
      <c r="E31" s="166" t="inlineStr">
        <is>
          <t>—</t>
        </is>
      </c>
      <c r="F31" s="166" t="inlineStr">
        <is>
          <t>⏳ PENDING</t>
        </is>
      </c>
      <c r="G31" s="166" t="inlineStr">
        <is>
          <t>$390,000 − $306,235 paid (Jun 3-19) − $15,530 electricity offset = $68,235 remaining</t>
        </is>
      </c>
    </row>
    <row r="32" ht="25.95" customHeight="1" s="392">
      <c r="B32" s="205" t="n"/>
      <c r="C32" s="394" t="n"/>
      <c r="D32" s="207" t="n"/>
      <c r="E32" s="393" t="n"/>
      <c r="F32" s="393" t="n"/>
      <c r="G32" s="205" t="n"/>
    </row>
    <row r="33" ht="22.05" customHeight="1" s="392">
      <c r="B33" s="167" t="inlineStr">
        <is>
          <t xml:space="preserve">  PAYMENT BREAKDOWN  —  How the $390,000 will be funded</t>
        </is>
      </c>
      <c r="C33" s="167" t="n"/>
      <c r="D33" s="167" t="n"/>
      <c r="E33" s="167" t="n"/>
      <c r="F33" s="167" t="n"/>
      <c r="G33" s="168" t="n"/>
      <c r="H33" s="168" t="n"/>
    </row>
    <row r="34" ht="19.95" customHeight="1" s="392">
      <c r="B34" s="161" t="inlineStr">
        <is>
          <t>Source</t>
        </is>
      </c>
      <c r="C34" s="163" t="inlineStr">
        <is>
          <t>From</t>
        </is>
      </c>
      <c r="D34" s="163" t="inlineStr">
        <is>
          <t>Amount ($)</t>
        </is>
      </c>
      <c r="E34" s="163" t="inlineStr">
        <is>
          <t>Toward %</t>
        </is>
      </c>
      <c r="F34" s="163" t="inlineStr">
        <is>
          <t>Cumulative</t>
        </is>
      </c>
      <c r="G34" s="161" t="inlineStr">
        <is>
          <t>Notes</t>
        </is>
      </c>
    </row>
    <row r="35" ht="19.95" customHeight="1" s="392">
      <c r="B35" s="154" t="inlineStr">
        <is>
          <t>Kashigoud Transfer to Lohith</t>
        </is>
      </c>
      <c r="C35" s="154" t="inlineStr">
        <is>
          <t>Kashigoud Patil</t>
        </is>
      </c>
      <c r="D35" s="162" t="n">
        <v>125000</v>
      </c>
      <c r="E35" s="182">
        <f>D35/390000</f>
        <v/>
      </c>
      <c r="F35" s="162">
        <f>D35</f>
        <v/>
      </c>
      <c r="G35" s="154" t="inlineStr">
        <is>
          <t>Full Kashi transfer</t>
        </is>
      </c>
    </row>
    <row r="36" ht="19.95" customHeight="1" s="392">
      <c r="B36" s="156" t="inlineStr">
        <is>
          <t>Shashirekha Transfer to Lohith</t>
        </is>
      </c>
      <c r="C36" s="156" t="inlineStr">
        <is>
          <t>Shashirekha B.</t>
        </is>
      </c>
      <c r="D36" s="175" t="n">
        <v>100000</v>
      </c>
      <c r="E36" s="183">
        <f>D36/390000</f>
        <v/>
      </c>
      <c r="F36" s="175">
        <f>D35+D36</f>
        <v/>
      </c>
      <c r="G36" s="156" t="inlineStr">
        <is>
          <t>Full Shashi transfer</t>
        </is>
      </c>
    </row>
    <row r="37" ht="19.95" customHeight="1" s="392">
      <c r="B37" s="154" t="inlineStr">
        <is>
          <t>Lohith Reddy (own funds)</t>
        </is>
      </c>
      <c r="C37" s="154" t="inlineStr">
        <is>
          <t>Lohith Reddy</t>
        </is>
      </c>
      <c r="D37" s="162">
        <f>390000-D35-D36</f>
        <v/>
      </c>
      <c r="E37" s="182">
        <f>D37/390000</f>
        <v/>
      </c>
      <c r="F37" s="162">
        <f>D35+D36+D37</f>
        <v/>
      </c>
      <c r="G37" s="154" t="inlineStr">
        <is>
          <t>Balance from Lohith</t>
        </is>
      </c>
    </row>
    <row r="38" ht="19.95" customHeight="1" s="392">
      <c r="B38" s="156" t="inlineStr">
        <is>
          <t>Advance Already Paid</t>
        </is>
      </c>
      <c r="C38" s="156" t="inlineStr">
        <is>
          <t>Lohith Reddy</t>
        </is>
      </c>
      <c r="D38" s="175" t="n">
        <v>5000</v>
      </c>
      <c r="E38" s="183">
        <f>D38/390000</f>
        <v/>
      </c>
      <c r="F38" s="175" t="inlineStr">
        <is>
          <t>Paid ✅</t>
        </is>
      </c>
      <c r="G38" s="156" t="inlineStr">
        <is>
          <t>Already paid</t>
        </is>
      </c>
    </row>
    <row r="39" ht="19.95" customHeight="1" s="392"/>
    <row r="40" ht="19.95" customHeight="1" s="392">
      <c r="B40" s="312" t="inlineStr">
        <is>
          <t xml:space="preserve">  C.  PRE-OPENING EXPENSES — KASHIGOUD PATIL</t>
        </is>
      </c>
      <c r="C40" s="312" t="n"/>
      <c r="D40" s="312" t="n"/>
      <c r="E40" s="312" t="n"/>
      <c r="F40" s="312" t="n"/>
      <c r="G40" s="160" t="n"/>
      <c r="H40" s="160" t="n"/>
    </row>
    <row r="41" ht="19.95" customHeight="1" s="392">
      <c r="B41" s="161" t="inlineStr">
        <is>
          <t>Description</t>
        </is>
      </c>
      <c r="C41" s="163" t="inlineStr">
        <is>
          <t>Date</t>
        </is>
      </c>
      <c r="D41" s="163" t="inlineStr">
        <is>
          <t>Amount ($)</t>
        </is>
      </c>
      <c r="E41" s="163" t="inlineStr">
        <is>
          <t>Paid To</t>
        </is>
      </c>
      <c r="F41" s="163" t="inlineStr">
        <is>
          <t>Category</t>
        </is>
      </c>
      <c r="G41" s="161" t="inlineStr">
        <is>
          <t>Notes</t>
        </is>
      </c>
    </row>
    <row r="42" ht="22.05" customHeight="1" s="392">
      <c r="B42" s="154" t="inlineStr">
        <is>
          <t>Transfer to Lohith Reddy (capital allocation)</t>
        </is>
      </c>
      <c r="C42" s="154" t="n"/>
      <c r="D42" s="162" t="n">
        <v>125000</v>
      </c>
      <c r="E42" s="154" t="inlineStr">
        <is>
          <t>Bank → Lohith</t>
        </is>
      </c>
      <c r="F42" s="154" t="inlineStr">
        <is>
          <t>Internal Transfer</t>
        </is>
      </c>
      <c r="G42" s="154" t="inlineStr">
        <is>
          <t>For acquisition &amp; expenses</t>
        </is>
      </c>
    </row>
    <row r="43">
      <c r="B43" s="156" t="inlineStr">
        <is>
          <t>Soft Restaurant License &amp; Tools</t>
        </is>
      </c>
      <c r="C43" s="156" t="n"/>
      <c r="D43" s="175" t="n">
        <v>15195</v>
      </c>
      <c r="E43" s="156" t="inlineStr">
        <is>
          <t>Soft App</t>
        </is>
      </c>
      <c r="F43" s="156" t="inlineStr">
        <is>
          <t>Software / License</t>
        </is>
      </c>
      <c r="G43" s="156" t="inlineStr">
        <is>
          <t>POS + mgmt tools</t>
        </is>
      </c>
    </row>
    <row r="44" ht="25.95" customHeight="1" s="392">
      <c r="B44" s="154" t="inlineStr">
        <is>
          <t>Mercado Pago Terminal</t>
        </is>
      </c>
      <c r="C44" s="189" t="n"/>
      <c r="D44" s="177" t="n">
        <v>500</v>
      </c>
      <c r="E44" s="189" t="inlineStr">
        <is>
          <t>Soft App / MP</t>
        </is>
      </c>
      <c r="F44" s="189" t="inlineStr">
        <is>
          <t>POS Hardware</t>
        </is>
      </c>
      <c r="G44" s="155" t="inlineStr">
        <is>
          <t>MP card reader terminal fee</t>
        </is>
      </c>
    </row>
    <row r="45" ht="22.05" customHeight="1" s="392">
      <c r="B45" s="154" t="inlineStr">
        <is>
          <t>Camera Cloud Recording — 7 Day Continuous (28 May)</t>
        </is>
      </c>
      <c r="C45" s="197" t="n">
        <v>46170</v>
      </c>
      <c r="D45" s="198" t="n">
        <v>436.12</v>
      </c>
      <c r="E45" s="199" t="inlineStr">
        <is>
          <t>Kashigoud Patil (VISA ••••9193)</t>
        </is>
      </c>
      <c r="F45" s="199" t="inlineStr">
        <is>
          <t>Technology / Security</t>
        </is>
      </c>
      <c r="G45" s="200" t="inlineStr">
        <is>
          <t>Shenzhen Tange — cloud CCTV recording 1yr — US$23.90 = MXN $436.12</t>
        </is>
      </c>
      <c r="H45" s="315" t="n"/>
    </row>
    <row r="46" ht="19.95" customHeight="1" s="392">
      <c r="B46" s="156" t="inlineStr">
        <is>
          <t>Camera Cloud Recording — 7 Day Continuous (29 May)</t>
        </is>
      </c>
      <c r="C46" s="201" t="n">
        <v>46171</v>
      </c>
      <c r="D46" s="202" t="n">
        <v>437.22</v>
      </c>
      <c r="E46" s="156" t="inlineStr">
        <is>
          <t>Kashigoud Patil (VISA ••••9193)</t>
        </is>
      </c>
      <c r="F46" s="156" t="inlineStr">
        <is>
          <t>Technology / Security</t>
        </is>
      </c>
      <c r="G46" s="156" t="inlineStr">
        <is>
          <t>Shenzhen Tange — cloud CCTV recording 1yr — US$23.90 = MXN $437.22</t>
        </is>
      </c>
    </row>
    <row r="47" ht="19.95" customHeight="1" s="392">
      <c r="B47" s="153" t="n"/>
      <c r="C47" s="153" t="n"/>
      <c r="D47" s="178" t="n"/>
      <c r="E47" s="153" t="n"/>
      <c r="F47" s="153" t="n"/>
      <c r="G47" s="153" t="n"/>
    </row>
    <row r="48" ht="19.95" customHeight="1" s="392">
      <c r="B48" s="153" t="n"/>
      <c r="C48" s="153" t="n"/>
      <c r="D48" s="178" t="n"/>
      <c r="E48" s="153" t="n"/>
      <c r="F48" s="153" t="n"/>
      <c r="G48" s="153" t="n"/>
    </row>
    <row r="49" ht="19.95" customHeight="1" s="392">
      <c r="B49" s="153" t="n"/>
      <c r="C49" s="153" t="n"/>
      <c r="D49" s="178" t="n"/>
      <c r="E49" s="153" t="n"/>
      <c r="F49" s="153" t="n"/>
      <c r="G49" s="153" t="n"/>
    </row>
    <row r="50" ht="19.95" customHeight="1" s="392">
      <c r="B50" s="153" t="n"/>
      <c r="C50" s="153" t="n"/>
      <c r="D50" s="178" t="n"/>
      <c r="E50" s="153" t="n"/>
      <c r="F50" s="153" t="n"/>
      <c r="G50" s="153" t="n"/>
    </row>
    <row r="51" ht="19.95" customHeight="1" s="392">
      <c r="B51" s="153" t="n"/>
      <c r="C51" s="153" t="n"/>
      <c r="D51" s="178" t="n"/>
      <c r="E51" s="153" t="n"/>
      <c r="F51" s="153" t="n"/>
      <c r="G51" s="153" t="n"/>
    </row>
    <row r="52" ht="19.95" customHeight="1" s="392">
      <c r="B52" s="163" t="inlineStr">
        <is>
          <t>KASHIGOUD TOTAL</t>
        </is>
      </c>
      <c r="C52" s="163" t="n"/>
      <c r="D52" s="171">
        <f>SUM(D42:D51)</f>
        <v/>
      </c>
      <c r="E52" s="163" t="n"/>
      <c r="F52" s="163" t="n"/>
      <c r="G52" s="161" t="n"/>
    </row>
    <row r="53" ht="19.95" customHeight="1" s="392"/>
    <row r="54" ht="19.95" customHeight="1" s="392">
      <c r="B54" s="312" t="inlineStr">
        <is>
          <t xml:space="preserve">  D.  PRE-OPENING EXPENSES — LOHITH REDDY</t>
        </is>
      </c>
      <c r="C54" s="312" t="n"/>
      <c r="D54" s="312" t="n"/>
      <c r="E54" s="312" t="n"/>
      <c r="F54" s="312" t="n"/>
      <c r="G54" s="160" t="n"/>
      <c r="H54" s="160" t="n"/>
    </row>
    <row r="55" ht="19.95" customHeight="1" s="392">
      <c r="B55" s="161" t="inlineStr">
        <is>
          <t>Description</t>
        </is>
      </c>
      <c r="C55" s="163" t="inlineStr">
        <is>
          <t>Date</t>
        </is>
      </c>
      <c r="D55" s="163" t="inlineStr">
        <is>
          <t>Amount ($)</t>
        </is>
      </c>
      <c r="E55" s="163" t="inlineStr">
        <is>
          <t>Paid To</t>
        </is>
      </c>
      <c r="F55" s="163" t="inlineStr">
        <is>
          <t>Category</t>
        </is>
      </c>
      <c r="G55" s="161" t="inlineStr">
        <is>
          <t>Notes</t>
        </is>
      </c>
    </row>
    <row r="56" ht="19.95" customHeight="1" s="392">
      <c r="B56" s="154" t="inlineStr">
        <is>
          <t>Advance Payment to Previous Owners</t>
        </is>
      </c>
      <c r="C56" s="154" t="n"/>
      <c r="D56" s="162" t="n">
        <v>5000</v>
      </c>
      <c r="E56" s="154" t="inlineStr">
        <is>
          <t>Previous Owners</t>
        </is>
      </c>
      <c r="F56" s="154" t="inlineStr">
        <is>
          <t>Acquisition</t>
        </is>
      </c>
      <c r="G56" s="154" t="inlineStr">
        <is>
          <t>5k advance on 390k purchase</t>
        </is>
      </c>
    </row>
    <row r="57" ht="22.05" customHeight="1" s="392">
      <c r="B57" s="156" t="inlineStr">
        <is>
          <t>Notary Fees</t>
        </is>
      </c>
      <c r="C57" s="156" t="n"/>
      <c r="D57" s="175" t="n">
        <v>15797</v>
      </c>
      <c r="E57" s="156" t="inlineStr">
        <is>
          <t>Notary Office</t>
        </is>
      </c>
      <c r="F57" s="156" t="inlineStr">
        <is>
          <t>Legal</t>
        </is>
      </c>
      <c r="G57" s="156" t="inlineStr">
        <is>
          <t>Legal fees for restaurant acquisition</t>
        </is>
      </c>
    </row>
    <row r="58">
      <c r="B58" s="154" t="inlineStr">
        <is>
          <t>Poliza Juridica (Legal Policy)</t>
        </is>
      </c>
      <c r="C58" s="154" t="n"/>
      <c r="D58" s="162" t="n">
        <v>5150</v>
      </c>
      <c r="E58" s="154" t="inlineStr">
        <is>
          <t>Legal / Insurance</t>
        </is>
      </c>
      <c r="F58" s="154" t="inlineStr">
        <is>
          <t>Legal</t>
        </is>
      </c>
      <c r="G58" s="154" t="inlineStr">
        <is>
          <t>Poliza Juridica — legal insurance policy</t>
        </is>
      </c>
    </row>
    <row r="59" ht="25.95" customHeight="1" s="392">
      <c r="B59" s="156" t="inlineStr">
        <is>
          <t>Alejandra — Documentation Asst.</t>
        </is>
      </c>
      <c r="C59" s="190" t="n"/>
      <c r="D59" s="179" t="n">
        <v>3000</v>
      </c>
      <c r="E59" s="190" t="inlineStr">
        <is>
          <t>Alejandra</t>
        </is>
      </c>
      <c r="F59" s="190" t="inlineStr">
        <is>
          <t>Professional Services</t>
        </is>
      </c>
      <c r="G59" s="157" t="inlineStr">
        <is>
          <t>Documentation &amp; legal assistance — pre-opening</t>
        </is>
      </c>
    </row>
    <row r="60" ht="22.05" customHeight="1" s="392">
      <c r="B60" s="281" t="inlineStr">
        <is>
          <t>Alejandra — License Costs</t>
        </is>
      </c>
      <c r="C60" s="394" t="n">
        <v>46190</v>
      </c>
      <c r="D60" s="207" t="n">
        <v>1400</v>
      </c>
      <c r="E60" s="393" t="inlineStr">
        <is>
          <t>Alejandra</t>
        </is>
      </c>
      <c r="F60" s="393" t="inlineStr">
        <is>
          <t>Legal / License</t>
        </is>
      </c>
      <c r="G60" s="205" t="inlineStr">
        <is>
          <t>License costs — paid by Lohith 17 Jun</t>
        </is>
      </c>
      <c r="H60" s="315" t="n"/>
    </row>
    <row r="61" ht="22.05" customHeight="1" s="392">
      <c r="B61" s="281" t="n"/>
      <c r="C61" s="394" t="n"/>
      <c r="D61" s="207" t="n"/>
      <c r="E61" s="393" t="n"/>
      <c r="F61" s="393" t="n"/>
      <c r="G61" s="205" t="n"/>
    </row>
    <row r="62" ht="22.05" customHeight="1" s="392">
      <c r="B62" s="281" t="n"/>
      <c r="C62" s="394" t="n"/>
      <c r="D62" s="207" t="n"/>
      <c r="E62" s="393" t="n"/>
      <c r="F62" s="393" t="n"/>
      <c r="G62" s="205" t="n"/>
    </row>
    <row r="63" ht="19.95" customHeight="1" s="392">
      <c r="B63" s="153" t="n"/>
      <c r="C63" s="153" t="n"/>
      <c r="D63" s="178" t="n"/>
      <c r="E63" s="153" t="n"/>
      <c r="F63" s="153" t="n"/>
      <c r="G63" s="153" t="n"/>
    </row>
    <row r="64" ht="19.95" customHeight="1" s="392">
      <c r="B64" s="153" t="n"/>
      <c r="C64" s="153" t="n"/>
      <c r="D64" s="178" t="n"/>
      <c r="E64" s="153" t="n"/>
      <c r="F64" s="153" t="n"/>
      <c r="G64" s="153" t="n"/>
    </row>
    <row r="65" ht="19.95" customHeight="1" s="392">
      <c r="B65" s="153" t="n"/>
      <c r="C65" s="153" t="n"/>
      <c r="D65" s="178" t="n"/>
      <c r="E65" s="153" t="n"/>
      <c r="F65" s="153" t="n"/>
      <c r="G65" s="153" t="n"/>
    </row>
    <row r="66" ht="19.95" customHeight="1" s="392">
      <c r="B66" s="153" t="n"/>
      <c r="C66" s="153" t="n"/>
      <c r="D66" s="178" t="n"/>
      <c r="E66" s="153" t="n"/>
      <c r="F66" s="153" t="n"/>
      <c r="G66" s="153" t="n"/>
    </row>
    <row r="67" ht="19.95" customHeight="1" s="392">
      <c r="B67" s="163" t="inlineStr">
        <is>
          <t>LOHITH TOTAL</t>
        </is>
      </c>
      <c r="C67" s="163" t="n"/>
      <c r="D67" s="171">
        <f>SUM(D56:D66)</f>
        <v/>
      </c>
      <c r="E67" s="163" t="n"/>
      <c r="F67" s="163" t="n"/>
      <c r="G67" s="161" t="n"/>
    </row>
    <row r="68" ht="19.95" customHeight="1" s="392"/>
    <row r="69" ht="19.95" customHeight="1" s="392">
      <c r="B69" s="312" t="inlineStr">
        <is>
          <t xml:space="preserve">  E.  PRE-OPENING EXPENSES — SHASHIREKHA BASAVARAJU</t>
        </is>
      </c>
      <c r="C69" s="312" t="n"/>
      <c r="D69" s="312" t="n"/>
      <c r="E69" s="312" t="n"/>
      <c r="F69" s="312" t="n"/>
      <c r="G69" s="160" t="n"/>
      <c r="H69" s="160" t="n"/>
    </row>
    <row r="70" ht="19.95" customHeight="1" s="392">
      <c r="B70" s="161" t="inlineStr">
        <is>
          <t>Description</t>
        </is>
      </c>
      <c r="C70" s="163" t="inlineStr">
        <is>
          <t>Date</t>
        </is>
      </c>
      <c r="D70" s="163" t="inlineStr">
        <is>
          <t>Amount ($)</t>
        </is>
      </c>
      <c r="E70" s="163" t="inlineStr">
        <is>
          <t>Paid To</t>
        </is>
      </c>
      <c r="F70" s="163" t="inlineStr">
        <is>
          <t>Category</t>
        </is>
      </c>
      <c r="G70" s="161" t="inlineStr">
        <is>
          <t>Notes</t>
        </is>
      </c>
    </row>
    <row r="71" ht="22.05" customHeight="1" s="392">
      <c r="B71" s="154" t="inlineStr">
        <is>
          <t>Transfer to Lohith Reddy (capital allocation)</t>
        </is>
      </c>
      <c r="C71" s="154" t="n"/>
      <c r="D71" s="162" t="n">
        <v>100000</v>
      </c>
      <c r="E71" s="154" t="inlineStr">
        <is>
          <t>Bank → Lohith</t>
        </is>
      </c>
      <c r="F71" s="154" t="inlineStr">
        <is>
          <t>Internal Transfer</t>
        </is>
      </c>
      <c r="G71" s="154" t="inlineStr">
        <is>
          <t>For acquisition &amp; expenses</t>
        </is>
      </c>
    </row>
    <row r="72">
      <c r="B72" s="156" t="inlineStr">
        <is>
          <t>Temu items</t>
        </is>
      </c>
      <c r="C72" s="156" t="n"/>
      <c r="D72" s="175" t="n">
        <v>2646</v>
      </c>
      <c r="E72" s="156" t="inlineStr">
        <is>
          <t>Temu</t>
        </is>
      </c>
      <c r="F72" s="156" t="inlineStr">
        <is>
          <t>Equipment / Supplies</t>
        </is>
      </c>
      <c r="G72" s="156" t="inlineStr">
        <is>
          <t>Temu items — restaurant supplies &amp; equipment</t>
        </is>
      </c>
    </row>
    <row r="73" ht="25.95" customHeight="1" s="392">
      <c r="B73" s="154" t="inlineStr">
        <is>
          <t>Board games for restaurant ambiance</t>
        </is>
      </c>
      <c r="C73" s="189" t="n"/>
      <c r="D73" s="177" t="n">
        <v>745</v>
      </c>
      <c r="E73" s="189" t="inlineStr">
        <is>
          <t>Various</t>
        </is>
      </c>
      <c r="F73" s="189" t="inlineStr">
        <is>
          <t>Equipment / Decor</t>
        </is>
      </c>
      <c r="G73" s="155" t="inlineStr">
        <is>
          <t>Board games for restaurant ambiance</t>
        </is>
      </c>
    </row>
    <row r="74" ht="22.05" customHeight="1" s="392">
      <c r="B74" s="156" t="inlineStr">
        <is>
          <t>Special menu board</t>
        </is>
      </c>
      <c r="C74" s="191" t="n"/>
      <c r="D74" s="180" t="n">
        <v>204</v>
      </c>
      <c r="E74" s="191" t="inlineStr">
        <is>
          <t>Sign Maker</t>
        </is>
      </c>
      <c r="F74" s="191" t="inlineStr">
        <is>
          <t>Branding / Signage</t>
        </is>
      </c>
      <c r="G74" s="158" t="inlineStr">
        <is>
          <t>Special menu board</t>
        </is>
      </c>
      <c r="H74" s="315" t="n"/>
    </row>
    <row r="75" ht="19.95" customHeight="1" s="392">
      <c r="B75" s="154" t="inlineStr">
        <is>
          <t>Logo and sticker printing</t>
        </is>
      </c>
      <c r="C75" s="154" t="n"/>
      <c r="D75" s="162" t="n">
        <v>845</v>
      </c>
      <c r="E75" s="154" t="inlineStr">
        <is>
          <t>Print Shop</t>
        </is>
      </c>
      <c r="F75" s="154" t="inlineStr">
        <is>
          <t>Branding / Signage</t>
        </is>
      </c>
      <c r="G75" s="154" t="inlineStr">
        <is>
          <t>Logo and sticker printing</t>
        </is>
      </c>
    </row>
    <row r="76" ht="19.95" customHeight="1" s="392">
      <c r="B76" s="156" t="inlineStr">
        <is>
          <t>Sign boards, stationary, other decor</t>
        </is>
      </c>
      <c r="C76" s="156" t="n"/>
      <c r="D76" s="175" t="n">
        <v>1555</v>
      </c>
      <c r="E76" s="156" t="inlineStr">
        <is>
          <t>China Shop</t>
        </is>
      </c>
      <c r="F76" s="156" t="inlineStr">
        <is>
          <t>Decor / Signage</t>
        </is>
      </c>
      <c r="G76" s="156" t="inlineStr">
        <is>
          <t>Sign boards, stationary, other decor</t>
        </is>
      </c>
    </row>
    <row r="77" ht="19.95" customHeight="1" s="392">
      <c r="B77" s="154" t="inlineStr">
        <is>
          <t>Logo Box Repair / Fix</t>
        </is>
      </c>
      <c r="C77" s="203" t="n">
        <v>46176</v>
      </c>
      <c r="D77" s="204" t="n">
        <v>900</v>
      </c>
      <c r="E77" s="154" t="inlineStr">
        <is>
          <t>Supplier</t>
        </is>
      </c>
      <c r="F77" s="154" t="inlineStr">
        <is>
          <t>Branding / Signage</t>
        </is>
      </c>
      <c r="G77" s="154" t="inlineStr">
        <is>
          <t>Logo box repair — paid by Shashirekha</t>
        </is>
      </c>
    </row>
    <row r="78" ht="19.95" customHeight="1" s="392">
      <c r="B78" s="281" t="inlineStr">
        <is>
          <t>Letrero 3-D Retroiluminado (illuminated sign)</t>
        </is>
      </c>
      <c r="C78" s="282" t="n">
        <v>46190</v>
      </c>
      <c r="D78" s="283" t="n">
        <v>12000</v>
      </c>
      <c r="E78" s="281" t="inlineStr">
        <is>
          <t>POPA Publicidad</t>
        </is>
      </c>
      <c r="F78" s="281" t="inlineStr">
        <is>
          <t>Branding / Signage</t>
        </is>
      </c>
      <c r="G78" s="281" t="inlineStr">
        <is>
          <t>3D backlit sign + "CAFE RESTAURANT &amp; BAR" letters — paid by Shashirekha · Cotización A0626-560</t>
        </is>
      </c>
    </row>
    <row r="79" ht="19.95" customHeight="1" s="392">
      <c r="B79" s="393" t="n"/>
      <c r="C79" s="394" t="n"/>
      <c r="D79" s="395" t="n"/>
      <c r="E79" s="393" t="n"/>
      <c r="F79" s="393" t="n"/>
      <c r="G79" s="393" t="n"/>
    </row>
    <row r="80" ht="19.95" customHeight="1" s="392">
      <c r="B80" s="393" t="n"/>
      <c r="C80" s="394" t="n"/>
      <c r="D80" s="395" t="n"/>
      <c r="E80" s="393" t="n"/>
      <c r="F80" s="393" t="n"/>
      <c r="G80" s="393" t="n"/>
    </row>
    <row r="81" ht="19.95" customHeight="1" s="392">
      <c r="B81" s="205" t="n"/>
      <c r="C81" s="393" t="n"/>
      <c r="D81" s="207" t="n"/>
      <c r="E81" s="393" t="n"/>
      <c r="F81" s="393" t="n"/>
      <c r="G81" s="205" t="n"/>
    </row>
    <row r="82" ht="19.95" customHeight="1" s="392">
      <c r="B82" s="163" t="inlineStr">
        <is>
          <t>SHASHIREKHA TOTAL</t>
        </is>
      </c>
      <c r="C82" s="192" t="n"/>
      <c r="D82" s="181">
        <f>SUM(D71:D81)</f>
        <v/>
      </c>
      <c r="E82" s="192" t="n"/>
      <c r="F82" s="192" t="n"/>
      <c r="G82" s="169" t="n"/>
      <c r="H82" s="315" t="n"/>
    </row>
    <row r="83" ht="19.95" customHeight="1" s="392"/>
    <row r="84" ht="19.95" customHeight="1" s="392">
      <c r="B84" s="312" t="inlineStr">
        <is>
          <t xml:space="preserve">  F.  GRAND SUMMARY — CAPITAL DEPLOYMENT</t>
        </is>
      </c>
      <c r="C84" s="312" t="n"/>
      <c r="D84" s="312" t="n"/>
      <c r="E84" s="312" t="n"/>
      <c r="F84" s="312" t="n"/>
      <c r="G84" s="160" t="n"/>
      <c r="H84" s="160" t="n"/>
    </row>
    <row r="85" ht="19.95" customHeight="1" s="392">
      <c r="B85" s="161" t="inlineStr">
        <is>
          <t>Line Item</t>
        </is>
      </c>
      <c r="C85" s="163" t="n"/>
      <c r="D85" s="163" t="n"/>
      <c r="E85" s="163" t="n"/>
      <c r="F85" s="163" t="n"/>
      <c r="G85" s="161" t="n"/>
    </row>
    <row r="86" ht="19.95" customHeight="1" s="392">
      <c r="B86" s="154" t="inlineStr">
        <is>
          <t>Total Budget</t>
        </is>
      </c>
      <c r="C86" s="162">
        <f>SUM(D6:D8)</f>
        <v/>
      </c>
      <c r="D86" s="182" t="n"/>
      <c r="E86" s="154" t="inlineStr">
        <is>
          <t>100% of committed capital</t>
        </is>
      </c>
    </row>
    <row r="87" ht="19.95" customHeight="1" s="392">
      <c r="B87" s="156" t="inlineStr">
        <is>
          <t>Acquisition Total</t>
        </is>
      </c>
      <c r="C87" s="175">
        <f>D13</f>
        <v/>
      </c>
      <c r="D87" s="183">
        <f>C87/C86</f>
        <v/>
      </c>
      <c r="E87" s="156" t="inlineStr">
        <is>
          <t>To be paid to previous owners</t>
        </is>
      </c>
    </row>
    <row r="88">
      <c r="B88" s="154" t="inlineStr">
        <is>
          <t>Advance Paid</t>
        </is>
      </c>
      <c r="C88" s="162">
        <f>D14</f>
        <v/>
      </c>
      <c r="D88" s="182">
        <f>C88/C86</f>
        <v/>
      </c>
      <c r="E88" s="154" t="inlineStr">
        <is>
          <t>✅ Already paid</t>
        </is>
      </c>
    </row>
    <row r="89">
      <c r="B89" s="166" t="inlineStr">
        <is>
          <t>Balance Remaining</t>
        </is>
      </c>
      <c r="C89" s="174">
        <f>D31</f>
        <v/>
      </c>
      <c r="D89" s="184">
        <f>C89/C86</f>
        <v/>
      </c>
      <c r="E89" s="166" t="inlineStr">
        <is>
          <t>⏳ Pending — funded by transfers</t>
        </is>
      </c>
    </row>
    <row r="90">
      <c r="B90" s="156" t="inlineStr">
        <is>
          <t>Kashi Ops (excl tr)</t>
        </is>
      </c>
      <c r="C90" s="175">
        <f>SUM(D43:D44)</f>
        <v/>
      </c>
      <c r="D90" s="183">
        <f>C90/C86</f>
        <v/>
      </c>
      <c r="E90" s="156" t="inlineStr">
        <is>
          <t>Soft license + terminal</t>
        </is>
      </c>
    </row>
    <row r="91">
      <c r="B91" s="154" t="inlineStr">
        <is>
          <t>Kashi Transfer</t>
        </is>
      </c>
      <c r="C91" s="162">
        <f>D42</f>
        <v/>
      </c>
      <c r="D91" s="182">
        <f>C91/C86</f>
        <v/>
      </c>
      <c r="E91" s="154" t="n"/>
    </row>
    <row r="92">
      <c r="B92" s="156" t="inlineStr">
        <is>
          <t>Lohith Pre-Opening</t>
        </is>
      </c>
      <c r="C92" s="175">
        <f>D67</f>
        <v/>
      </c>
      <c r="D92" s="183">
        <f>C92/C86</f>
        <v/>
      </c>
      <c r="E92" s="156" t="inlineStr">
        <is>
          <t>Advance + Notary + Poliza + Alejandra</t>
        </is>
      </c>
    </row>
    <row r="93">
      <c r="B93" s="154" t="inlineStr">
        <is>
          <t>Shashi Transfer</t>
        </is>
      </c>
      <c r="C93" s="162">
        <f>D71</f>
        <v/>
      </c>
      <c r="D93" s="182">
        <f>C93/C86</f>
        <v/>
      </c>
      <c r="E93" s="154" t="n"/>
    </row>
    <row r="94">
      <c r="B94" s="156" t="inlineStr">
        <is>
          <t>Shashi Other Exp</t>
        </is>
      </c>
      <c r="C94" s="175">
        <f>SUM(D72:D81)</f>
        <v/>
      </c>
      <c r="D94" s="183">
        <f>C94/C86</f>
        <v/>
      </c>
      <c r="E94" s="156" t="inlineStr">
        <is>
          <t>Yellow rows above</t>
        </is>
      </c>
    </row>
    <row r="95">
      <c r="B95" s="163" t="inlineStr">
        <is>
          <t>Total Cash Out</t>
        </is>
      </c>
      <c r="C95" s="171">
        <f>C87+C90+C92+C94+C97</f>
        <v/>
      </c>
      <c r="D95" s="185">
        <f>C95/C86</f>
        <v/>
      </c>
      <c r="E95" s="163" t="inlineStr">
        <is>
          <t>Actual cash leaving the partnership</t>
        </is>
      </c>
      <c r="F95" s="186" t="n"/>
      <c r="G95" s="170" t="n"/>
    </row>
    <row r="96">
      <c r="B96" s="163" t="inlineStr">
        <is>
          <t>Remaining Budget</t>
        </is>
      </c>
      <c r="C96" s="171">
        <f>C86-C95</f>
        <v/>
      </c>
      <c r="D96" s="185">
        <f>C96/C86</f>
        <v/>
      </c>
      <c r="E96" s="163" t="n"/>
      <c r="F96" s="186" t="n"/>
      <c r="G96" s="170" t="n"/>
    </row>
    <row r="97">
      <c r="B97" s="156" t="inlineStr">
        <is>
          <t>Renovation &amp; Post-Opening CapEx</t>
        </is>
      </c>
      <c r="C97" s="175">
        <f>D129</f>
        <v/>
      </c>
      <c r="D97" s="183">
        <f>C97/C86</f>
        <v/>
      </c>
      <c r="E97" s="156" t="inlineStr">
        <is>
          <t>Section I (bottom of sheet)</t>
        </is>
      </c>
    </row>
    <row r="98" ht="15.6" customHeight="1" s="392">
      <c r="B98" s="160" t="inlineStr">
        <is>
          <t xml:space="preserve">  G.  REMAINING TRANSFERS DUE TO LOHITH REDDY</t>
        </is>
      </c>
      <c r="C98" s="312" t="n"/>
      <c r="D98" s="312" t="n"/>
      <c r="E98" s="312" t="n"/>
      <c r="F98" s="312" t="n"/>
      <c r="G98" s="160" t="n"/>
      <c r="H98" s="160" t="n"/>
    </row>
    <row r="99">
      <c r="B99" s="170" t="inlineStr">
        <is>
          <t>Partner</t>
        </is>
      </c>
      <c r="C99" s="186" t="inlineStr">
        <is>
          <t>Total Budget ($)</t>
        </is>
      </c>
      <c r="D99" s="186" t="inlineStr">
        <is>
          <t>Already Transferred ($)</t>
        </is>
      </c>
      <c r="E99" s="186" t="inlineStr">
        <is>
          <t>Direct Expenses ($)</t>
        </is>
      </c>
      <c r="F99" s="186" t="inlineStr">
        <is>
          <t>Still Owed to Lohith ($)</t>
        </is>
      </c>
      <c r="G99" s="170" t="inlineStr">
        <is>
          <t>Status</t>
        </is>
      </c>
    </row>
    <row r="100">
      <c r="B100" s="155" t="inlineStr">
        <is>
          <t>Kashigoud Patil</t>
        </is>
      </c>
      <c r="C100" s="177">
        <f>D7</f>
        <v/>
      </c>
      <c r="D100" s="177">
        <f>D42</f>
        <v/>
      </c>
      <c r="E100" s="177">
        <f>SUM(D43:D51)</f>
        <v/>
      </c>
      <c r="F100" s="177">
        <f>C100-D100-E100</f>
        <v/>
      </c>
      <c r="G100" s="155" t="inlineStr">
        <is>
          <t>⏳ PENDING</t>
        </is>
      </c>
    </row>
    <row r="101">
      <c r="B101" s="157" t="inlineStr">
        <is>
          <t>Shashirekha Basavaraju</t>
        </is>
      </c>
      <c r="C101" s="179">
        <f>D8</f>
        <v/>
      </c>
      <c r="D101" s="179">
        <f>D71</f>
        <v/>
      </c>
      <c r="E101" s="179">
        <f>SUM(D72:D81)</f>
        <v/>
      </c>
      <c r="F101" s="179">
        <f>C101-D101-E101</f>
        <v/>
      </c>
      <c r="G101" s="157" t="inlineStr">
        <is>
          <t>⏳ PENDING</t>
        </is>
      </c>
    </row>
    <row r="102">
      <c r="B102" s="170" t="inlineStr">
        <is>
          <t>TOTAL</t>
        </is>
      </c>
      <c r="C102" s="187">
        <f>C100+C101</f>
        <v/>
      </c>
      <c r="D102" s="187">
        <f>D100+D101</f>
        <v/>
      </c>
      <c r="E102" s="187">
        <f>E100+E101</f>
        <v/>
      </c>
      <c r="F102" s="187">
        <f>F100+F101</f>
        <v/>
      </c>
      <c r="G102" s="170" t="n"/>
    </row>
    <row r="104" ht="15.6" customHeight="1" s="392">
      <c r="B104" s="160" t="inlineStr">
        <is>
          <t xml:space="preserve">  H.  ACQUISITION PAYMENT — SPLIT BY OWNERSHIP SHARE  ($385,000 BALANCE DUE)</t>
        </is>
      </c>
      <c r="C104" s="312" t="n"/>
      <c r="D104" s="312" t="n"/>
      <c r="E104" s="312" t="n"/>
      <c r="F104" s="312" t="n"/>
      <c r="G104" s="160" t="n"/>
      <c r="H104" s="160" t="n"/>
    </row>
    <row r="105">
      <c r="B105" s="170" t="inlineStr">
        <is>
          <t>Partner</t>
        </is>
      </c>
      <c r="C105" s="186" t="inlineStr">
        <is>
          <t>Share %</t>
        </is>
      </c>
      <c r="D105" s="186" t="inlineStr">
        <is>
          <t>Share of $390k Total ($)</t>
        </is>
      </c>
      <c r="E105" s="186" t="inlineStr">
        <is>
          <t>Advance Credited ($)</t>
        </is>
      </c>
      <c r="F105" s="186" t="inlineStr">
        <is>
          <t>Balance Owed to Prev. Owners ($)</t>
        </is>
      </c>
      <c r="G105" s="170" t="inlineStr">
        <is>
          <t>Status</t>
        </is>
      </c>
    </row>
    <row r="106">
      <c r="B106" s="155" t="inlineStr">
        <is>
          <t>Lohith Reddy</t>
        </is>
      </c>
      <c r="C106" s="193">
        <f>C6</f>
        <v/>
      </c>
      <c r="D106" s="177">
        <f>C106*D13</f>
        <v/>
      </c>
      <c r="E106" s="177">
        <f>D14</f>
        <v/>
      </c>
      <c r="F106" s="177">
        <f>D106-E106</f>
        <v/>
      </c>
      <c r="G106" s="155" t="inlineStr">
        <is>
          <t>⏳ Pending — $134,500 balance outstanding</t>
        </is>
      </c>
    </row>
    <row r="107">
      <c r="B107" s="157" t="inlineStr">
        <is>
          <t>Kashigoud Patil</t>
        </is>
      </c>
      <c r="C107" s="194">
        <f>C7</f>
        <v/>
      </c>
      <c r="D107" s="179">
        <f>C107*D13</f>
        <v/>
      </c>
      <c r="E107" s="179" t="n">
        <v>0</v>
      </c>
      <c r="F107" s="179">
        <f>D107-E107</f>
        <v/>
      </c>
      <c r="G107" s="157" t="inlineStr">
        <is>
          <t>⏳ Pending — $134,500 balance outstanding</t>
        </is>
      </c>
    </row>
    <row r="108">
      <c r="B108" s="155" t="inlineStr">
        <is>
          <t>Shashirekha Basavaraju</t>
        </is>
      </c>
      <c r="C108" s="193">
        <f>C8</f>
        <v/>
      </c>
      <c r="D108" s="177">
        <f>C108*D13</f>
        <v/>
      </c>
      <c r="E108" s="177" t="n">
        <v>0</v>
      </c>
      <c r="F108" s="177">
        <f>D108-E108</f>
        <v/>
      </c>
      <c r="G108" s="155" t="inlineStr">
        <is>
          <t>⏳ Pending — $134,500 balance outstanding</t>
        </is>
      </c>
    </row>
    <row r="109">
      <c r="B109" s="170" t="inlineStr">
        <is>
          <t>TOTAL</t>
        </is>
      </c>
      <c r="C109" s="195" t="n">
        <v>1</v>
      </c>
      <c r="D109" s="187">
        <f>D106+D107+D108</f>
        <v/>
      </c>
      <c r="E109" s="187">
        <f>E106+E107+E108</f>
        <v/>
      </c>
      <c r="F109" s="187">
        <f>F106+F107+F108</f>
        <v/>
      </c>
      <c r="G109" s="170">
        <f>IF(F109=0,"✅ Fully Paid","⏳ Balance: $"&amp;TEXT(F109,"#,##0"))</f>
        <v/>
      </c>
    </row>
    <row r="112" ht="15.6" customHeight="1" s="392">
      <c r="B112" s="160" t="inlineStr">
        <is>
          <t xml:space="preserve">  I.  RENOVATION &amp; CAPITAL EXPENSES — POST-OPENING</t>
        </is>
      </c>
    </row>
    <row r="113">
      <c r="B113" s="170" t="inlineStr">
        <is>
          <t>Description</t>
        </is>
      </c>
      <c r="C113" s="186" t="inlineStr">
        <is>
          <t>Date</t>
        </is>
      </c>
      <c r="D113" s="186" t="inlineStr">
        <is>
          <t>Amount ($)</t>
        </is>
      </c>
      <c r="E113" s="186" t="inlineStr">
        <is>
          <t>Paid By</t>
        </is>
      </c>
      <c r="F113" s="186" t="inlineStr">
        <is>
          <t>Category</t>
        </is>
      </c>
      <c r="G113" s="170" t="inlineStr">
        <is>
          <t>Status</t>
        </is>
      </c>
      <c r="H113" t="inlineStr">
        <is>
          <t>Notes</t>
        </is>
      </c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C119" s="242" t="n"/>
      <c r="D119" s="243" t="n"/>
    </row>
    <row r="120">
      <c r="C120" s="242" t="n"/>
      <c r="D120" s="243" t="n"/>
    </row>
    <row r="121">
      <c r="C121" s="242" t="n"/>
      <c r="D121" s="243" t="n"/>
    </row>
    <row r="122">
      <c r="C122" s="242" t="n"/>
      <c r="D122" s="243" t="n"/>
    </row>
    <row r="123">
      <c r="C123" s="242" t="n"/>
      <c r="D123" s="243" t="n"/>
    </row>
    <row r="124">
      <c r="C124" s="242" t="n"/>
      <c r="D124" s="243" t="n"/>
    </row>
    <row r="125">
      <c r="C125" s="242" t="n"/>
      <c r="D125" s="243" t="n"/>
    </row>
    <row r="126">
      <c r="C126" s="242" t="n"/>
      <c r="D126" s="243" t="n"/>
    </row>
    <row r="127">
      <c r="C127" s="242" t="n"/>
      <c r="D127" s="243" t="n"/>
    </row>
    <row r="128">
      <c r="C128" s="242" t="n"/>
      <c r="D128" s="243" t="n"/>
    </row>
    <row r="129">
      <c r="B129" s="163" t="inlineStr">
        <is>
          <t>RENOVATION / CAPEX TOTAL</t>
        </is>
      </c>
      <c r="D129" s="171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92">
      <c r="B132" s="284" t="inlineStr">
        <is>
          <t xml:space="preserve">  J.  LOHITH — CASH POSITION  (funds managed: own budget + partner transfers)</t>
        </is>
      </c>
    </row>
    <row r="133">
      <c r="B133" s="251" t="inlineStr">
        <is>
          <t>My Total Budget</t>
        </is>
      </c>
      <c r="D133" s="252">
        <f>D6</f>
        <v/>
      </c>
    </row>
    <row r="134">
      <c r="B134" s="251" t="inlineStr">
        <is>
          <t>+ Kashigoud Transferred to Me</t>
        </is>
      </c>
      <c r="D134" s="252">
        <f>D42</f>
        <v/>
      </c>
    </row>
    <row r="135">
      <c r="B135" s="251" t="inlineStr">
        <is>
          <t>+ Shashirekha Transferred to Me</t>
        </is>
      </c>
      <c r="D135" s="252">
        <f>D71</f>
        <v/>
      </c>
    </row>
    <row r="136">
      <c r="B136" s="255">
        <f>Total Funds In</f>
        <v/>
      </c>
      <c r="D136" s="285">
        <f>D133+D134+D135</f>
        <v/>
      </c>
    </row>
    <row r="137">
      <c r="B137" s="251" t="inlineStr">
        <is>
          <t>− Pre-Opening Expenses (excl. $5k advance)</t>
        </is>
      </c>
      <c r="D137" s="252">
        <f>D67-D56</f>
        <v/>
      </c>
    </row>
    <row r="138">
      <c r="B138" s="251" t="inlineStr">
        <is>
          <t>− Paid to Previous Owners (incl. $15,530 electricity + Jun 19 $50,735)</t>
        </is>
      </c>
      <c r="D138" s="252">
        <f>SUM(D14:D30)</f>
        <v/>
      </c>
    </row>
    <row r="139">
      <c r="B139" s="254">
        <f>REMAINING WITH ME</f>
        <v/>
      </c>
      <c r="D139" s="286">
        <f>D136-D137-D138</f>
        <v/>
      </c>
    </row>
    <row r="142">
      <c r="B142" s="293" t="n"/>
    </row>
    <row r="143">
      <c r="B143" s="205" t="n"/>
      <c r="C143" s="394" t="n"/>
      <c r="D143" s="207" t="n"/>
      <c r="E143" s="393" t="n"/>
      <c r="F143" s="393" t="n"/>
      <c r="G143" s="205" t="n"/>
    </row>
    <row r="144">
      <c r="B144" s="205" t="n"/>
      <c r="C144" s="394" t="n"/>
      <c r="D144" s="207" t="n"/>
      <c r="E144" s="393" t="n"/>
      <c r="F144" s="393" t="n"/>
      <c r="G14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92" min="1" max="1"/>
    <col width="18" customWidth="1" style="392" min="2" max="2"/>
    <col width="14" customWidth="1" style="392" min="3" max="7"/>
    <col width="16" customWidth="1" style="392" min="8" max="8"/>
    <col width="14" customWidth="1" style="392" min="9" max="14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92">
      <c r="A2" s="377" t="inlineStr">
        <is>
          <t>🍽️  LOKA Cafe Restaurante</t>
        </is>
      </c>
      <c r="H2" s="350" t="inlineStr">
        <is>
          <t>Restaurant Manager — powered by Soft + Excel</t>
        </is>
      </c>
    </row>
    <row r="3" ht="3.75" customHeight="1" s="392">
      <c r="A3" s="360" t="n"/>
    </row>
    <row r="4" ht="7.5" customHeight="1" s="392"/>
    <row r="5" ht="36" customHeight="1" s="392">
      <c r="B5" s="362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36" t="n"/>
      <c r="D5" s="336" t="n"/>
      <c r="E5" s="336" t="n"/>
      <c r="F5" s="336" t="n"/>
      <c r="G5" s="336" t="n"/>
      <c r="H5" s="336" t="n"/>
      <c r="I5" s="336" t="n"/>
      <c r="J5" s="336" t="n"/>
      <c r="K5" s="336" t="n"/>
      <c r="L5" s="336" t="n"/>
      <c r="M5" s="336" t="n"/>
    </row>
    <row r="6" ht="9.75" customHeight="1" s="392"/>
    <row r="7" ht="19.5" customHeight="1" s="392">
      <c r="B7" s="335" t="inlineStr">
        <is>
          <t xml:space="preserve">  💰  REVENUE  (auto-pulled from Daily Log)</t>
        </is>
      </c>
      <c r="C7" s="336" t="n"/>
      <c r="D7" s="336" t="n"/>
      <c r="E7" s="336" t="n"/>
      <c r="F7" s="336" t="n"/>
      <c r="G7" s="336" t="n"/>
      <c r="H7" s="336" t="n"/>
      <c r="I7" s="336" t="n"/>
      <c r="J7" s="336" t="n"/>
      <c r="K7" s="336" t="n"/>
      <c r="L7" s="336" t="n"/>
      <c r="M7" s="336" t="n"/>
    </row>
    <row r="8" ht="6" customHeight="1" s="392"/>
    <row r="9" ht="18" customHeight="1" s="392">
      <c r="B9" s="323" t="inlineStr">
        <is>
          <t>TODAY'S REVENUE</t>
        </is>
      </c>
      <c r="C9" s="321" t="n"/>
      <c r="D9" s="323" t="inlineStr">
        <is>
          <t>WEEK REVENUE</t>
        </is>
      </c>
      <c r="E9" s="321" t="n"/>
      <c r="F9" s="323" t="inlineStr">
        <is>
          <t>MONTH REVENUE</t>
        </is>
      </c>
      <c r="G9" s="321" t="n"/>
      <c r="H9" s="323" t="inlineStr">
        <is>
          <t>TODAY'S EXPENSES</t>
        </is>
      </c>
      <c r="I9" s="321" t="n"/>
      <c r="J9" s="323" t="inlineStr">
        <is>
          <t>TODAY'S NET PROFIT</t>
        </is>
      </c>
      <c r="K9" s="321" t="n"/>
      <c r="L9" s="323" t="inlineStr">
        <is>
          <t>AVG TICKET</t>
        </is>
      </c>
      <c r="M9" s="321" t="n"/>
    </row>
    <row r="10" ht="19.5" customHeight="1" s="392">
      <c r="B10" s="356">
        <f>'📅 Daily Log'!F6</f>
        <v/>
      </c>
      <c r="C10" s="326" t="n"/>
      <c r="D10" s="325">
        <f>'📅 Daily Log'!N6</f>
        <v/>
      </c>
      <c r="E10" s="326" t="n"/>
      <c r="F10" s="352">
        <f>'📅 Daily Log'!O6</f>
        <v/>
      </c>
      <c r="G10" s="326" t="n"/>
      <c r="H10" s="330">
        <f>'📅 Daily Log'!H6</f>
        <v/>
      </c>
      <c r="I10" s="326" t="n"/>
      <c r="J10" s="356">
        <f>'📅 Daily Log'!I6</f>
        <v/>
      </c>
      <c r="K10" s="326" t="n"/>
      <c r="L10" s="375">
        <f>IFERROR('📅 Daily Log'!F6/'📅 Daily Log'!G6,0)</f>
        <v/>
      </c>
      <c r="M10" s="326" t="n"/>
    </row>
    <row r="11" ht="19.5" customHeight="1" s="392">
      <c r="B11" s="327" t="n"/>
      <c r="D11" s="327" t="n"/>
      <c r="F11" s="327" t="n"/>
      <c r="H11" s="327" t="n"/>
      <c r="J11" s="327" t="n"/>
      <c r="L11" s="327" t="n"/>
    </row>
    <row r="12" ht="19.5" customHeight="1" s="392">
      <c r="B12" s="327" t="n"/>
      <c r="D12" s="327" t="n"/>
      <c r="F12" s="327" t="n"/>
      <c r="H12" s="327" t="n"/>
      <c r="J12" s="327" t="n"/>
      <c r="L12" s="327" t="n"/>
    </row>
    <row r="13" ht="9.75" customHeight="1" s="392"/>
    <row r="14" ht="19.5" customHeight="1" s="392">
      <c r="B14" s="335" t="inlineStr">
        <is>
          <t xml:space="preserve">  📊  OPERATIONS</t>
        </is>
      </c>
      <c r="C14" s="336" t="n"/>
      <c r="D14" s="336" t="n"/>
      <c r="E14" s="336" t="n"/>
      <c r="F14" s="336" t="n"/>
      <c r="G14" s="336" t="n"/>
      <c r="H14" s="336" t="n"/>
      <c r="I14" s="336" t="n"/>
      <c r="J14" s="336" t="n"/>
      <c r="K14" s="336" t="n"/>
      <c r="L14" s="336" t="n"/>
      <c r="M14" s="336" t="n"/>
    </row>
    <row r="15" ht="6" customHeight="1" s="392"/>
    <row r="16" ht="18" customHeight="1" s="392">
      <c r="B16" s="323" t="inlineStr">
        <is>
          <t>TODAY'S ORDERS</t>
        </is>
      </c>
      <c r="C16" s="321" t="n"/>
      <c r="D16" s="323" t="inlineStr">
        <is>
          <t>WEEK ORDERS</t>
        </is>
      </c>
      <c r="E16" s="321" t="n"/>
      <c r="F16" s="323" t="inlineStr">
        <is>
          <t>PROFIT MARGIN %</t>
        </is>
      </c>
      <c r="G16" s="321" t="n"/>
      <c r="H16" s="323" t="inlineStr">
        <is>
          <t>LOW STOCK ITEMS</t>
        </is>
      </c>
      <c r="I16" s="321" t="n"/>
      <c r="J16" s="323" t="inlineStr">
        <is>
          <t>WEEK EXPENSES</t>
        </is>
      </c>
      <c r="K16" s="321" t="n"/>
      <c r="L16" s="323" t="inlineStr">
        <is>
          <t>PENDING ORDERS</t>
        </is>
      </c>
      <c r="M16" s="321" t="n"/>
    </row>
    <row r="17" ht="19.5" customHeight="1" s="392">
      <c r="B17" s="358">
        <f>'📅 Daily Log'!G6</f>
        <v/>
      </c>
      <c r="C17" s="326" t="n"/>
      <c r="D17" s="35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26" t="n"/>
      <c r="F17" s="364">
        <f>IFERROR('📅 Daily Log'!J6,0)</f>
        <v/>
      </c>
      <c r="G17" s="326" t="n"/>
      <c r="H17" s="365">
        <f>'📦 Inventory'!H5</f>
        <v/>
      </c>
      <c r="I17" s="326" t="n"/>
      <c r="J17" s="330">
        <f>'📅 Daily Log'!P6</f>
        <v/>
      </c>
      <c r="K17" s="326" t="n"/>
      <c r="L17" s="332">
        <f>'🚚 Suppliers'!H5</f>
        <v/>
      </c>
      <c r="M17" s="326" t="n"/>
    </row>
    <row r="18" ht="19.5" customHeight="1" s="392">
      <c r="B18" s="327" t="n"/>
      <c r="D18" s="327" t="n"/>
      <c r="F18" s="327" t="n"/>
      <c r="H18" s="327" t="n"/>
      <c r="J18" s="327" t="n"/>
      <c r="L18" s="327" t="n"/>
    </row>
    <row r="19" ht="19.5" customHeight="1" s="392">
      <c r="B19" s="327" t="n"/>
      <c r="D19" s="327" t="n"/>
      <c r="F19" s="327" t="n"/>
      <c r="H19" s="327" t="n"/>
      <c r="J19" s="327" t="n"/>
      <c r="L19" s="327" t="n"/>
    </row>
    <row r="20" ht="9.75" customHeight="1" s="392"/>
    <row r="21" ht="19.5" customHeight="1" s="392">
      <c r="B21" s="335" t="inlineStr">
        <is>
          <t xml:space="preserve">  📅  LAST 10 DAYS  (from Daily Log — updates automatically)</t>
        </is>
      </c>
      <c r="C21" s="336" t="n"/>
      <c r="D21" s="336" t="n"/>
      <c r="E21" s="336" t="n"/>
      <c r="F21" s="336" t="n"/>
      <c r="G21" s="336" t="n"/>
      <c r="H21" s="336" t="n"/>
      <c r="I21" s="336" t="n"/>
      <c r="J21" s="336" t="n"/>
      <c r="K21" s="336" t="n"/>
      <c r="L21" s="336" t="n"/>
      <c r="M21" s="336" t="n"/>
    </row>
    <row r="22" ht="27.75" customHeight="1" s="392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3" t="inlineStr">
        <is>
          <t>vs Prev Day</t>
        </is>
      </c>
      <c r="L22" s="321" t="n"/>
      <c r="M22" s="317" t="n"/>
    </row>
    <row r="23" ht="16.5" customHeight="1" s="392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38" t="inlineStr">
        <is>
          <t>—</t>
        </is>
      </c>
      <c r="L23" s="321" t="n"/>
      <c r="M23" s="317" t="n"/>
    </row>
    <row r="24" ht="16.5" customHeight="1" s="392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0">
        <f>IFERROR(IF(D24&gt;D23,"▲ +"&amp;TEXT(D24-D23,"$#,##0"),IF(D24&lt;D23,"▼ "&amp;TEXT(D24-D23,"$#,##0"),"— same")),"")</f>
        <v/>
      </c>
      <c r="L24" s="321" t="n"/>
      <c r="M24" s="317" t="n"/>
    </row>
    <row r="25" ht="16.5" customHeight="1" s="392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38">
        <f>IFERROR(IF(D25&gt;D24,"▲ +"&amp;TEXT(D25-D24,"$#,##0"),IF(D25&lt;D24,"▼ "&amp;TEXT(D25-D24,"$#,##0"),"— same")),"")</f>
        <v/>
      </c>
      <c r="L25" s="321" t="n"/>
      <c r="M25" s="317" t="n"/>
    </row>
    <row r="26" ht="16.5" customHeight="1" s="392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0">
        <f>IFERROR(IF(D26&gt;D25,"▲ +"&amp;TEXT(D26-D25,"$#,##0"),IF(D26&lt;D25,"▼ "&amp;TEXT(D26-D25,"$#,##0"),"— same")),"")</f>
        <v/>
      </c>
      <c r="L26" s="321" t="n"/>
      <c r="M26" s="317" t="n"/>
    </row>
    <row r="27" ht="16.5" customHeight="1" s="392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38">
        <f>IFERROR(IF(D27&gt;D26,"▲ +"&amp;TEXT(D27-D26,"$#,##0"),IF(D27&lt;D26,"▼ "&amp;TEXT(D27-D26,"$#,##0"),"— same")),"")</f>
        <v/>
      </c>
      <c r="L27" s="321" t="n"/>
      <c r="M27" s="317" t="n"/>
    </row>
    <row r="28" ht="16.5" customHeight="1" s="392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0">
        <f>IFERROR(IF(D28&gt;D27,"▲ +"&amp;TEXT(D28-D27,"$#,##0"),IF(D28&lt;D27,"▼ "&amp;TEXT(D28-D27,"$#,##0"),"— same")),"")</f>
        <v/>
      </c>
      <c r="L28" s="321" t="n"/>
      <c r="M28" s="317" t="n"/>
    </row>
    <row r="29" ht="16.5" customHeight="1" s="392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38">
        <f>IFERROR(IF(D29&gt;D28,"▲ +"&amp;TEXT(D29-D28,"$#,##0"),IF(D29&lt;D28,"▼ "&amp;TEXT(D29-D28,"$#,##0"),"— same")),"")</f>
        <v/>
      </c>
      <c r="L29" s="321" t="n"/>
      <c r="M29" s="317" t="n"/>
    </row>
    <row r="30" ht="16.5" customHeight="1" s="392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0">
        <f>IFERROR(IF(D30&gt;D29,"▲ +"&amp;TEXT(D30-D29,"$#,##0"),IF(D30&lt;D29,"▼ "&amp;TEXT(D30-D29,"$#,##0"),"— same")),"")</f>
        <v/>
      </c>
      <c r="L30" s="321" t="n"/>
      <c r="M30" s="317" t="n"/>
    </row>
    <row r="31" ht="16.5" customHeight="1" s="392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38">
        <f>IFERROR(IF(D31&gt;D30,"▲ +"&amp;TEXT(D31-D30,"$#,##0"),IF(D31&lt;D30,"▼ "&amp;TEXT(D31-D30,"$#,##0"),"— same")),"")</f>
        <v/>
      </c>
      <c r="L31" s="321" t="n"/>
      <c r="M31" s="317" t="n"/>
    </row>
    <row r="32" ht="16.5" customHeight="1" s="392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0">
        <f>IFERROR(IF(D32&gt;D31,"▲ +"&amp;TEXT(D32-D31,"$#,##0"),IF(D32&lt;D31,"▼ "&amp;TEXT(D32-D31,"$#,##0"),"— same")),"")</f>
        <v/>
      </c>
      <c r="L32" s="321" t="n"/>
      <c r="M32" s="317" t="n"/>
    </row>
    <row r="33" ht="9.75" customHeight="1" s="392"/>
    <row r="34" ht="19.5" customHeight="1" s="392">
      <c r="B34" s="335" t="inlineStr">
        <is>
          <t xml:space="preserve">  ⚠️  INVENTORY ALERTS  (from Inventory sheet)</t>
        </is>
      </c>
      <c r="C34" s="336" t="n"/>
      <c r="D34" s="336" t="n"/>
      <c r="E34" s="336" t="n"/>
      <c r="F34" s="336" t="n"/>
      <c r="G34" s="336" t="n"/>
      <c r="H34" s="336" t="n"/>
      <c r="I34" s="336" t="n"/>
      <c r="J34" s="336" t="n"/>
      <c r="K34" s="336" t="n"/>
      <c r="L34" s="336" t="n"/>
      <c r="M34" s="336" t="n"/>
    </row>
    <row r="35" ht="27.75" customHeight="1" s="392">
      <c r="B35" s="316" t="inlineStr">
        <is>
          <t>Ingredient</t>
        </is>
      </c>
      <c r="C35" s="321" t="n"/>
      <c r="D35" s="317" t="n"/>
      <c r="E35" s="6" t="n"/>
      <c r="F35" s="316" t="inlineStr">
        <is>
          <t>Min Level</t>
        </is>
      </c>
      <c r="G35" s="317" t="n"/>
      <c r="H35" s="316" t="inlineStr">
        <is>
          <t>Status</t>
        </is>
      </c>
      <c r="I35" s="317" t="n"/>
      <c r="J35" s="316" t="inlineStr">
        <is>
          <t>Action Needed</t>
        </is>
      </c>
      <c r="K35" s="321" t="n"/>
      <c r="L35" s="321" t="n"/>
      <c r="M35" s="317" t="n"/>
    </row>
    <row r="36" ht="16.5" customHeight="1" s="392">
      <c r="B36" s="361">
        <f>'📦 Inventory'!B9</f>
        <v/>
      </c>
      <c r="C36" s="321" t="n"/>
      <c r="D36" s="321" t="n"/>
      <c r="E36" s="346">
        <f>'📦 Inventory'!E9</f>
        <v/>
      </c>
      <c r="F36" s="321" t="n"/>
      <c r="G36" s="355">
        <f>'📦 Inventory'!F9</f>
        <v/>
      </c>
      <c r="H36" s="321" t="n"/>
      <c r="I36" s="328">
        <f>'📦 Inventory'!J9</f>
        <v/>
      </c>
      <c r="J36" s="321" t="n"/>
      <c r="K36" s="328">
        <f>IF('📦 Inventory'!E9=0,"🚫 Order immediately",IF('📦 Inventory'!E9&lt;='📦 Inventory'!F9,"⚠️ Reorder soon","✅ OK"))</f>
        <v/>
      </c>
      <c r="L36" s="321" t="n"/>
      <c r="M36" s="321" t="n"/>
    </row>
    <row r="37" ht="16.5" customHeight="1" s="392">
      <c r="B37" s="337">
        <f>'📦 Inventory'!B10</f>
        <v/>
      </c>
      <c r="C37" s="321" t="n"/>
      <c r="D37" s="321" t="n"/>
      <c r="E37" s="371">
        <f>'📦 Inventory'!E10</f>
        <v/>
      </c>
      <c r="F37" s="321" t="n"/>
      <c r="G37" s="372">
        <f>'📦 Inventory'!F10</f>
        <v/>
      </c>
      <c r="H37" s="321" t="n"/>
      <c r="I37" s="373">
        <f>'📦 Inventory'!J10</f>
        <v/>
      </c>
      <c r="J37" s="321" t="n"/>
      <c r="K37" s="373">
        <f>IF('📦 Inventory'!E10=0,"🚫 Order immediately",IF('📦 Inventory'!E10&lt;='📦 Inventory'!F10,"⚠️ Reorder soon","✅ OK"))</f>
        <v/>
      </c>
      <c r="L37" s="321" t="n"/>
      <c r="M37" s="321" t="n"/>
    </row>
    <row r="38" ht="16.5" customHeight="1" s="392">
      <c r="B38" s="361">
        <f>'📦 Inventory'!B11</f>
        <v/>
      </c>
      <c r="C38" s="321" t="n"/>
      <c r="D38" s="321" t="n"/>
      <c r="E38" s="346">
        <f>'📦 Inventory'!E11</f>
        <v/>
      </c>
      <c r="F38" s="321" t="n"/>
      <c r="G38" s="355">
        <f>'📦 Inventory'!F11</f>
        <v/>
      </c>
      <c r="H38" s="321" t="n"/>
      <c r="I38" s="328">
        <f>'📦 Inventory'!J11</f>
        <v/>
      </c>
      <c r="J38" s="321" t="n"/>
      <c r="K38" s="328">
        <f>IF('📦 Inventory'!E11=0,"🚫 Order immediately",IF('📦 Inventory'!E11&lt;='📦 Inventory'!F11,"⚠️ Reorder soon","✅ OK"))</f>
        <v/>
      </c>
      <c r="L38" s="321" t="n"/>
      <c r="M38" s="321" t="n"/>
    </row>
    <row r="39" ht="16.5" customHeight="1" s="392">
      <c r="B39" s="337">
        <f>'📦 Inventory'!B12</f>
        <v/>
      </c>
      <c r="C39" s="321" t="n"/>
      <c r="D39" s="321" t="n"/>
      <c r="E39" s="371">
        <f>'📦 Inventory'!E12</f>
        <v/>
      </c>
      <c r="F39" s="321" t="n"/>
      <c r="G39" s="372">
        <f>'📦 Inventory'!F12</f>
        <v/>
      </c>
      <c r="H39" s="321" t="n"/>
      <c r="I39" s="373">
        <f>'📦 Inventory'!J12</f>
        <v/>
      </c>
      <c r="J39" s="321" t="n"/>
      <c r="K39" s="373">
        <f>IF('📦 Inventory'!E12=0,"🚫 Order immediately",IF('📦 Inventory'!E12&lt;='📦 Inventory'!F12,"⚠️ Reorder soon","✅ OK"))</f>
        <v/>
      </c>
      <c r="L39" s="321" t="n"/>
      <c r="M39" s="321" t="n"/>
    </row>
    <row r="40" ht="16.5" customHeight="1" s="392">
      <c r="B40" s="361">
        <f>'📦 Inventory'!B13</f>
        <v/>
      </c>
      <c r="C40" s="321" t="n"/>
      <c r="D40" s="321" t="n"/>
      <c r="E40" s="346">
        <f>'📦 Inventory'!E13</f>
        <v/>
      </c>
      <c r="F40" s="321" t="n"/>
      <c r="G40" s="355">
        <f>'📦 Inventory'!F13</f>
        <v/>
      </c>
      <c r="H40" s="321" t="n"/>
      <c r="I40" s="328">
        <f>'📦 Inventory'!J13</f>
        <v/>
      </c>
      <c r="J40" s="321" t="n"/>
      <c r="K40" s="328">
        <f>IF('📦 Inventory'!E13=0,"🚫 Order immediately",IF('📦 Inventory'!E13&lt;='📦 Inventory'!F13,"⚠️ Reorder soon","✅ OK"))</f>
        <v/>
      </c>
      <c r="L40" s="321" t="n"/>
      <c r="M40" s="321" t="n"/>
    </row>
    <row r="41" ht="7.5" customHeight="1" s="392"/>
    <row r="42" ht="30" customHeight="1" s="392">
      <c r="B42" s="322" t="inlineStr">
        <is>
          <t>💼  CAPITAL &amp; ACQUISITION STATUS  —  live from Capital &amp; Ownership sheet</t>
        </is>
      </c>
    </row>
    <row r="43" ht="6" customHeight="1" s="392"/>
    <row r="44" ht="16.05" customHeight="1" s="392">
      <c r="B44" s="374" t="inlineStr">
        <is>
          <t>TOTAL BUDGET</t>
        </is>
      </c>
      <c r="C44" s="315" t="n"/>
      <c r="D44" s="384" t="inlineStr">
        <is>
          <t>TOTAL CASH OUT</t>
        </is>
      </c>
      <c r="E44" s="315" t="n"/>
      <c r="F44" s="385" t="inlineStr">
        <is>
          <t>REMAINING BUDGET</t>
        </is>
      </c>
      <c r="G44" s="315" t="n"/>
      <c r="H44" s="381" t="inlineStr">
        <is>
          <t>ACQUISITION PRICE</t>
        </is>
      </c>
      <c r="I44" s="315" t="n"/>
      <c r="J44" s="378" t="inlineStr">
        <is>
          <t>ADVANCE PAID</t>
        </is>
      </c>
      <c r="K44" s="315" t="n"/>
      <c r="L44" s="366" t="inlineStr">
        <is>
          <t>BALANCE PENDING</t>
        </is>
      </c>
      <c r="M44" s="315" t="n"/>
    </row>
    <row r="45" ht="22.05" customHeight="1" s="392">
      <c r="B45" s="376">
        <f>'Capital &amp; Ownership'!C75</f>
        <v/>
      </c>
      <c r="C45" s="315" t="n"/>
      <c r="D45" s="334">
        <f>'Capital &amp; Ownership'!C86</f>
        <v/>
      </c>
      <c r="E45" s="315" t="n"/>
      <c r="F45" s="357">
        <f>'Capital &amp; Ownership'!C87</f>
        <v/>
      </c>
      <c r="G45" s="315" t="n"/>
      <c r="H45" s="344">
        <f>'Capital &amp; Ownership'!C76</f>
        <v/>
      </c>
      <c r="I45" s="315" t="n"/>
      <c r="J45" s="340">
        <f>'Capital &amp; Ownership'!C77</f>
        <v/>
      </c>
      <c r="K45" s="315" t="n"/>
      <c r="L45" s="341">
        <f>'Capital &amp; Ownership'!C78</f>
        <v/>
      </c>
      <c r="M45" s="315" t="n"/>
    </row>
    <row r="46" ht="16.05" customHeight="1" s="392">
      <c r="B46" s="379" t="inlineStr">
        <is>
          <t>All 3 partners</t>
        </is>
      </c>
      <c r="C46" s="315" t="n"/>
      <c r="D46" s="380" t="inlineStr">
        <is>
          <t>Excl. internal transfers</t>
        </is>
      </c>
      <c r="E46" s="315" t="n"/>
      <c r="F46" s="363" t="inlineStr">
        <is>
          <t>Available for operations</t>
        </is>
      </c>
      <c r="G46" s="315" t="n"/>
      <c r="H46" s="382" t="inlineStr">
        <is>
          <t>To previous owners</t>
        </is>
      </c>
      <c r="I46" s="315" t="n"/>
      <c r="J46" s="367" t="inlineStr">
        <is>
          <t>✅ Paid by Lohith</t>
        </is>
      </c>
      <c r="K46" s="315" t="n"/>
      <c r="L46" s="368" t="inlineStr">
        <is>
          <t>⏳ Outstanding</t>
        </is>
      </c>
      <c r="M46" s="315" t="n"/>
    </row>
    <row r="47" ht="7.95" customHeight="1" s="392"/>
    <row r="48" ht="22.05" customHeight="1" s="392">
      <c r="B48" s="370" t="inlineStr">
        <is>
          <t xml:space="preserve">  👥  OWNER CAPITAL SUMMARY</t>
        </is>
      </c>
    </row>
    <row r="49" ht="19.95" customHeight="1" s="392">
      <c r="B49" s="348" t="inlineStr">
        <is>
          <t>OWNER</t>
        </is>
      </c>
      <c r="C49" s="315" t="n"/>
      <c r="D49" s="348" t="inlineStr">
        <is>
          <t>SHARE %</t>
        </is>
      </c>
      <c r="E49" s="315" t="n"/>
      <c r="F49" s="348" t="inlineStr">
        <is>
          <t>CAPITAL ($)</t>
        </is>
      </c>
      <c r="G49" s="348" t="inlineStr">
        <is>
          <t>ROLE</t>
        </is>
      </c>
      <c r="H49" s="348" t="inlineStr">
        <is>
          <t>EXPENSES ($)</t>
        </is>
      </c>
      <c r="I49" s="315" t="n"/>
      <c r="J49" s="348" t="inlineStr">
        <is>
          <t>REMAINING ($)</t>
        </is>
      </c>
      <c r="K49" s="315" t="n"/>
      <c r="L49" s="348" t="inlineStr">
        <is>
          <t>% SPENT</t>
        </is>
      </c>
      <c r="M49" s="315" t="n"/>
    </row>
    <row r="50" ht="19.95" customHeight="1" s="392">
      <c r="B50" s="347">
        <f>'Capital &amp; Ownership'!B6</f>
        <v/>
      </c>
      <c r="C50" s="315" t="n"/>
      <c r="D50" s="333">
        <f>'Capital &amp; Ownership'!C6</f>
        <v/>
      </c>
      <c r="E50" s="315" t="n"/>
      <c r="F50" s="342">
        <f>'Capital &amp; Ownership'!D6</f>
        <v/>
      </c>
      <c r="G50" s="324" t="inlineStr">
        <is>
          <t>50% — Managing Partner</t>
        </is>
      </c>
      <c r="H50" s="342">
        <f>'Capital &amp; Ownership'!E6</f>
        <v/>
      </c>
      <c r="I50" s="315" t="n"/>
      <c r="J50" s="342">
        <f>'Capital &amp; Ownership'!F6</f>
        <v/>
      </c>
      <c r="K50" s="315" t="n"/>
      <c r="L50" s="333">
        <f>IFERROR('Capital &amp; Ownership'!E6/'Capital &amp; Ownership'!D6,0)</f>
        <v/>
      </c>
      <c r="M50" s="315" t="n"/>
    </row>
    <row r="51" ht="19.95" customHeight="1" s="392">
      <c r="B51" s="349">
        <f>'Capital &amp; Ownership'!B7</f>
        <v/>
      </c>
      <c r="C51" s="315" t="n"/>
      <c r="D51" s="351">
        <f>'Capital &amp; Ownership'!C7</f>
        <v/>
      </c>
      <c r="E51" s="315" t="n"/>
      <c r="F51" s="369">
        <f>'Capital &amp; Ownership'!D7</f>
        <v/>
      </c>
      <c r="G51" s="26" t="inlineStr">
        <is>
          <t>30% — Partner</t>
        </is>
      </c>
      <c r="H51" s="369">
        <f>'Capital &amp; Ownership'!E7</f>
        <v/>
      </c>
      <c r="I51" s="315" t="n"/>
      <c r="J51" s="369">
        <f>'Capital &amp; Ownership'!F7</f>
        <v/>
      </c>
      <c r="K51" s="315" t="n"/>
      <c r="L51" s="351">
        <f>IFERROR('Capital &amp; Ownership'!E7/'Capital &amp; Ownership'!D7,0)</f>
        <v/>
      </c>
      <c r="M51" s="315" t="n"/>
    </row>
    <row r="52" ht="19.95" customHeight="1" s="392">
      <c r="B52" s="347">
        <f>'Capital &amp; Ownership'!B8</f>
        <v/>
      </c>
      <c r="C52" s="315" t="n"/>
      <c r="D52" s="333">
        <f>'Capital &amp; Ownership'!C8</f>
        <v/>
      </c>
      <c r="E52" s="315" t="n"/>
      <c r="F52" s="342">
        <f>'Capital &amp; Ownership'!D8</f>
        <v/>
      </c>
      <c r="G52" s="324" t="inlineStr">
        <is>
          <t>20% — Partner</t>
        </is>
      </c>
      <c r="H52" s="342">
        <f>'Capital &amp; Ownership'!E8</f>
        <v/>
      </c>
      <c r="I52" s="315" t="n"/>
      <c r="J52" s="342">
        <f>'Capital &amp; Ownership'!F8</f>
        <v/>
      </c>
      <c r="K52" s="315" t="n"/>
      <c r="L52" s="333">
        <f>IFERROR('Capital &amp; Ownership'!E8/'Capital &amp; Ownership'!D8,0)</f>
        <v/>
      </c>
      <c r="M52" s="315" t="n"/>
    </row>
    <row r="53" ht="22.05" customHeight="1" s="392">
      <c r="B53" s="359" t="inlineStr">
        <is>
          <t>TOTAL</t>
        </is>
      </c>
      <c r="C53" s="315" t="n"/>
      <c r="D53" s="331">
        <f>'Capital &amp; Ownership'!C9</f>
        <v/>
      </c>
      <c r="E53" s="315" t="n"/>
      <c r="F53" s="314">
        <f>'Capital &amp; Ownership'!D9</f>
        <v/>
      </c>
      <c r="G53" s="348" t="n"/>
      <c r="H53" s="314">
        <f>'Capital &amp; Ownership'!E9</f>
        <v/>
      </c>
      <c r="I53" s="315" t="n"/>
      <c r="J53" s="314">
        <f>'Capital &amp; Ownership'!F9</f>
        <v/>
      </c>
      <c r="K53" s="315" t="n"/>
      <c r="L53" s="331">
        <f>IFERROR('Capital &amp; Ownership'!E9/'Capital &amp; Ownership'!D9,0)</f>
        <v/>
      </c>
      <c r="M53" s="315" t="n"/>
    </row>
    <row r="54" ht="7.95" customHeight="1" s="392"/>
    <row r="55" ht="22.05" customHeight="1" s="392">
      <c r="B55" s="370" t="inlineStr">
        <is>
          <t xml:space="preserve">  🧾  PRE-OPENING EXPENSES BREAKDOWN</t>
        </is>
      </c>
    </row>
    <row r="56" ht="19.95" customHeight="1" s="392">
      <c r="B56" s="348" t="inlineStr">
        <is>
          <t>EXPENSE ITEM</t>
        </is>
      </c>
      <c r="C56" s="319" t="n"/>
      <c r="D56" s="315" t="n"/>
      <c r="E56" s="348" t="inlineStr">
        <is>
          <t>PAID BY</t>
        </is>
      </c>
      <c r="F56" s="315" t="n"/>
      <c r="G56" s="348" t="inlineStr">
        <is>
          <t>AMOUNT ($)</t>
        </is>
      </c>
      <c r="H56" s="315" t="n"/>
      <c r="I56" s="348" t="inlineStr">
        <is>
          <t>CATEGORY</t>
        </is>
      </c>
      <c r="J56" s="315" t="n"/>
      <c r="K56" s="348" t="inlineStr">
        <is>
          <t>STATUS</t>
        </is>
      </c>
      <c r="L56" s="315" t="n"/>
    </row>
    <row r="57" ht="19.95" customHeight="1" s="392">
      <c r="B57" s="329">
        <f>'Capital &amp; Ownership'!B13</f>
        <v/>
      </c>
      <c r="C57" s="319" t="n"/>
      <c r="D57" s="315" t="n"/>
      <c r="E57" s="354" t="inlineStr">
        <is>
          <t>All Partners</t>
        </is>
      </c>
      <c r="F57" s="315" t="n"/>
      <c r="G57" s="339">
        <f>'Capital &amp; Ownership'!D13</f>
        <v/>
      </c>
      <c r="H57" s="315" t="n"/>
      <c r="I57" s="354" t="inlineStr">
        <is>
          <t>Acquisition</t>
        </is>
      </c>
      <c r="J57" s="315" t="n"/>
      <c r="K57" s="354" t="inlineStr">
        <is>
          <t>⚠️ Not Fully Paid</t>
        </is>
      </c>
      <c r="L57" s="315" t="n"/>
    </row>
    <row r="58" ht="19.95" customHeight="1" s="392">
      <c r="B58" s="318">
        <f>'Capital &amp; Ownership'!B14</f>
        <v/>
      </c>
      <c r="C58" s="319" t="n"/>
      <c r="D58" s="315" t="n"/>
      <c r="E58" s="343" t="inlineStr">
        <is>
          <t>Lohith Reddy</t>
        </is>
      </c>
      <c r="F58" s="315" t="n"/>
      <c r="G58" s="345">
        <f>'Capital &amp; Ownership'!D14</f>
        <v/>
      </c>
      <c r="H58" s="315" t="n"/>
      <c r="I58" s="343" t="inlineStr">
        <is>
          <t>Acquisition Advance</t>
        </is>
      </c>
      <c r="J58" s="315" t="n"/>
      <c r="K58" s="343" t="inlineStr">
        <is>
          <t>✅ Paid</t>
        </is>
      </c>
      <c r="L58" s="315" t="n"/>
    </row>
    <row r="59" ht="19.95" customHeight="1" s="392">
      <c r="B59" s="318">
        <f>'Capital &amp; Ownership'!B35</f>
        <v/>
      </c>
      <c r="C59" s="319" t="n"/>
      <c r="D59" s="315" t="n"/>
      <c r="E59" s="343" t="inlineStr">
        <is>
          <t>Kashigoud Patil</t>
        </is>
      </c>
      <c r="F59" s="315" t="n"/>
      <c r="G59" s="345">
        <f>'Capital &amp; Ownership'!D35</f>
        <v/>
      </c>
      <c r="H59" s="315" t="n"/>
      <c r="I59" s="343" t="inlineStr">
        <is>
          <t>Software / License</t>
        </is>
      </c>
      <c r="J59" s="315" t="n"/>
      <c r="K59" s="343" t="inlineStr">
        <is>
          <t>✅ Paid</t>
        </is>
      </c>
      <c r="L59" s="315" t="n"/>
    </row>
    <row r="60" ht="19.95" customHeight="1" s="392">
      <c r="B60" s="318">
        <f>'Capital &amp; Ownership'!B36</f>
        <v/>
      </c>
      <c r="C60" s="319" t="n"/>
      <c r="D60" s="315" t="n"/>
      <c r="E60" s="343" t="inlineStr">
        <is>
          <t>Kashigoud Patil</t>
        </is>
      </c>
      <c r="F60" s="315" t="n"/>
      <c r="G60" s="345">
        <f>'Capital &amp; Ownership'!D36</f>
        <v/>
      </c>
      <c r="H60" s="315" t="n"/>
      <c r="I60" s="343" t="inlineStr">
        <is>
          <t>Equipment</t>
        </is>
      </c>
      <c r="J60" s="315" t="n"/>
      <c r="K60" s="343" t="inlineStr">
        <is>
          <t>✅ Paid</t>
        </is>
      </c>
      <c r="L60" s="315" t="n"/>
    </row>
    <row r="61" ht="19.95" customHeight="1" s="392">
      <c r="B61" s="347">
        <f>'Capital &amp; Ownership'!B47</f>
        <v/>
      </c>
      <c r="C61" s="319" t="n"/>
      <c r="D61" s="315" t="n"/>
      <c r="E61" s="324" t="inlineStr">
        <is>
          <t>Lohith Reddy</t>
        </is>
      </c>
      <c r="F61" s="315" t="n"/>
      <c r="G61" s="342">
        <f>'Capital &amp; Ownership'!D47</f>
        <v/>
      </c>
      <c r="H61" s="315" t="n"/>
      <c r="I61" s="324" t="inlineStr">
        <is>
          <t>Legal / Notary</t>
        </is>
      </c>
      <c r="J61" s="315" t="n"/>
      <c r="K61" s="324" t="inlineStr">
        <is>
          <t>✅ Paid</t>
        </is>
      </c>
      <c r="L61" s="315" t="n"/>
    </row>
    <row r="62" ht="19.95" customHeight="1" s="392">
      <c r="B62" s="347">
        <f>'Capital &amp; Ownership'!B50</f>
        <v/>
      </c>
      <c r="C62" s="319" t="n"/>
      <c r="D62" s="315" t="n"/>
      <c r="E62" s="324" t="inlineStr">
        <is>
          <t>Lohith Reddy</t>
        </is>
      </c>
      <c r="F62" s="315" t="n"/>
      <c r="G62" s="342">
        <f>'Capital &amp; Ownership'!D50</f>
        <v/>
      </c>
      <c r="H62" s="315" t="n"/>
      <c r="I62" s="324" t="inlineStr">
        <is>
          <t>Legal / Insurance</t>
        </is>
      </c>
      <c r="J62" s="315" t="n"/>
      <c r="K62" s="324" t="inlineStr">
        <is>
          <t>✅ Paid</t>
        </is>
      </c>
      <c r="L62" s="315" t="n"/>
    </row>
    <row r="63" ht="19.95" customHeight="1" s="392">
      <c r="B63" s="347">
        <f>'Capital &amp; Ownership'!B51</f>
        <v/>
      </c>
      <c r="C63" s="319" t="n"/>
      <c r="D63" s="315" t="n"/>
      <c r="E63" s="324" t="inlineStr">
        <is>
          <t>Lohith Reddy</t>
        </is>
      </c>
      <c r="F63" s="315" t="n"/>
      <c r="G63" s="342">
        <f>'Capital &amp; Ownership'!D51</f>
        <v/>
      </c>
      <c r="H63" s="315" t="n"/>
      <c r="I63" s="324" t="inlineStr">
        <is>
          <t>Professional Services</t>
        </is>
      </c>
      <c r="J63" s="315" t="n"/>
      <c r="K63" s="324" t="inlineStr">
        <is>
          <t>✅ Paid</t>
        </is>
      </c>
      <c r="L63" s="315" t="n"/>
    </row>
    <row r="64" ht="19.95" customHeight="1" s="392">
      <c r="B64" s="383" t="inlineStr">
        <is>
          <t xml:space="preserve">  ℹ️  Internal transfers:  Kashigoud → Lohith  $125,000  |  Shashirekha → Lohith  $100,000  (not counted as expenses — capital reallocation only)</t>
        </is>
      </c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  <c r="L64" s="319" t="n"/>
      <c r="M64" s="315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392" min="1" max="1"/>
    <col width="18" customWidth="1" style="392" min="2" max="2"/>
    <col width="16" customWidth="1" style="392" min="3" max="5"/>
    <col width="12" customWidth="1" style="392" min="6" max="6"/>
    <col width="14" customWidth="1" style="392" min="7" max="7"/>
    <col width="16" customWidth="1" style="392" min="8" max="9"/>
    <col width="12" customWidth="1" style="392" min="10" max="10"/>
    <col width="30" customWidth="1" style="392" min="11" max="11"/>
    <col width="16" customWidth="1" style="392" min="12" max="17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92">
      <c r="A2" s="377" t="inlineStr">
        <is>
          <t>📅  LOKA — DAILY LOG</t>
        </is>
      </c>
      <c r="I2" s="350" t="inlineStr">
        <is>
          <t>Enter 2 values from Soft App each day → everything else calculates</t>
        </is>
      </c>
    </row>
    <row r="3" ht="3.75" customHeight="1" s="392">
      <c r="A3" s="360" t="n"/>
    </row>
    <row r="4" ht="7.5" customHeight="1" s="392"/>
    <row r="5" ht="49.5" customHeight="1" s="392">
      <c r="B5" s="362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36" t="n"/>
      <c r="D5" s="336" t="n"/>
      <c r="E5" s="336" t="n"/>
      <c r="F5" s="336" t="n"/>
      <c r="G5" s="336" t="n"/>
      <c r="H5" s="336" t="n"/>
      <c r="I5" s="336" t="n"/>
      <c r="J5" s="336" t="n"/>
      <c r="K5" s="336" t="n"/>
      <c r="L5" s="336" t="n"/>
      <c r="M5" s="336" t="n"/>
      <c r="N5" s="336" t="n"/>
      <c r="O5" s="336" t="n"/>
      <c r="P5" s="336" t="n"/>
    </row>
    <row r="6" ht="7.5" customHeight="1" s="392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92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392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392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392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392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392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392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392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392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392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392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392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392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392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392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392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392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392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392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392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392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392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392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392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392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392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392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392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392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392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392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392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392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392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392">
      <c r="B41" s="248" t="n">
        <v>46193</v>
      </c>
      <c r="C41" s="302" t="inlineStr">
        <is>
          <t>Sat</t>
        </is>
      </c>
      <c r="D41" s="303" t="n">
        <v>1172</v>
      </c>
      <c r="E41" s="49" t="n">
        <v>1079</v>
      </c>
      <c r="F41" s="50">
        <f>IFERROR(D41+E41+G41,0)</f>
        <v/>
      </c>
      <c r="G41" s="304" t="n">
        <v>0</v>
      </c>
      <c r="H41" s="305">
        <f>SUMIFS('💸 Expenses'!$F$8:$F$500,'💸 Expenses'!$B$8:$B$500,"&gt;="&amp;B41,'💸 Expenses'!$B$8:$B$500,"&lt;"&amp;(B41+1))</f>
        <v/>
      </c>
      <c r="I41" s="306">
        <f>IFERROR(F41-H41,0)</f>
        <v/>
      </c>
      <c r="J41" s="307">
        <f>IFERROR(I41/F41,0)</f>
        <v/>
      </c>
      <c r="K41" s="301" t="n"/>
      <c r="L41" s="308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392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392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392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392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392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392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392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392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392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392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392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392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392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392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392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392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392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392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392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392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392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392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392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392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392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392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392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392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392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392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392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392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392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392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392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392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392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392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392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392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392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392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392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392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392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392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392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392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392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392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392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392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392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392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392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392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392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392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392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392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392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392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392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392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392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392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392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392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392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392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392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392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392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392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392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392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392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392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392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392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392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392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392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392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392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392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392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392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392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392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392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392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392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392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392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392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392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392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392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392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392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392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392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392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392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392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392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392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392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392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392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392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392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392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392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392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392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392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392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392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392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392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392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392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392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392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392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392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392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392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392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392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392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392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392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392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392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392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392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392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392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392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392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392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392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392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392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392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392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392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392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392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392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392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392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392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392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392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392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392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392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392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392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392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392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392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392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392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392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392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392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392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392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392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392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392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392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392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392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392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392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392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392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392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392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392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392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392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392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392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392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392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392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392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392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392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392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392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392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392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392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392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392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392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392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392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392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392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392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392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392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392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392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392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392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392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392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392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392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392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392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392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392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392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392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392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392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392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392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392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392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392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392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392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392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392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392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392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392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392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392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392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392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392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392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392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392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392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392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392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392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392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392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392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392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392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392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392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392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392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392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392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392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392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392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392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392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392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392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392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392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392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392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392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392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392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392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392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392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392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392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392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392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392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392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392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392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392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392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392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392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392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392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392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392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392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392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392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392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392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392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392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392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392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392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392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392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392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392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392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392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392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392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392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392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392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392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392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392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392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392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392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392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392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392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392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392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392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392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392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392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392" min="1" max="1"/>
    <col width="14" customWidth="1" style="392" min="2" max="2"/>
    <col width="24" customWidth="1" style="392" min="3" max="3"/>
    <col width="22" customWidth="1" style="392" min="4" max="4"/>
    <col width="19.77734375" customWidth="1" style="392" min="5" max="5"/>
    <col width="16" customWidth="1" style="392" min="6" max="6"/>
    <col width="14" customWidth="1" style="392" min="7" max="7"/>
    <col width="16" customWidth="1" style="392" min="8" max="8"/>
    <col width="18" customWidth="1" style="392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92">
      <c r="A2" s="377" t="inlineStr">
        <is>
          <t>💸  LOKA — EXPENSES TRACKER</t>
        </is>
      </c>
      <c r="E2" s="350" t="inlineStr">
        <is>
          <t>Log every cost: ingredients, staff, utilities, supplies…</t>
        </is>
      </c>
    </row>
    <row r="3">
      <c r="A3" s="360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92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92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92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92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92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92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92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92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92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92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92" t="n">
        <v>46193</v>
      </c>
      <c r="C295" s="294" t="inlineStr">
        <is>
          <t>Aceite La Posada 800 (x2)</t>
        </is>
      </c>
      <c r="D295" s="295" t="inlineStr">
        <is>
          <t>OXXO</t>
        </is>
      </c>
      <c r="E295" s="294" t="inlineStr">
        <is>
          <t>Ingredients - Pantry</t>
        </is>
      </c>
      <c r="F295" s="67" t="n">
        <v>312</v>
      </c>
      <c r="G295" s="296" t="inlineStr">
        <is>
          <t>Restaurant</t>
        </is>
      </c>
      <c r="H295" s="296" t="inlineStr">
        <is>
          <t>Card</t>
        </is>
      </c>
      <c r="I295" s="297" t="inlineStr">
        <is>
          <t>✅ Paid</t>
        </is>
      </c>
      <c r="J295" t="inlineStr">
        <is>
          <t>Débito **3982 · Folio 178400</t>
        </is>
      </c>
    </row>
    <row r="296">
      <c r="B296" s="292" t="n">
        <v>46193</v>
      </c>
      <c r="C296" s="298" t="inlineStr">
        <is>
          <t>Queso Gouda Menona 2.01 kg @ $135</t>
        </is>
      </c>
      <c r="D296" s="299" t="inlineStr">
        <is>
          <t>La Bodega del Buen Queso</t>
        </is>
      </c>
      <c r="E296" s="298" t="inlineStr">
        <is>
          <t>Ingredients - Dairy</t>
        </is>
      </c>
      <c r="F296" s="70" t="n">
        <v>271.35</v>
      </c>
      <c r="G296" s="300" t="inlineStr">
        <is>
          <t>Restaurant</t>
        </is>
      </c>
      <c r="H296" s="300" t="inlineStr">
        <is>
          <t>Cash</t>
        </is>
      </c>
      <c r="I296" s="301" t="inlineStr">
        <is>
          <t>✅ Paid</t>
        </is>
      </c>
      <c r="J296" t="inlineStr">
        <is>
          <t>Nota 0032364 (Oh lele)</t>
        </is>
      </c>
    </row>
    <row r="297">
      <c r="B297" s="292" t="n">
        <v>46193</v>
      </c>
      <c r="C297" s="294" t="inlineStr">
        <is>
          <t>Arrachera (beef)</t>
        </is>
      </c>
      <c r="D297" s="295" t="inlineStr">
        <is>
          <t>Miscelánea LC La Cruz</t>
        </is>
      </c>
      <c r="E297" s="294" t="inlineStr">
        <is>
          <t>Ingredients - Meat</t>
        </is>
      </c>
      <c r="F297" s="67" t="n">
        <v>474</v>
      </c>
      <c r="G297" s="296" t="inlineStr">
        <is>
          <t>Restaurant</t>
        </is>
      </c>
      <c r="H297" s="296" t="inlineStr">
        <is>
          <t>Card</t>
        </is>
      </c>
      <c r="I297" s="297" t="inlineStr">
        <is>
          <t>✅ Paid</t>
        </is>
      </c>
      <c r="J297" t="inlineStr">
        <is>
          <t>Getnet **3982 · Aut 941892</t>
        </is>
      </c>
    </row>
    <row r="298">
      <c r="B298" s="292" t="n">
        <v>46193</v>
      </c>
      <c r="C298" s="298" t="inlineStr">
        <is>
          <t>Salsa BBQ 3.8L + Pan hamburguesa x12 + Pan arándano x4</t>
        </is>
      </c>
      <c r="D298" s="299" t="inlineStr">
        <is>
          <t>REAL La Cruz</t>
        </is>
      </c>
      <c r="E298" s="298" t="inlineStr">
        <is>
          <t>Ingredients - Bread</t>
        </is>
      </c>
      <c r="F298" s="70" t="n">
        <v>544</v>
      </c>
      <c r="G298" s="300" t="inlineStr">
        <is>
          <t>Restaurant</t>
        </is>
      </c>
      <c r="H298" s="300" t="inlineStr">
        <is>
          <t>Card</t>
        </is>
      </c>
      <c r="I298" s="301" t="inlineStr">
        <is>
          <t>✅ Paid</t>
        </is>
      </c>
      <c r="J298" t="inlineStr">
        <is>
          <t>Folio 4323 · less $6 desc</t>
        </is>
      </c>
    </row>
    <row r="299">
      <c r="B299" s="292" t="n">
        <v>46193</v>
      </c>
      <c r="C299" s="294" t="inlineStr">
        <is>
          <t>Hamburguesa Vegetal + Eggo Waffles</t>
        </is>
      </c>
      <c r="D299" s="295" t="inlineStr">
        <is>
          <t>Costco Querétaro</t>
        </is>
      </c>
      <c r="E299" s="294" t="inlineStr">
        <is>
          <t>Supermarket / General</t>
        </is>
      </c>
      <c r="F299" s="67" t="n">
        <v>566.73</v>
      </c>
      <c r="G299" s="296" t="inlineStr">
        <is>
          <t>Restaurant</t>
        </is>
      </c>
      <c r="H299" s="296" t="inlineStr">
        <is>
          <t>Card</t>
        </is>
      </c>
      <c r="I299" s="297" t="inlineStr">
        <is>
          <t>✅ Paid</t>
        </is>
      </c>
      <c r="J299" t="inlineStr">
        <is>
          <t>Amex **1000 · Ticket 5774</t>
        </is>
      </c>
    </row>
    <row r="300">
      <c r="B300" s="292" t="n">
        <v>46193</v>
      </c>
      <c r="C300" s="298" t="inlineStr">
        <is>
          <t>Tortillas Blanca 4.980 kg</t>
        </is>
      </c>
      <c r="D300" s="299" t="inlineStr">
        <is>
          <t>Chedraui Paseo</t>
        </is>
      </c>
      <c r="E300" s="298" t="inlineStr">
        <is>
          <t>Ingredients - Bread</t>
        </is>
      </c>
      <c r="F300" s="70" t="n">
        <v>66.73</v>
      </c>
      <c r="G300" s="300" t="inlineStr">
        <is>
          <t>Restaurant</t>
        </is>
      </c>
      <c r="H300" s="300" t="inlineStr">
        <is>
          <t>Card</t>
        </is>
      </c>
      <c r="I300" s="301" t="inlineStr">
        <is>
          <t>✅ Paid</t>
        </is>
      </c>
      <c r="J300" t="inlineStr">
        <is>
          <t>Crédito BBVA **2684 · Folio 0011</t>
        </is>
      </c>
    </row>
    <row r="301">
      <c r="B301" s="292" t="n">
        <v>46193</v>
      </c>
      <c r="C301" s="294" t="inlineStr">
        <is>
          <t>Vegetables</t>
        </is>
      </c>
      <c r="D301" s="295" t="inlineStr">
        <is>
          <t>Local purchase</t>
        </is>
      </c>
      <c r="E301" s="294" t="inlineStr">
        <is>
          <t>Ingredients - Vegetables</t>
        </is>
      </c>
      <c r="F301" s="67" t="n">
        <v>51</v>
      </c>
      <c r="G301" s="296" t="inlineStr">
        <is>
          <t>Restaurant</t>
        </is>
      </c>
      <c r="H301" s="296" t="inlineStr">
        <is>
          <t>Cash</t>
        </is>
      </c>
      <c r="I301" s="297" t="inlineStr">
        <is>
          <t>✅ Paid</t>
        </is>
      </c>
      <c r="J301" t="inlineStr">
        <is>
          <t>No receipt</t>
        </is>
      </c>
    </row>
    <row r="302">
      <c r="B302" s="292" t="n">
        <v>46193</v>
      </c>
      <c r="C302" s="298" t="inlineStr">
        <is>
          <t>Samu — Ayudante Week 5 (incl. $400 mesero top-up)</t>
        </is>
      </c>
      <c r="D302" s="299" t="inlineStr">
        <is>
          <t>Payroll</t>
        </is>
      </c>
      <c r="E302" s="298" t="inlineStr">
        <is>
          <t>Staff - Salary</t>
        </is>
      </c>
      <c r="F302" s="70" t="n">
        <v>1200</v>
      </c>
      <c r="G302" s="300" t="inlineStr">
        <is>
          <t>Restaurant</t>
        </is>
      </c>
      <c r="H302" s="300" t="inlineStr">
        <is>
          <t>Cash</t>
        </is>
      </c>
      <c r="I302" s="301" t="inlineStr">
        <is>
          <t>✅ Paid</t>
        </is>
      </c>
      <c r="J302" t="inlineStr">
        <is>
          <t>$800 base + $400 covering mesero (no mesero hired)</t>
        </is>
      </c>
    </row>
    <row r="303">
      <c r="B303" s="292" t="n">
        <v>46193</v>
      </c>
      <c r="C303" s="294" t="inlineStr">
        <is>
          <t>Duvi/Debi — Limpieza Week 5</t>
        </is>
      </c>
      <c r="D303" s="295" t="inlineStr">
        <is>
          <t>Payroll</t>
        </is>
      </c>
      <c r="E303" s="294" t="inlineStr">
        <is>
          <t>Staff - Salary</t>
        </is>
      </c>
      <c r="F303" s="67" t="n">
        <v>1500</v>
      </c>
      <c r="G303" s="296" t="inlineStr">
        <is>
          <t>Restaurant</t>
        </is>
      </c>
      <c r="H303" s="296" t="inlineStr">
        <is>
          <t>Cash</t>
        </is>
      </c>
      <c r="I303" s="297" t="inlineStr">
        <is>
          <t>✅ Paid</t>
        </is>
      </c>
      <c r="J303" t="inlineStr">
        <is>
          <t>Weekly wage</t>
        </is>
      </c>
    </row>
    <row r="304">
      <c r="B304" s="292" t="n">
        <v>46193</v>
      </c>
      <c r="C304" s="298" t="inlineStr">
        <is>
          <t>John — Head Chef Week 5 (full week)</t>
        </is>
      </c>
      <c r="D304" s="299" t="inlineStr">
        <is>
          <t>Payroll</t>
        </is>
      </c>
      <c r="E304" s="298" t="inlineStr">
        <is>
          <t>Staff - Salary</t>
        </is>
      </c>
      <c r="F304" s="70" t="n">
        <v>3750</v>
      </c>
      <c r="G304" s="300" t="inlineStr">
        <is>
          <t>Restaurant</t>
        </is>
      </c>
      <c r="H304" s="300" t="inlineStr">
        <is>
          <t>Cash</t>
        </is>
      </c>
      <c r="I304" s="301" t="inlineStr">
        <is>
          <t>✅ Paid</t>
        </is>
      </c>
      <c r="J304" t="inlineStr">
        <is>
          <t>Weekly wage</t>
        </is>
      </c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92" min="1" max="1"/>
    <col width="26" customWidth="1" style="392" min="2" max="2"/>
    <col width="16" customWidth="1" style="392" min="3" max="3"/>
    <col width="10" customWidth="1" style="392" min="4" max="4"/>
    <col width="14" customWidth="1" style="392" min="5" max="5"/>
    <col width="12" customWidth="1" style="392" min="6" max="7"/>
    <col width="14" customWidth="1" style="392" min="8" max="8"/>
    <col width="16" customWidth="1" style="392" min="9" max="9"/>
    <col width="20" customWidth="1" style="392" min="10" max="10"/>
    <col width="18" customWidth="1" style="392" min="11" max="11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92">
      <c r="A2" s="377" t="inlineStr">
        <is>
          <t>📦  LOKA — INVENTORY</t>
        </is>
      </c>
      <c r="F2" s="350" t="inlineStr">
        <is>
          <t>Update stock levels when you receive deliveries or do stock checks</t>
        </is>
      </c>
    </row>
    <row r="3" ht="3.75" customHeight="1" s="392">
      <c r="A3" s="360" t="n"/>
    </row>
    <row r="4" ht="7.5" customHeight="1" s="392"/>
    <row r="5" ht="18" customHeight="1" s="392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92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92"/>
    <row r="8" ht="19.5" customHeight="1" s="392">
      <c r="B8" s="386" t="inlineStr">
        <is>
          <t>Item Name  |  Category  |  Unit  |  Min Stock  |  Current Stock  |  Last Ordered  |  Supplier  |  Status  |  Notes</t>
        </is>
      </c>
      <c r="C8" s="321" t="n"/>
      <c r="D8" s="321" t="n"/>
      <c r="E8" s="321" t="n"/>
      <c r="F8" s="321" t="n"/>
      <c r="G8" s="321" t="n"/>
      <c r="H8" s="321" t="n"/>
      <c r="I8" s="321" t="n"/>
      <c r="J8" s="321" t="n"/>
      <c r="K8" s="321" t="n"/>
    </row>
    <row r="9" ht="27.75" customHeight="1" s="392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92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92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92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92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92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92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92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92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92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92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92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92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92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92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92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92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92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92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92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92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92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92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92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92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92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92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92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92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92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92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92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92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92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92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92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92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92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92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92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92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92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92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92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92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92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92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92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92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92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92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92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92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92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92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92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92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92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92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92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92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92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92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92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92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92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92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92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92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92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92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92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92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92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92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92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92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92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92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92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92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92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92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92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92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92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92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92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92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92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92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92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92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92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92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92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92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92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92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92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92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92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92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92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92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92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92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92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92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92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92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92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92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92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92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92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92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92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92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92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92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92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92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92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92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92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92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92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92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92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92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92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92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92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92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92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92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92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92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92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92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92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92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92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92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92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92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92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92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92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92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92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92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92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92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92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92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92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92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92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92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92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92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92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92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92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92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92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92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92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92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92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92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92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92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92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92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92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92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92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92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92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92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92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92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92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92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92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92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92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92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92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92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92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92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92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92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92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92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92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92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92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92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92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92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92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92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92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92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92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92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92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92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92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92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92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92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92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392" min="1" max="1"/>
    <col width="32.5546875" customWidth="1" style="392" min="2" max="2"/>
    <col width="19.44140625" bestFit="1" customWidth="1" style="392" min="3" max="3"/>
    <col width="15.21875" customWidth="1" style="392" min="4" max="4"/>
    <col width="13.88671875" customWidth="1" style="392" min="5" max="6"/>
    <col width="12.33203125" customWidth="1" style="392" min="7" max="7"/>
    <col width="12.88671875" customWidth="1" style="392" min="8" max="8"/>
    <col width="7.33203125" bestFit="1" customWidth="1" style="392" min="9" max="9"/>
    <col width="7.21875" bestFit="1" customWidth="1" style="392" min="10" max="10"/>
    <col width="11" bestFit="1" customWidth="1" style="392" min="11" max="11"/>
    <col width="10.77734375" bestFit="1" customWidth="1" style="392" min="12" max="12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92">
      <c r="A2" s="389" t="inlineStr">
        <is>
          <t>👥  LOKA — STAFF &amp; PAYROLL</t>
        </is>
      </c>
      <c r="D2" s="387" t="inlineStr">
        <is>
          <t>Weekly schedule + auto payroll calculation</t>
        </is>
      </c>
    </row>
    <row r="3" ht="3.75" customHeight="1" s="392"/>
    <row r="4" ht="7.5" customHeight="1" s="392"/>
    <row r="5" ht="7.5" customHeight="1" s="392" thickBot="1"/>
    <row r="6" ht="21.75" customHeight="1" s="392" thickBot="1">
      <c r="A6" s="335" t="inlineStr">
        <is>
          <t xml:space="preserve">  STAFF SCHEDULE  —  Week of:</t>
        </is>
      </c>
      <c r="B6" s="336" t="n"/>
      <c r="C6" s="336" t="n"/>
      <c r="D6" s="208">
        <f>TODAY()-WEEKDAY(TODAY(),2)+1</f>
        <v/>
      </c>
      <c r="E6" s="321" t="n"/>
      <c r="F6" s="321" t="n"/>
      <c r="G6" s="321" t="n"/>
      <c r="H6" s="321" t="n"/>
      <c r="I6" s="321" t="n"/>
      <c r="J6" s="321" t="n"/>
      <c r="K6" s="321" t="n"/>
      <c r="L6" s="321" t="n"/>
    </row>
    <row r="7" ht="27.75" customHeight="1" s="392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92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92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92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92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92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92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92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92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92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92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92"/>
    <row r="19" ht="19.5" customHeight="1" s="392" thickBot="1"/>
    <row r="20" ht="27.75" customHeight="1" s="392" thickBot="1">
      <c r="A20" s="335" t="inlineStr">
        <is>
          <t xml:space="preserve">  MONTHLY PAYROLL PROJECTION</t>
        </is>
      </c>
      <c r="B20" s="336" t="n"/>
      <c r="C20" s="336" t="n"/>
      <c r="D20" s="336" t="n"/>
      <c r="E20" s="336" t="n"/>
      <c r="F20" s="336" t="n"/>
      <c r="G20" s="336" t="n"/>
      <c r="H20" s="336" t="n"/>
      <c r="I20" s="336" t="n"/>
      <c r="J20" s="336" t="n"/>
      <c r="K20" s="336" t="n"/>
      <c r="L20" s="336" t="n"/>
    </row>
    <row r="21" ht="18" customHeight="1" s="392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92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92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92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92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92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92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92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92">
      <c r="A29" s="115">
        <f>A15</f>
        <v/>
      </c>
      <c r="B29" s="321" t="n"/>
      <c r="C29" s="321" t="n"/>
      <c r="D29" s="321" t="n"/>
      <c r="E29" s="210">
        <f>C29*D29</f>
        <v/>
      </c>
      <c r="F29" s="317" t="n"/>
      <c r="G29" s="120">
        <f>E29*(1+F29)</f>
        <v/>
      </c>
      <c r="H29" s="96" t="n"/>
    </row>
    <row r="30" ht="17.4" customHeight="1" s="392">
      <c r="A30" s="388" t="inlineStr">
        <is>
          <t>TOTAL MONTHLY PAYROLL COST</t>
        </is>
      </c>
      <c r="B30" s="321" t="n"/>
      <c r="C30" s="321" t="n"/>
      <c r="D30" s="321" t="n"/>
      <c r="E30" s="321" t="n"/>
      <c r="F30" s="317" t="n"/>
      <c r="G30" s="108">
        <f>SUM(G21:G28)</f>
        <v/>
      </c>
    </row>
    <row r="33" ht="15.6" customHeight="1" s="392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392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392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392"/>
    <row r="61" ht="15.6" customHeight="1" s="392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A72" s="242" t="n">
        <v>46193</v>
      </c>
      <c r="B72" t="inlineStr">
        <is>
          <t>Duvi/Debi (Week 5 partial)</t>
        </is>
      </c>
      <c r="D72" s="247" t="n">
        <v>120</v>
      </c>
    </row>
    <row r="73">
      <c r="A73" s="242" t="n">
        <v>46193</v>
      </c>
      <c r="B73" t="inlineStr">
        <is>
          <t>John (Week 5 partial)</t>
        </is>
      </c>
      <c r="D73" s="247" t="n">
        <v>150</v>
      </c>
    </row>
    <row r="74">
      <c r="A74" s="242" t="n"/>
      <c r="D74" s="247" t="n"/>
    </row>
    <row r="75">
      <c r="A75" s="242" t="n"/>
      <c r="D75" s="247" t="n"/>
    </row>
    <row r="76">
      <c r="A76" s="242" t="n"/>
      <c r="D76" s="247" t="n"/>
    </row>
    <row r="77">
      <c r="A77" s="242" t="n"/>
      <c r="D77" s="247" t="n"/>
    </row>
    <row r="78">
      <c r="A78" s="242" t="n"/>
      <c r="D78" s="247" t="n"/>
    </row>
    <row r="79">
      <c r="A79" s="242" t="n"/>
      <c r="D79" s="247" t="n"/>
    </row>
    <row r="80">
      <c r="A80" s="242" t="n"/>
      <c r="D80" s="247" t="n"/>
    </row>
    <row r="81">
      <c r="A81" s="242" t="n"/>
      <c r="D81" s="247" t="n"/>
    </row>
    <row r="82">
      <c r="A82" s="242" t="n"/>
      <c r="D82" s="247" t="n"/>
    </row>
    <row r="83">
      <c r="A83" s="242" t="n"/>
      <c r="D83" s="247" t="n"/>
    </row>
    <row r="84">
      <c r="A84" s="242" t="n"/>
      <c r="D84" s="247" t="n"/>
    </row>
    <row r="85">
      <c r="A85" s="242" t="n"/>
      <c r="D85" s="247" t="n"/>
    </row>
    <row r="86">
      <c r="A86" s="242" t="n"/>
      <c r="D86" s="247" t="n"/>
    </row>
    <row r="87">
      <c r="A87" s="242" t="n"/>
      <c r="D87" s="247" t="n"/>
    </row>
    <row r="88">
      <c r="A88" s="242" t="n"/>
      <c r="D88" s="247" t="n"/>
    </row>
    <row r="89">
      <c r="A89" s="242" t="n"/>
      <c r="D89" s="247" t="n"/>
    </row>
    <row r="90">
      <c r="A90" s="242" t="n"/>
      <c r="D90" s="247" t="n"/>
    </row>
    <row r="91">
      <c r="A91" s="242" t="n"/>
      <c r="D91" s="247" t="n"/>
    </row>
    <row r="92">
      <c r="A92" s="242" t="n"/>
      <c r="D92" s="247" t="n"/>
    </row>
    <row r="93">
      <c r="B93" t="inlineStr">
        <is>
          <t>TOTAL TIPS PASSED THROUGH</t>
        </is>
      </c>
      <c r="D93" s="247">
        <f>SUM(D63:D92)</f>
        <v/>
      </c>
    </row>
    <row r="94">
      <c r="A94" t="inlineStr">
        <is>
          <t>Customer tips collected &amp; handed to staff. Excluded from P&amp;L — nets to zero (received = paid).</t>
        </is>
      </c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47" t="n">
        <v>20283</v>
      </c>
    </row>
    <row r="98">
      <c r="A98" t="inlineStr">
        <is>
          <t>Adjustment: restaurant cash added to tips + Mercado Pago commission (vs running estimate)</t>
        </is>
      </c>
      <c r="D98" s="247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92" min="1" max="1"/>
    <col width="14" customWidth="1" style="392" min="2" max="2"/>
    <col width="22" customWidth="1" style="392" min="3" max="3"/>
    <col width="20" customWidth="1" style="392" min="4" max="4"/>
    <col width="12" customWidth="1" style="392" min="5" max="5"/>
    <col width="10" customWidth="1" style="392" min="6" max="6"/>
    <col width="12" customWidth="1" style="392" min="7" max="7"/>
    <col width="14" customWidth="1" style="392" min="8" max="9"/>
    <col width="18" customWidth="1" style="392" min="10" max="10"/>
    <col width="16" customWidth="1" style="392" min="11" max="11"/>
  </cols>
  <sheetData>
    <row r="1" ht="4.5" customHeight="1" s="392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92">
      <c r="A2" s="377" t="inlineStr">
        <is>
          <t>🚚  LOKA — SUPPLIER ORDERS</t>
        </is>
      </c>
      <c r="F2" s="350" t="inlineStr">
        <is>
          <t>Track purchase orders from suppliers</t>
        </is>
      </c>
    </row>
    <row r="3" ht="3.75" customHeight="1" s="392">
      <c r="A3" s="360" t="n"/>
    </row>
    <row r="4" ht="7.5" customHeight="1" s="392"/>
    <row r="5" ht="18" customHeight="1" s="392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92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92"/>
    <row r="8" ht="19.5" customHeight="1" s="392">
      <c r="B8" s="386" t="n"/>
      <c r="C8" s="321" t="n"/>
      <c r="D8" s="321" t="n"/>
      <c r="E8" s="321" t="n"/>
      <c r="F8" s="321" t="n"/>
      <c r="G8" s="321" t="n"/>
      <c r="H8" s="321" t="n"/>
      <c r="I8" s="321" t="n"/>
      <c r="J8" s="321" t="n"/>
      <c r="K8" s="321" t="n"/>
    </row>
    <row r="9" ht="27.75" customHeight="1" s="392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92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92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92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92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92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92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92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92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92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92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92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92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92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92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92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92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92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92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92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92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92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92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92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92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92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92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92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92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92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92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92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92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92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92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92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92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92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92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92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92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92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92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92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92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92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92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92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92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92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92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92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92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92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92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92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92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92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92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92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92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92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92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92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92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92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92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92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92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92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92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92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92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92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92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92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92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92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92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92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92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92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92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92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92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92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92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92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92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92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92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92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92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92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92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92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92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92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92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92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92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92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92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92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92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92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92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92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92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92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92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92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92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92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92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92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92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92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92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92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92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92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92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92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92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92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92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92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92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92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92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92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92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92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92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92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92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92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92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92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92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92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92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92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92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92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92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92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92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92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92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92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92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92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92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92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92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92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92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92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92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92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92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92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92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92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92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92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92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92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92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92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92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92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92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92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92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92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92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92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92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92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92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92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92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92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92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92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92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92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92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92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92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92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92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92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92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92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92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92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92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92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92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92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92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92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92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92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92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92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92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92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92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92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92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92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92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92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92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92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92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92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92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92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92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92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92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92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92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92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92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92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92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92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92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92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92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92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92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92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92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92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92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92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92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92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92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92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92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92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92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92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92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92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92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92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92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92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92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92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92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92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92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92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92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92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92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92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92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92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92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92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92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92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92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92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92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92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92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92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92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92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92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92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92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92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92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92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92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92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92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92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92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92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92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92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92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92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92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92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92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92" min="2" max="2"/>
    <col width="14.33203125" bestFit="1" customWidth="1" style="392" min="3" max="3"/>
    <col width="44" bestFit="1" customWidth="1" style="392" min="4" max="4"/>
    <col width="87.77734375" bestFit="1" customWidth="1" style="392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4" customWidth="1" style="392" min="1" max="1"/>
    <col width="15" customWidth="1" style="392" min="2" max="8"/>
    <col width="15" customWidth="1" style="392" min="3" max="3"/>
    <col width="9" customWidth="1" style="392" min="4" max="4"/>
    <col width="9" customWidth="1" style="392" min="5" max="5"/>
    <col width="9" customWidth="1" style="392" min="6" max="6"/>
    <col width="9" customWidth="1" style="392" min="7" max="7"/>
    <col width="9" customWidth="1" style="392" min="8" max="8"/>
    <col width="9" customWidth="1" style="392" min="9" max="9"/>
    <col width="9" customWidth="1" style="392" min="10" max="10"/>
    <col width="9" customWidth="1" style="392" min="11" max="11"/>
    <col width="9" customWidth="1" style="392" min="12" max="12"/>
  </cols>
  <sheetData>
    <row r="1" ht="26" customHeight="1" s="392">
      <c r="A1" s="396" t="inlineStr">
        <is>
          <t>LOKA — MONTHLY P&amp;L   (auto-summary by month)</t>
        </is>
      </c>
      <c r="B1" s="397" t="n"/>
      <c r="C1" s="397" t="n"/>
      <c r="D1" s="398" t="n"/>
      <c r="E1" s="398" t="n"/>
      <c r="F1" s="398" t="n"/>
      <c r="G1" s="398" t="n"/>
      <c r="H1" s="398" t="n"/>
      <c r="I1" s="398" t="n"/>
      <c r="J1" s="398" t="n"/>
      <c r="K1" s="398" t="n"/>
      <c r="L1" s="398" t="n"/>
    </row>
    <row r="2" ht="37.5" customHeight="1" s="392">
      <c r="A2" s="398" t="n"/>
      <c r="B2" s="398" t="n"/>
      <c r="C2" s="398" t="n"/>
      <c r="D2" s="398" t="n"/>
      <c r="E2" s="398" t="n"/>
      <c r="F2" s="398" t="n"/>
      <c r="G2" s="398" t="n"/>
      <c r="H2" s="398" t="n"/>
      <c r="I2" s="398" t="n"/>
      <c r="J2" s="398" t="n"/>
      <c r="K2" s="398" t="n"/>
      <c r="L2" s="398" t="n"/>
    </row>
    <row r="3" ht="3.75" customHeight="1" s="392">
      <c r="A3" s="399" t="inlineStr">
        <is>
          <t>SUMMARY</t>
        </is>
      </c>
      <c r="B3" s="400" t="inlineStr">
        <is>
          <t>May 2026</t>
        </is>
      </c>
      <c r="C3" s="400" t="inlineStr">
        <is>
          <t>Jun 2026</t>
        </is>
      </c>
      <c r="D3" s="398" t="n"/>
      <c r="E3" s="398" t="n"/>
      <c r="F3" s="398" t="n"/>
      <c r="G3" s="398" t="n"/>
      <c r="H3" s="398" t="n"/>
      <c r="I3" s="398" t="n"/>
      <c r="J3" s="398" t="n"/>
      <c r="K3" s="398" t="n"/>
      <c r="L3" s="398" t="n"/>
    </row>
    <row r="4" ht="7.5" customHeight="1" s="392">
      <c r="A4" s="401" t="inlineStr">
        <is>
          <t>Total Income</t>
        </is>
      </c>
      <c r="B4" s="402" t="n">
        <v>52949</v>
      </c>
      <c r="C4" s="402" t="n">
        <v>71555</v>
      </c>
      <c r="D4" s="398" t="n"/>
      <c r="E4" s="398" t="n"/>
      <c r="F4" s="398" t="n"/>
      <c r="G4" s="398" t="n"/>
      <c r="H4" s="398" t="n"/>
      <c r="I4" s="398" t="n"/>
      <c r="J4" s="398" t="n"/>
      <c r="K4" s="398" t="n"/>
      <c r="L4" s="398" t="n"/>
    </row>
    <row r="5" ht="9.75" customHeight="1" s="392">
      <c r="A5" s="401" t="inlineStr">
        <is>
          <t>Total Expenses</t>
        </is>
      </c>
      <c r="B5" s="402" t="n">
        <v>32919.63</v>
      </c>
      <c r="C5" s="402" t="n">
        <v>86264.28999999999</v>
      </c>
      <c r="D5" s="398" t="n"/>
      <c r="E5" s="398" t="n"/>
      <c r="F5" s="398" t="n"/>
      <c r="G5" s="398" t="n"/>
      <c r="H5" s="398" t="n"/>
      <c r="I5" s="398" t="n"/>
      <c r="J5" s="398" t="n"/>
      <c r="K5" s="398" t="n"/>
      <c r="L5" s="398" t="n"/>
    </row>
    <row r="6" ht="21.75" customHeight="1" s="392">
      <c r="A6" s="403" t="inlineStr">
        <is>
          <t>NET PROFIT / LOSS</t>
        </is>
      </c>
      <c r="B6" s="404" t="n">
        <v>20029.37</v>
      </c>
      <c r="C6" s="404" t="n">
        <v>-14709.29</v>
      </c>
      <c r="D6" s="398" t="n"/>
      <c r="E6" s="398" t="n"/>
      <c r="F6" s="398" t="n"/>
      <c r="G6" s="398" t="n"/>
      <c r="H6" s="398" t="n"/>
      <c r="I6" s="398" t="n"/>
      <c r="J6" s="398" t="n"/>
      <c r="K6" s="398" t="n"/>
      <c r="L6" s="398" t="n"/>
    </row>
    <row r="7" ht="7.5" customHeight="1" s="392">
      <c r="A7" s="401" t="inlineStr">
        <is>
          <t>Trading Days</t>
        </is>
      </c>
      <c r="B7" s="405" t="n">
        <v>14</v>
      </c>
      <c r="C7" s="405" t="n">
        <v>18</v>
      </c>
      <c r="D7" s="398" t="n"/>
      <c r="E7" s="398" t="n"/>
      <c r="F7" s="398" t="n"/>
      <c r="G7" s="398" t="n"/>
      <c r="H7" s="398" t="n"/>
      <c r="I7" s="398" t="n"/>
      <c r="J7" s="398" t="n"/>
      <c r="K7" s="398" t="n"/>
      <c r="L7" s="398" t="n"/>
    </row>
    <row r="8" ht="27.75" customHeight="1" s="392">
      <c r="A8" s="401" t="inlineStr">
        <is>
          <t>Avg Income / Day</t>
        </is>
      </c>
      <c r="B8" s="402" t="n">
        <v>3782.07</v>
      </c>
      <c r="C8" s="402" t="n">
        <v>3975.28</v>
      </c>
      <c r="D8" s="398" t="n"/>
      <c r="E8" s="398" t="n"/>
      <c r="F8" s="398" t="n"/>
      <c r="G8" s="398" t="n"/>
      <c r="H8" s="398" t="n"/>
      <c r="I8" s="398" t="n"/>
      <c r="J8" s="398" t="n"/>
      <c r="K8" s="398" t="n"/>
      <c r="L8" s="398" t="n"/>
    </row>
    <row r="9" ht="19.5" customHeight="1" s="392">
      <c r="A9" s="398" t="n"/>
      <c r="B9" s="398" t="n"/>
      <c r="C9" s="398" t="n"/>
      <c r="D9" s="398" t="n"/>
      <c r="E9" s="398" t="n"/>
      <c r="F9" s="398" t="n"/>
      <c r="G9" s="398" t="n"/>
      <c r="H9" s="398" t="n"/>
      <c r="I9" s="398" t="n"/>
      <c r="J9" s="398" t="n"/>
      <c r="K9" s="398" t="n"/>
      <c r="L9" s="398" t="n"/>
    </row>
    <row r="10" ht="18" customHeight="1" s="392">
      <c r="A10" s="399" t="inlineStr">
        <is>
          <t>INCOME BY TYPE</t>
        </is>
      </c>
      <c r="B10" s="400" t="inlineStr">
        <is>
          <t>May 2026</t>
        </is>
      </c>
      <c r="C10" s="400" t="inlineStr">
        <is>
          <t>Jun 2026</t>
        </is>
      </c>
      <c r="D10" s="398" t="n"/>
      <c r="E10" s="398" t="n"/>
      <c r="F10" s="398" t="n"/>
      <c r="G10" s="398" t="n"/>
      <c r="H10" s="398" t="n"/>
      <c r="I10" s="398" t="n"/>
      <c r="J10" s="398" t="n"/>
      <c r="K10" s="398" t="n"/>
      <c r="L10" s="398" t="n"/>
    </row>
    <row r="11" ht="19.5" customHeight="1" s="392">
      <c r="A11" s="401" t="inlineStr">
        <is>
          <t>Card</t>
        </is>
      </c>
      <c r="B11" s="402" t="n">
        <v>26684</v>
      </c>
      <c r="C11" s="402" t="n">
        <v>36843</v>
      </c>
      <c r="D11" s="398" t="n"/>
      <c r="E11" s="398" t="n"/>
      <c r="F11" s="398" t="n"/>
      <c r="G11" s="398" t="n"/>
      <c r="H11" s="398" t="n"/>
      <c r="I11" s="398" t="n"/>
      <c r="J11" s="398" t="n"/>
      <c r="K11" s="398" t="n"/>
      <c r="L11" s="398" t="n"/>
    </row>
    <row r="12" ht="18" customHeight="1" s="392">
      <c r="A12" s="401" t="inlineStr">
        <is>
          <t>Cash</t>
        </is>
      </c>
      <c r="B12" s="402" t="n">
        <v>26265</v>
      </c>
      <c r="C12" s="402" t="n">
        <v>33245</v>
      </c>
      <c r="D12" s="398" t="n"/>
      <c r="E12" s="398" t="n"/>
      <c r="F12" s="398" t="n"/>
      <c r="G12" s="398" t="n"/>
      <c r="H12" s="398" t="n"/>
      <c r="I12" s="398" t="n"/>
      <c r="J12" s="398" t="n"/>
      <c r="K12" s="398" t="n"/>
      <c r="L12" s="398" t="n"/>
    </row>
    <row r="13" ht="18" customHeight="1" s="392">
      <c r="A13" s="401" t="inlineStr">
        <is>
          <t>Transfer</t>
        </is>
      </c>
      <c r="B13" s="402" t="n">
        <v>0</v>
      </c>
      <c r="C13" s="402" t="n">
        <v>1467</v>
      </c>
      <c r="D13" s="398" t="n"/>
      <c r="E13" s="398" t="n"/>
      <c r="F13" s="398" t="n"/>
      <c r="G13" s="398" t="n"/>
      <c r="H13" s="398" t="n"/>
      <c r="I13" s="398" t="n"/>
      <c r="J13" s="398" t="n"/>
      <c r="K13" s="398" t="n"/>
      <c r="L13" s="398" t="n"/>
    </row>
    <row r="14" ht="18" customHeight="1" s="392">
      <c r="A14" s="403" t="inlineStr">
        <is>
          <t>Total Income</t>
        </is>
      </c>
      <c r="B14" s="404" t="n">
        <v>52949</v>
      </c>
      <c r="C14" s="404" t="n">
        <v>71555</v>
      </c>
      <c r="D14" s="398" t="n"/>
      <c r="E14" s="398" t="n"/>
      <c r="F14" s="398" t="n"/>
      <c r="G14" s="398" t="n"/>
      <c r="H14" s="398" t="n"/>
      <c r="I14" s="398" t="n"/>
      <c r="J14" s="398" t="n"/>
      <c r="K14" s="398" t="n"/>
      <c r="L14" s="398" t="n"/>
    </row>
    <row r="15" ht="18" customHeight="1" s="392">
      <c r="A15" s="398" t="n"/>
      <c r="B15" s="398" t="n"/>
      <c r="C15" s="398" t="n"/>
      <c r="D15" s="398" t="n"/>
      <c r="E15" s="398" t="n"/>
      <c r="F15" s="398" t="n"/>
      <c r="G15" s="398" t="n"/>
      <c r="H15" s="398" t="n"/>
      <c r="I15" s="398" t="n"/>
      <c r="J15" s="398" t="n"/>
      <c r="K15" s="398" t="n"/>
      <c r="L15" s="398" t="n"/>
    </row>
    <row r="16" ht="18" customHeight="1" s="392">
      <c r="A16" s="399" t="inlineStr">
        <is>
          <t>EXPENSES BY CATEGORY (high → low)</t>
        </is>
      </c>
      <c r="B16" s="400" t="inlineStr">
        <is>
          <t>May 2026</t>
        </is>
      </c>
      <c r="C16" s="400" t="inlineStr">
        <is>
          <t>Jun 2026</t>
        </is>
      </c>
      <c r="D16" s="398" t="n"/>
      <c r="E16" s="398" t="n"/>
      <c r="F16" s="398" t="n"/>
      <c r="G16" s="398" t="n"/>
      <c r="H16" s="398" t="n"/>
      <c r="I16" s="398" t="n"/>
      <c r="J16" s="398" t="n"/>
      <c r="K16" s="398" t="n"/>
      <c r="L16" s="398" t="n"/>
    </row>
    <row r="17" ht="19.5" customHeight="1" s="392">
      <c r="A17" s="401" t="inlineStr">
        <is>
          <t>Staff - Salary</t>
        </is>
      </c>
      <c r="B17" s="402" t="n">
        <v>10666</v>
      </c>
      <c r="C17" s="402" t="n">
        <v>21406.65</v>
      </c>
      <c r="D17" s="398" t="n"/>
      <c r="E17" s="398" t="n"/>
      <c r="F17" s="398" t="n"/>
      <c r="G17" s="398" t="n"/>
      <c r="H17" s="398" t="n"/>
      <c r="I17" s="398" t="n"/>
      <c r="J17" s="398" t="n"/>
      <c r="K17" s="398" t="n"/>
      <c r="L17" s="398" t="n"/>
    </row>
    <row r="18" ht="18" customHeight="1" s="392">
      <c r="A18" s="401" t="inlineStr">
        <is>
          <t>Ingredients - Meat</t>
        </is>
      </c>
      <c r="B18" s="402" t="n">
        <v>5617.49</v>
      </c>
      <c r="C18" s="402" t="n">
        <v>16203.48</v>
      </c>
      <c r="D18" s="398" t="n"/>
      <c r="E18" s="398" t="n"/>
      <c r="F18" s="398" t="n"/>
      <c r="G18" s="398" t="n"/>
      <c r="H18" s="398" t="n"/>
      <c r="I18" s="398" t="n"/>
      <c r="J18" s="398" t="n"/>
      <c r="K18" s="398" t="n"/>
      <c r="L18" s="398" t="n"/>
    </row>
    <row r="19" ht="18" customHeight="1" s="392">
      <c r="A19" s="401" t="inlineStr">
        <is>
          <t>Rent</t>
        </is>
      </c>
      <c r="B19" s="402" t="n">
        <v>0</v>
      </c>
      <c r="C19" s="402" t="n">
        <v>15000</v>
      </c>
      <c r="D19" s="398" t="n"/>
      <c r="E19" s="398" t="n"/>
      <c r="F19" s="398" t="n"/>
      <c r="G19" s="398" t="n"/>
      <c r="H19" s="398" t="n"/>
      <c r="I19" s="398" t="n"/>
      <c r="J19" s="398" t="n"/>
      <c r="K19" s="398" t="n"/>
      <c r="L19" s="398" t="n"/>
    </row>
    <row r="20" ht="18" customHeight="1" s="392">
      <c r="A20" s="401" t="inlineStr">
        <is>
          <t>Ingredients - Vegetables</t>
        </is>
      </c>
      <c r="B20" s="402" t="n">
        <v>3439.79</v>
      </c>
      <c r="C20" s="402" t="n">
        <v>3428.63</v>
      </c>
      <c r="D20" s="398" t="n"/>
      <c r="E20" s="398" t="n"/>
      <c r="F20" s="398" t="n"/>
      <c r="G20" s="398" t="n"/>
      <c r="H20" s="398" t="n"/>
      <c r="I20" s="398" t="n"/>
      <c r="J20" s="398" t="n"/>
      <c r="K20" s="398" t="n"/>
      <c r="L20" s="398" t="n"/>
    </row>
    <row r="21" ht="18" customHeight="1" s="392">
      <c r="A21" s="401" t="inlineStr">
        <is>
          <t>Ingredients - Pantry</t>
        </is>
      </c>
      <c r="B21" s="402" t="n">
        <v>3505.54</v>
      </c>
      <c r="C21" s="402" t="n">
        <v>3309.76</v>
      </c>
      <c r="D21" s="398" t="n"/>
      <c r="E21" s="398" t="n"/>
      <c r="F21" s="398" t="n"/>
      <c r="G21" s="398" t="n"/>
      <c r="H21" s="398" t="n"/>
      <c r="I21" s="398" t="n"/>
      <c r="J21" s="398" t="n"/>
      <c r="K21" s="398" t="n"/>
      <c r="L21" s="398" t="n"/>
    </row>
    <row r="22" ht="18" customHeight="1" s="392">
      <c r="A22" s="401" t="inlineStr">
        <is>
          <t>Ingredients - Beverages</t>
        </is>
      </c>
      <c r="B22" s="402" t="n">
        <v>905.23</v>
      </c>
      <c r="C22" s="402" t="n">
        <v>5867.39</v>
      </c>
      <c r="D22" s="398" t="n"/>
      <c r="E22" s="398" t="n"/>
      <c r="F22" s="398" t="n"/>
      <c r="G22" s="398" t="n"/>
      <c r="H22" s="398" t="n"/>
      <c r="I22" s="398" t="n"/>
      <c r="J22" s="398" t="n"/>
      <c r="K22" s="398" t="n"/>
      <c r="L22" s="398" t="n"/>
    </row>
    <row r="23" ht="18" customHeight="1" s="392">
      <c r="A23" s="401" t="inlineStr">
        <is>
          <t>Ingredients - Dairy</t>
        </is>
      </c>
      <c r="B23" s="402" t="n">
        <v>2388.12</v>
      </c>
      <c r="C23" s="402" t="n">
        <v>3003.74</v>
      </c>
      <c r="D23" s="398" t="n"/>
      <c r="E23" s="398" t="n"/>
      <c r="F23" s="398" t="n"/>
      <c r="G23" s="398" t="n"/>
      <c r="H23" s="398" t="n"/>
      <c r="I23" s="398" t="n"/>
      <c r="J23" s="398" t="n"/>
      <c r="K23" s="398" t="n"/>
      <c r="L23" s="398" t="n"/>
    </row>
    <row r="24" ht="18" customHeight="1" s="392">
      <c r="A24" s="401" t="inlineStr">
        <is>
          <t>Supermarket / General</t>
        </is>
      </c>
      <c r="B24" s="402" t="n">
        <v>698</v>
      </c>
      <c r="C24" s="402" t="n">
        <v>4691.53</v>
      </c>
      <c r="D24" s="398" t="n"/>
      <c r="E24" s="398" t="n"/>
      <c r="F24" s="398" t="n"/>
      <c r="G24" s="398" t="n"/>
      <c r="H24" s="398" t="n"/>
      <c r="I24" s="398" t="n"/>
      <c r="J24" s="398" t="n"/>
      <c r="K24" s="398" t="n"/>
      <c r="L24" s="398" t="n"/>
    </row>
    <row r="25" ht="18" customHeight="1" s="392">
      <c r="A25" s="401" t="inlineStr">
        <is>
          <t>Maintenance</t>
        </is>
      </c>
      <c r="B25" s="402" t="n">
        <v>0</v>
      </c>
      <c r="C25" s="402" t="n">
        <v>5000</v>
      </c>
      <c r="D25" s="398" t="n"/>
      <c r="E25" s="398" t="n"/>
      <c r="F25" s="398" t="n"/>
      <c r="G25" s="398" t="n"/>
      <c r="H25" s="398" t="n"/>
      <c r="I25" s="398" t="n"/>
      <c r="J25" s="398" t="n"/>
      <c r="K25" s="398" t="n"/>
      <c r="L25" s="398" t="n"/>
    </row>
    <row r="26" ht="18" customHeight="1" s="392">
      <c r="A26" s="401" t="inlineStr">
        <is>
          <t>Supplies / Other</t>
        </is>
      </c>
      <c r="B26" s="402" t="n">
        <v>628.2</v>
      </c>
      <c r="C26" s="402" t="n">
        <v>3767.65</v>
      </c>
      <c r="D26" s="398" t="n"/>
      <c r="E26" s="398" t="n"/>
      <c r="F26" s="398" t="n"/>
      <c r="G26" s="398" t="n"/>
      <c r="H26" s="398" t="n"/>
      <c r="I26" s="398" t="n"/>
      <c r="J26" s="398" t="n"/>
      <c r="K26" s="398" t="n"/>
      <c r="L26" s="398" t="n"/>
    </row>
    <row r="27" ht="18" customHeight="1" s="392">
      <c r="A27" s="401" t="inlineStr">
        <is>
          <t>Ingredients - Bread</t>
        </is>
      </c>
      <c r="B27" s="402" t="n">
        <v>1976.5</v>
      </c>
      <c r="C27" s="402" t="n">
        <v>1635.27</v>
      </c>
      <c r="D27" s="398" t="n"/>
      <c r="E27" s="398" t="n"/>
      <c r="F27" s="398" t="n"/>
      <c r="G27" s="398" t="n"/>
      <c r="H27" s="398" t="n"/>
      <c r="I27" s="398" t="n"/>
      <c r="J27" s="398" t="n"/>
      <c r="K27" s="398" t="n"/>
      <c r="L27" s="398" t="n"/>
    </row>
    <row r="28" ht="18" customHeight="1" s="392">
      <c r="A28" s="401" t="inlineStr">
        <is>
          <t>Ingredients - Meat &amp; Fish</t>
        </is>
      </c>
      <c r="B28" s="402" t="n">
        <v>1540.7</v>
      </c>
      <c r="C28" s="402" t="n">
        <v>901.4</v>
      </c>
      <c r="D28" s="398" t="n"/>
      <c r="E28" s="398" t="n"/>
      <c r="F28" s="398" t="n"/>
      <c r="G28" s="398" t="n"/>
      <c r="H28" s="398" t="n"/>
      <c r="I28" s="398" t="n"/>
      <c r="J28" s="398" t="n"/>
      <c r="K28" s="398" t="n"/>
      <c r="L28" s="398" t="n"/>
    </row>
    <row r="29" ht="18" customHeight="1" s="392">
      <c r="A29" s="401" t="inlineStr">
        <is>
          <t>Ingredients - Fruit</t>
        </is>
      </c>
      <c r="B29" s="402" t="n">
        <v>794.0599999999999</v>
      </c>
      <c r="C29" s="402" t="n">
        <v>1043.79</v>
      </c>
      <c r="D29" s="398" t="n"/>
      <c r="E29" s="398" t="n"/>
      <c r="F29" s="398" t="n"/>
      <c r="G29" s="398" t="n"/>
      <c r="H29" s="398" t="n"/>
      <c r="I29" s="398" t="n"/>
      <c r="J29" s="398" t="n"/>
      <c r="K29" s="398" t="n"/>
      <c r="L29" s="398" t="n"/>
    </row>
    <row r="30" ht="19.5" customHeight="1" s="392">
      <c r="A30" s="401" t="inlineStr">
        <is>
          <t>Ingredients - Other</t>
        </is>
      </c>
      <c r="B30" s="402" t="n">
        <v>0</v>
      </c>
      <c r="C30" s="402" t="n">
        <v>608</v>
      </c>
      <c r="D30" s="398" t="n"/>
      <c r="E30" s="398" t="n"/>
      <c r="F30" s="398" t="n"/>
      <c r="G30" s="398" t="n"/>
      <c r="H30" s="398" t="n"/>
      <c r="I30" s="398" t="n"/>
      <c r="J30" s="398" t="n"/>
      <c r="K30" s="398" t="n"/>
      <c r="L30" s="398" t="n"/>
    </row>
    <row r="31" ht="18" customHeight="1" s="392">
      <c r="A31" s="401" t="inlineStr">
        <is>
          <t>Staff - Advance</t>
        </is>
      </c>
      <c r="B31" s="402" t="n">
        <v>500</v>
      </c>
      <c r="C31" s="402" t="n">
        <v>0</v>
      </c>
      <c r="D31" s="398" t="n"/>
      <c r="E31" s="398" t="n"/>
      <c r="F31" s="398" t="n"/>
      <c r="G31" s="398" t="n"/>
      <c r="H31" s="398" t="n"/>
      <c r="I31" s="398" t="n"/>
      <c r="J31" s="398" t="n"/>
      <c r="K31" s="398" t="n"/>
      <c r="L31" s="398" t="n"/>
    </row>
    <row r="32" ht="18" customHeight="1" s="392">
      <c r="A32" s="401" t="inlineStr">
        <is>
          <t>Utilities / Internet</t>
        </is>
      </c>
      <c r="B32" s="402" t="n">
        <v>0</v>
      </c>
      <c r="C32" s="402" t="n">
        <v>349</v>
      </c>
      <c r="D32" s="398" t="n"/>
      <c r="E32" s="398" t="n"/>
      <c r="F32" s="398" t="n"/>
      <c r="G32" s="398" t="n"/>
      <c r="H32" s="398" t="n"/>
      <c r="I32" s="398" t="n"/>
      <c r="J32" s="398" t="n"/>
      <c r="K32" s="398" t="n"/>
      <c r="L32" s="398" t="n"/>
    </row>
    <row r="33" ht="18" customHeight="1" s="392">
      <c r="A33" s="401" t="inlineStr">
        <is>
          <t>Ingredients - Desserts</t>
        </is>
      </c>
      <c r="B33" s="402" t="n">
        <v>260</v>
      </c>
      <c r="C33" s="402" t="n">
        <v>0</v>
      </c>
      <c r="D33" s="398" t="n"/>
      <c r="E33" s="398" t="n"/>
      <c r="F33" s="398" t="n"/>
      <c r="G33" s="398" t="n"/>
      <c r="H33" s="398" t="n"/>
      <c r="I33" s="398" t="n"/>
      <c r="J33" s="398" t="n"/>
      <c r="K33" s="398" t="n"/>
      <c r="L33" s="398" t="n"/>
    </row>
    <row r="34" ht="18" customHeight="1" s="392">
      <c r="A34" s="401" t="inlineStr">
        <is>
          <t>Ingredients - Produce</t>
        </is>
      </c>
      <c r="B34" s="402" t="n">
        <v>0</v>
      </c>
      <c r="C34" s="402" t="n">
        <v>48</v>
      </c>
      <c r="D34" s="398" t="n"/>
      <c r="E34" s="398" t="n"/>
      <c r="F34" s="398" t="n"/>
      <c r="G34" s="398" t="n"/>
      <c r="H34" s="398" t="n"/>
      <c r="I34" s="398" t="n"/>
      <c r="J34" s="398" t="n"/>
      <c r="K34" s="398" t="n"/>
      <c r="L34" s="398" t="n"/>
    </row>
    <row r="35" ht="7.5" customHeight="1" s="392">
      <c r="A35" s="403" t="inlineStr">
        <is>
          <t>TOTAL EXPENSES</t>
        </is>
      </c>
      <c r="B35" s="404" t="n">
        <v>32919.63</v>
      </c>
      <c r="C35" s="404" t="n">
        <v>86264.28999999999</v>
      </c>
      <c r="D35" s="398" t="n"/>
      <c r="E35" s="398" t="n"/>
      <c r="F35" s="398" t="n"/>
      <c r="G35" s="398" t="n"/>
      <c r="H35" s="398" t="n"/>
      <c r="I35" s="398" t="n"/>
      <c r="J35" s="398" t="n"/>
      <c r="K35" s="398" t="n"/>
      <c r="L35" s="398" t="n"/>
    </row>
    <row r="36" ht="19.5" customHeight="1" s="392">
      <c r="A36" s="403" t="inlineStr">
        <is>
          <t>NET PROFIT / LOSS</t>
        </is>
      </c>
      <c r="B36" s="404" t="n">
        <v>20029.37</v>
      </c>
      <c r="C36" s="404" t="n">
        <v>-14709.29</v>
      </c>
      <c r="D36" s="398" t="n"/>
      <c r="E36" s="398" t="n"/>
      <c r="F36" s="398" t="n"/>
      <c r="G36" s="398" t="n"/>
      <c r="H36" s="398" t="n"/>
      <c r="I36" s="398" t="n"/>
      <c r="J36" s="398" t="n"/>
      <c r="K36" s="398" t="n"/>
      <c r="L36" s="398" t="n"/>
    </row>
    <row r="37" ht="27.75" customHeight="1" s="392">
      <c r="A37" s="398" t="n"/>
      <c r="B37" s="398" t="n"/>
      <c r="C37" s="398" t="n"/>
      <c r="D37" s="398" t="n"/>
      <c r="E37" s="398" t="n"/>
      <c r="F37" s="398" t="n"/>
      <c r="G37" s="398" t="n"/>
      <c r="H37" s="398" t="n"/>
      <c r="I37" s="398" t="n"/>
      <c r="J37" s="398" t="n"/>
      <c r="K37" s="398" t="n"/>
      <c r="L37" s="398" t="n"/>
    </row>
    <row r="38" ht="18" customHeight="1" s="392">
      <c r="A38" s="398" t="n"/>
      <c r="B38" s="398" t="n"/>
      <c r="C38" s="398" t="n"/>
      <c r="D38" s="398" t="n"/>
      <c r="E38" s="398" t="n"/>
      <c r="F38" s="398" t="n"/>
      <c r="G38" s="398" t="n"/>
      <c r="H38" s="398" t="n"/>
      <c r="I38" s="398" t="n"/>
      <c r="J38" s="398" t="n"/>
      <c r="K38" s="398" t="n"/>
      <c r="L38" s="398" t="n"/>
    </row>
    <row r="39" ht="18" customHeight="1" s="392">
      <c r="A39" s="398" t="n"/>
      <c r="B39" s="398" t="n"/>
      <c r="C39" s="398" t="n"/>
      <c r="D39" s="398" t="n"/>
      <c r="E39" s="398" t="n"/>
      <c r="F39" s="398" t="n"/>
      <c r="G39" s="398" t="n"/>
      <c r="H39" s="398" t="n"/>
      <c r="I39" s="398" t="n"/>
      <c r="J39" s="398" t="n"/>
      <c r="K39" s="398" t="n"/>
      <c r="L39" s="398" t="n"/>
    </row>
    <row r="40" ht="18" customHeight="1" s="392">
      <c r="A40" s="398" t="n"/>
      <c r="B40" s="398" t="n"/>
      <c r="C40" s="398" t="n"/>
      <c r="D40" s="398" t="n"/>
      <c r="E40" s="398" t="n"/>
      <c r="F40" s="398" t="n"/>
      <c r="G40" s="398" t="n"/>
      <c r="H40" s="398" t="n"/>
      <c r="I40" s="398" t="n"/>
      <c r="J40" s="398" t="n"/>
      <c r="K40" s="398" t="n"/>
      <c r="L40" s="398" t="n"/>
    </row>
    <row r="41" ht="18" customHeight="1" s="392">
      <c r="A41" s="398" t="n"/>
      <c r="B41" s="398" t="n"/>
      <c r="C41" s="398" t="n"/>
      <c r="D41" s="398" t="n"/>
      <c r="E41" s="398" t="n"/>
      <c r="F41" s="398" t="n"/>
      <c r="G41" s="398" t="n"/>
      <c r="H41" s="398" t="n"/>
      <c r="I41" s="398" t="n"/>
      <c r="J41" s="398" t="n"/>
      <c r="K41" s="398" t="n"/>
      <c r="L41" s="398" t="n"/>
    </row>
    <row r="42" ht="18" customHeight="1" s="392">
      <c r="A42" s="398" t="n"/>
      <c r="B42" s="398" t="n"/>
      <c r="C42" s="398" t="n"/>
      <c r="D42" s="398" t="n"/>
      <c r="E42" s="398" t="n"/>
      <c r="F42" s="398" t="n"/>
      <c r="G42" s="398" t="n"/>
      <c r="H42" s="398" t="n"/>
      <c r="I42" s="398" t="n"/>
      <c r="J42" s="398" t="n"/>
      <c r="K42" s="398" t="n"/>
      <c r="L42" s="398" t="n"/>
    </row>
    <row r="43" ht="18" customHeight="1" s="392">
      <c r="A43" s="398" t="n"/>
      <c r="B43" s="398" t="n"/>
      <c r="C43" s="398" t="n"/>
      <c r="D43" s="398" t="n"/>
      <c r="E43" s="398" t="n"/>
      <c r="F43" s="398" t="n"/>
      <c r="G43" s="398" t="n"/>
      <c r="H43" s="398" t="n"/>
      <c r="I43" s="398" t="n"/>
      <c r="J43" s="398" t="n"/>
      <c r="K43" s="398" t="n"/>
      <c r="L43" s="398" t="n"/>
    </row>
    <row r="44" ht="18" customHeight="1" s="392">
      <c r="A44" s="398" t="n"/>
      <c r="B44" s="398" t="n"/>
      <c r="C44" s="398" t="n"/>
      <c r="D44" s="398" t="n"/>
      <c r="E44" s="398" t="n"/>
      <c r="F44" s="398" t="n"/>
      <c r="G44" s="398" t="n"/>
      <c r="H44" s="398" t="n"/>
      <c r="I44" s="398" t="n"/>
      <c r="J44" s="398" t="n"/>
      <c r="K44" s="398" t="n"/>
      <c r="L44" s="398" t="n"/>
    </row>
    <row r="45" ht="18" customHeight="1" s="392">
      <c r="A45" s="398" t="n"/>
      <c r="B45" s="398" t="n"/>
      <c r="C45" s="398" t="n"/>
      <c r="D45" s="398" t="n"/>
      <c r="E45" s="398" t="n"/>
      <c r="F45" s="398" t="n"/>
      <c r="G45" s="398" t="n"/>
      <c r="H45" s="398" t="n"/>
      <c r="I45" s="398" t="n"/>
      <c r="J45" s="398" t="n"/>
      <c r="K45" s="398" t="n"/>
      <c r="L45" s="398" t="n"/>
    </row>
    <row r="46" ht="18" customHeight="1" s="392">
      <c r="A46" s="398" t="n"/>
      <c r="B46" s="398" t="n"/>
      <c r="C46" s="398" t="n"/>
      <c r="D46" s="398" t="n"/>
      <c r="E46" s="398" t="n"/>
      <c r="F46" s="398" t="n"/>
      <c r="G46" s="398" t="n"/>
      <c r="H46" s="398" t="n"/>
      <c r="I46" s="398" t="n"/>
      <c r="J46" s="398" t="n"/>
      <c r="K46" s="398" t="n"/>
      <c r="L46" s="398" t="n"/>
    </row>
    <row r="47" ht="18" customHeight="1" s="392">
      <c r="A47" s="398" t="n"/>
      <c r="B47" s="398" t="n"/>
      <c r="C47" s="398" t="n"/>
      <c r="D47" s="398" t="n"/>
      <c r="E47" s="398" t="n"/>
      <c r="F47" s="398" t="n"/>
      <c r="G47" s="398" t="n"/>
      <c r="H47" s="398" t="n"/>
      <c r="I47" s="398" t="n"/>
      <c r="J47" s="398" t="n"/>
      <c r="K47" s="398" t="n"/>
      <c r="L47" s="398" t="n"/>
    </row>
    <row r="48" ht="18" customHeight="1" s="392">
      <c r="A48" s="398" t="n"/>
      <c r="B48" s="398" t="n"/>
      <c r="C48" s="398" t="n"/>
      <c r="D48" s="398" t="n"/>
      <c r="E48" s="398" t="n"/>
      <c r="F48" s="398" t="n"/>
      <c r="G48" s="398" t="n"/>
      <c r="H48" s="398" t="n"/>
      <c r="I48" s="398" t="n"/>
      <c r="J48" s="398" t="n"/>
      <c r="K48" s="398" t="n"/>
      <c r="L48" s="398" t="n"/>
    </row>
    <row r="49" ht="18" customHeight="1" s="392">
      <c r="A49" s="398" t="n"/>
      <c r="B49" s="398" t="n"/>
      <c r="C49" s="398" t="n"/>
      <c r="D49" s="398" t="n"/>
      <c r="E49" s="398" t="n"/>
      <c r="F49" s="398" t="n"/>
      <c r="G49" s="398" t="n"/>
      <c r="H49" s="398" t="n"/>
      <c r="I49" s="398" t="n"/>
      <c r="J49" s="398" t="n"/>
      <c r="K49" s="398" t="n"/>
      <c r="L49" s="398" t="n"/>
    </row>
    <row r="50" ht="18" customHeight="1" s="392">
      <c r="A50" s="398" t="n"/>
      <c r="B50" s="398" t="n"/>
      <c r="C50" s="398" t="n"/>
      <c r="D50" s="398" t="n"/>
      <c r="E50" s="398" t="n"/>
      <c r="F50" s="398" t="n"/>
      <c r="G50" s="398" t="n"/>
      <c r="H50" s="398" t="n"/>
      <c r="I50" s="398" t="n"/>
      <c r="J50" s="398" t="n"/>
      <c r="K50" s="398" t="n"/>
      <c r="L50" s="398" t="n"/>
    </row>
    <row r="51" ht="18" customHeight="1" s="392">
      <c r="A51" s="398" t="n"/>
      <c r="B51" s="398" t="n"/>
      <c r="C51" s="398" t="n"/>
      <c r="D51" s="398" t="n"/>
      <c r="E51" s="398" t="n"/>
      <c r="F51" s="398" t="n"/>
      <c r="G51" s="398" t="n"/>
      <c r="H51" s="398" t="n"/>
      <c r="I51" s="398" t="n"/>
      <c r="J51" s="398" t="n"/>
      <c r="K51" s="398" t="n"/>
      <c r="L51" s="398" t="n"/>
    </row>
    <row r="52" ht="18" customHeight="1" s="392">
      <c r="A52" s="398" t="n"/>
      <c r="B52" s="398" t="n"/>
      <c r="C52" s="398" t="n"/>
      <c r="D52" s="398" t="n"/>
      <c r="E52" s="398" t="n"/>
      <c r="F52" s="398" t="n"/>
      <c r="G52" s="398" t="n"/>
      <c r="H52" s="398" t="n"/>
      <c r="I52" s="398" t="n"/>
      <c r="J52" s="398" t="n"/>
      <c r="K52" s="398" t="n"/>
      <c r="L52" s="398" t="n"/>
    </row>
    <row r="53" ht="18" customHeight="1" s="392">
      <c r="A53" s="398" t="n"/>
      <c r="B53" s="398" t="n"/>
      <c r="C53" s="398" t="n"/>
      <c r="D53" s="398" t="n"/>
      <c r="E53" s="398" t="n"/>
      <c r="F53" s="398" t="n"/>
      <c r="G53" s="398" t="n"/>
      <c r="H53" s="398" t="n"/>
      <c r="I53" s="398" t="n"/>
      <c r="J53" s="398" t="n"/>
      <c r="K53" s="398" t="n"/>
      <c r="L53" s="398" t="n"/>
    </row>
    <row r="54" ht="18" customHeight="1" s="392">
      <c r="A54" s="398" t="n"/>
      <c r="B54" s="398" t="n"/>
      <c r="C54" s="398" t="n"/>
      <c r="D54" s="398" t="n"/>
      <c r="E54" s="398" t="n"/>
      <c r="F54" s="398" t="n"/>
      <c r="G54" s="398" t="n"/>
      <c r="H54" s="398" t="n"/>
      <c r="I54" s="398" t="n"/>
      <c r="J54" s="398" t="n"/>
      <c r="K54" s="398" t="n"/>
      <c r="L54" s="398" t="n"/>
    </row>
    <row r="55" ht="18" customHeight="1" s="392">
      <c r="A55" s="398" t="n"/>
      <c r="B55" s="398" t="n"/>
      <c r="C55" s="398" t="n"/>
      <c r="D55" s="398" t="n"/>
      <c r="E55" s="398" t="n"/>
      <c r="F55" s="398" t="n"/>
      <c r="G55" s="398" t="n"/>
      <c r="H55" s="398" t="n"/>
      <c r="I55" s="398" t="n"/>
      <c r="J55" s="398" t="n"/>
      <c r="K55" s="398" t="n"/>
      <c r="L55" s="398" t="n"/>
    </row>
    <row r="56" ht="18" customHeight="1" s="392">
      <c r="A56" s="398" t="n"/>
      <c r="B56" s="398" t="n"/>
      <c r="C56" s="398" t="n"/>
      <c r="D56" s="398" t="n"/>
      <c r="E56" s="398" t="n"/>
      <c r="F56" s="398" t="n"/>
      <c r="G56" s="398" t="n"/>
      <c r="H56" s="398" t="n"/>
      <c r="I56" s="398" t="n"/>
      <c r="J56" s="398" t="n"/>
      <c r="K56" s="398" t="n"/>
      <c r="L56" s="398" t="n"/>
    </row>
    <row r="57" ht="18" customHeight="1" s="392">
      <c r="A57" s="398" t="n"/>
      <c r="B57" s="398" t="n"/>
      <c r="C57" s="398" t="n"/>
      <c r="D57" s="398" t="n"/>
      <c r="E57" s="398" t="n"/>
      <c r="F57" s="398" t="n"/>
      <c r="G57" s="398" t="n"/>
      <c r="H57" s="398" t="n"/>
      <c r="I57" s="398" t="n"/>
      <c r="J57" s="398" t="n"/>
      <c r="K57" s="398" t="n"/>
      <c r="L57" s="398" t="n"/>
    </row>
    <row r="58" ht="18" customHeight="1" s="392">
      <c r="A58" s="398" t="n"/>
      <c r="B58" s="398" t="n"/>
      <c r="C58" s="398" t="n"/>
      <c r="D58" s="398" t="n"/>
      <c r="E58" s="398" t="n"/>
      <c r="F58" s="398" t="n"/>
      <c r="G58" s="398" t="n"/>
      <c r="H58" s="398" t="n"/>
      <c r="I58" s="398" t="n"/>
      <c r="J58" s="398" t="n"/>
      <c r="K58" s="398" t="n"/>
      <c r="L58" s="398" t="n"/>
    </row>
    <row r="59" ht="18" customHeight="1" s="392">
      <c r="A59" s="398" t="n"/>
      <c r="B59" s="398" t="n"/>
      <c r="C59" s="398" t="n"/>
      <c r="D59" s="398" t="n"/>
      <c r="E59" s="398" t="n"/>
      <c r="F59" s="398" t="n"/>
      <c r="G59" s="398" t="n"/>
      <c r="H59" s="398" t="n"/>
      <c r="I59" s="398" t="n"/>
      <c r="J59" s="398" t="n"/>
      <c r="K59" s="398" t="n"/>
      <c r="L59" s="398" t="n"/>
    </row>
    <row r="60">
      <c r="A60" s="398" t="n"/>
      <c r="B60" s="398" t="n"/>
      <c r="C60" s="398" t="n"/>
      <c r="D60" s="398" t="n"/>
      <c r="E60" s="398" t="n"/>
      <c r="F60" s="398" t="n"/>
      <c r="G60" s="398" t="n"/>
      <c r="H60" s="398" t="n"/>
      <c r="I60" s="398" t="n"/>
      <c r="J60" s="398" t="n"/>
      <c r="K60" s="398" t="n"/>
      <c r="L60" s="398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392" min="1" max="1"/>
    <col width="46" customWidth="1" style="392" min="2" max="2"/>
    <col width="18" customWidth="1" style="392" min="3" max="4"/>
    <col width="22" customWidth="1" style="392" min="5" max="5"/>
    <col width="18" customWidth="1" style="392" min="6" max="6"/>
    <col width="22" customWidth="1" style="392" min="7" max="7"/>
    <col width="40" customWidth="1" style="392" min="8" max="8"/>
  </cols>
  <sheetData>
    <row r="1" ht="25.95" customHeight="1" s="392">
      <c r="A1" s="391" t="inlineStr">
        <is>
          <t>LOHITH — OWNER LEDGER &amp; PERSONAL BALANCE TRACKER</t>
        </is>
      </c>
    </row>
    <row r="3" ht="30" customHeight="1" s="392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2026-06-21T15:55:05Z</dcterms:modified>
  <cp:lastModifiedBy>LOHITH REDDY</cp:lastModifiedBy>
</cp:coreProperties>
</file>