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2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n"/>
      <c r="C62" s="236" t="n"/>
      <c r="D62" s="191" t="n"/>
      <c r="E62" s="190" t="n"/>
      <c r="F62" s="190" t="n"/>
      <c r="G62" s="189" t="n"/>
    </row>
    <row r="63" ht="19.95" customHeight="1" s="313">
      <c r="B63" s="137" t="n"/>
      <c r="C63" s="137" t="n"/>
      <c r="D63" s="162" t="n"/>
      <c r="E63" s="137" t="n"/>
      <c r="F63" s="137" t="n"/>
      <c r="G63" s="137" t="n"/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>
        <f>REMAINING WITH ME (budget left WITH Lohith)</f>
        <v/>
      </c>
      <c r="D140">
        <f>D136-D137-D138-D139</f>
        <v/>
      </c>
    </row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Expenses'!$F$8:$F$500,'💸 Expenses'!$B$8:$B$500,"&gt;="&amp;B42,'💸 Expenses'!$B$8:$B$500,"&lt;"&amp;(B42+1))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Expenses'!$F$8:$F$500,'💸 Expenses'!$B$8:$B$500,"&gt;="&amp;B44,'💸 Expenses'!$B$8:$B$500,"&lt;"&amp;(B44+1))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Expenses'!$F$8:$F$500,'💸 Expenses'!$B$8:$B$500,"&gt;="&amp;B46,'💸 Expenses'!$B$8:$B$500,"&lt;"&amp;(B46+1))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Expenses'!$F$8:$F$500,'💸 Expenses'!$B$8:$B$500,"&gt;="&amp;B48,'💸 Expenses'!$B$8:$B$500,"&lt;"&amp;(B48+1))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Expenses'!$F$8:$F$500,'💸 Expenses'!$B$8:$B$500,"&gt;="&amp;B50,'💸 Expenses'!$B$8:$B$500,"&lt;"&amp;(B50+1))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Expenses'!$F$8:$F$500,'💸 Expenses'!$B$8:$B$500,"&gt;="&amp;B52,'💸 Expenses'!$B$8:$B$500,"&lt;"&amp;(B52+1))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Expenses'!$F$8:$F$500,'💸 Expenses'!$B$8:$B$500,"&gt;="&amp;B54,'💸 Expenses'!$B$8:$B$500,"&lt;"&amp;(B54+1))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Expenses'!$F$8:$F$500,'💸 Expenses'!$B$8:$B$500,"&gt;="&amp;B56,'💸 Expenses'!$B$8:$B$500,"&lt;"&amp;(B56+1))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Expenses'!$F$8:$F$500,'💸 Expenses'!$B$8:$B$500,"&gt;="&amp;B63,'💸 Expenses'!$B$8:$B$500,"&lt;"&amp;(B63+1))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1500</v>
      </c>
      <c r="F64" s="50">
        <f>IFERROR(D64+E64+G64+U64+Y64,0)</f>
        <v/>
      </c>
      <c r="G64" s="257" t="n">
        <v>130</v>
      </c>
      <c r="H64" s="258">
        <f>SUMIFS('💸 Expenses'!$F$8:$F$500,'💸 Expenses'!$B$8:$B$500,"&gt;="&amp;B64,'💸 Expenses'!$B$8:$B$500,"&lt;"&amp;(B64+1))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56" t="n"/>
      <c r="AB65" s="56" t="n"/>
    </row>
    <row r="66" ht="16.5" customHeight="1" s="313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</row>
    <row r="67" ht="16.5" customHeight="1" s="313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</row>
    <row r="68" ht="16.5" customHeight="1" s="313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3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199.5</v>
      </c>
      <c r="G477" s="308" t="inlineStr">
        <is>
          <t>Lohith</t>
        </is>
      </c>
      <c r="H477" s="308" t="inlineStr">
        <is>
          <t>Card</t>
        </is>
      </c>
      <c r="I477" s="309" t="inlineStr">
        <is>
          <t>✅ Paid</t>
        </is>
      </c>
      <c r="J477" s="418" t="inlineStr">
        <is>
          <t>Debito ***3982; socio Shashirekha. PAGADO POR LOHITH (bolsillo propio); reembolsable via Owner Ledger; no salio de la caja.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07" t="inlineStr">
        <is>
          <t>LOKA — MONTHLY P&amp;L   (live formulas — auto-updates from Daily Log &amp; Expenses)</t>
        </is>
      </c>
      <c r="B1" s="408" t="n"/>
      <c r="C1" s="408" t="n"/>
      <c r="D1" s="40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Beverages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Dairy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Supermarket/General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Software / Subscription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Kitchen Supplies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Ingredients - Eggs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Packaging/Disposables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Sam's Club — Italpast 1kg x5 (paid by Lohith)</t>
        </is>
      </c>
      <c r="C39" s="232" t="inlineStr">
        <is>
          <t>Expense - Personal</t>
        </is>
      </c>
      <c r="D39" s="232" t="n">
        <v>199.5</v>
      </c>
      <c r="E39" s="233" t="n"/>
      <c r="F39" s="233">
        <f>IFERROR(F38+D39-E39,0)</f>
        <v/>
      </c>
      <c r="G39" s="232" t="inlineStr">
        <is>
          <t>⏳ Reimburse</t>
        </is>
      </c>
      <c r="H39" s="232" t="inlineStr">
        <is>
          <t>Lohith pago $199.50 (tarjeta, socio Shashi). Registrado en Expenses (paid=Lohith); excluido de la caja via cash_adjust.</t>
        </is>
      </c>
    </row>
    <row r="40">
      <c r="A40" s="231" t="n">
        <v>46218</v>
      </c>
      <c r="B40" s="232" t="inlineStr">
        <is>
          <t>Transfer-to-me (customer payment 15-Jul)</t>
        </is>
      </c>
      <c r="C40" s="232" t="inlineStr">
        <is>
          <t>Transfer Received</t>
        </is>
      </c>
      <c r="D40" s="232" t="n"/>
      <c r="E40" s="233" t="n">
        <v>130</v>
      </c>
      <c r="F40" s="233">
        <f>IFERROR(F39+D40-E40,0)</f>
        <v/>
      </c>
      <c r="G40" s="232" t="inlineStr">
        <is>
          <t>✅ Received</t>
        </is>
      </c>
      <c r="H40" s="232" t="inlineStr">
        <is>
          <t>Customer paid $130 by transfer to Lohith (15-Jul revenue; cash to Lohith not till)</t>
        </is>
      </c>
    </row>
    <row r="41">
      <c r="A41" s="231" t="inlineStr">
        <is>
          <t>TOTALS &amp; CURRENT BALANCE</t>
        </is>
      </c>
      <c r="B41" s="232" t="n"/>
      <c r="C41" s="232" t="n"/>
      <c r="D41" s="232">
        <f>SUM(D4:D40)</f>
        <v/>
      </c>
      <c r="E41" s="233">
        <f>SUM(E4:E40)</f>
        <v/>
      </c>
      <c r="F41" s="233">
        <f>F40</f>
        <v/>
      </c>
      <c r="G41" s="232">
        <f>IF(F40&gt;0,"Restaurant owes Lohith $"&amp;TEXT(F40,"#,##0"),IF(F40&lt;0,"Lohith holds $"&amp;TEXT(ABS(F40),"#,##0"),"Zero balance"))</f>
        <v/>
      </c>
      <c r="H4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2026-07-16T03:56:35Z</dcterms:modified>
  <cp:lastModifiedBy>LOHITH REDDY</cp:lastModifiedBy>
</cp:coreProperties>
</file>