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87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41" borderId="1" applyAlignment="1" pivotButton="0" quotePrefix="0" xfId="0">
      <alignment horizontal="left" vertical="center"/>
    </xf>
    <xf numFmtId="164" fontId="5" fillId="41" borderId="1" applyAlignment="1" pivotButton="0" quotePrefix="0" xfId="0">
      <alignment horizontal="center" vertical="center"/>
    </xf>
    <xf numFmtId="165" fontId="6" fillId="41" borderId="1" applyAlignment="1" pivotButton="0" quotePrefix="0" xfId="0">
      <alignment horizontal="center" vertical="center"/>
    </xf>
    <xf numFmtId="165" fontId="5" fillId="41" borderId="1" applyAlignment="1" pivotButton="0" quotePrefix="0" xfId="0">
      <alignment horizontal="left" vertical="center"/>
    </xf>
    <xf numFmtId="0" fontId="0" fillId="42" borderId="0" pivotButton="0" quotePrefix="0" xfId="0"/>
    <xf numFmtId="171" fontId="0" fillId="42" borderId="0" pivotButton="0" quotePrefix="0" xfId="0"/>
    <xf numFmtId="172" fontId="0" fillId="42" borderId="0" pivotButton="0" quotePrefix="0" xfId="0"/>
    <xf numFmtId="0" fontId="5" fillId="43" borderId="1" applyAlignment="1" pivotButton="0" quotePrefix="0" xfId="0">
      <alignment horizontal="left" vertical="center"/>
    </xf>
    <xf numFmtId="0" fontId="5" fillId="43" borderId="1" applyAlignment="1" pivotButton="0" quotePrefix="0" xfId="0">
      <alignment horizontal="center" vertical="center"/>
    </xf>
    <xf numFmtId="165" fontId="5" fillId="43" borderId="1" applyAlignment="1" pivotButton="0" quotePrefix="0" xfId="0">
      <alignment horizontal="center" vertical="center"/>
    </xf>
    <xf numFmtId="0" fontId="0" fillId="41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left" vertical="center"/>
    </xf>
    <xf numFmtId="165" fontId="0" fillId="41" borderId="1" applyAlignment="1" pivotButton="0" quotePrefix="0" xfId="0">
      <alignment horizontal="center" vertical="center"/>
    </xf>
    <xf numFmtId="0" fontId="0" fillId="41" borderId="12" pivotButton="0" quotePrefix="0" xfId="0"/>
    <xf numFmtId="171" fontId="0" fillId="41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269" t="inlineStr">
        <is>
          <t>Kashigoud Patil</t>
        </is>
      </c>
      <c r="C7" s="270" t="n">
        <v>0.3</v>
      </c>
      <c r="D7" s="271" t="n">
        <v>180000</v>
      </c>
      <c r="E7" s="272">
        <f>D42</f>
        <v/>
      </c>
      <c r="F7" s="272">
        <f>D7-E7</f>
        <v/>
      </c>
      <c r="G7" s="269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s="273" t="inlineStr">
        <is>
          <t>Payment to Previous Owners</t>
        </is>
      </c>
      <c r="C15" s="274" t="n">
        <v>46176</v>
      </c>
      <c r="D15" s="273" t="n">
        <v>95000</v>
      </c>
      <c r="E15" s="273" t="inlineStr">
        <is>
          <t>Lohith Reddy</t>
        </is>
      </c>
      <c r="F15" s="273" t="inlineStr">
        <is>
          <t>✅ PAID</t>
        </is>
      </c>
      <c r="G15" s="273" t="inlineStr">
        <is>
          <t>Paid from restaurant operating balance — 3 Jun 2026</t>
        </is>
      </c>
    </row>
    <row r="16">
      <c r="B16" s="273" t="inlineStr">
        <is>
          <t>Payment to Previous Owner — Account 1</t>
        </is>
      </c>
      <c r="C16" s="275" t="n">
        <v>46177</v>
      </c>
      <c r="D16" s="273" t="n">
        <v>8000</v>
      </c>
      <c r="E16" s="273" t="inlineStr">
        <is>
          <t>Lohith Reddy</t>
        </is>
      </c>
      <c r="F16" s="273" t="inlineStr">
        <is>
          <t>✅ PAID</t>
        </is>
      </c>
      <c r="G16" s="273" t="inlineStr">
        <is>
          <t>Capital payment — from main budget — transferred to different accounts</t>
        </is>
      </c>
    </row>
    <row r="17" ht="19.95" customHeight="1" s="186">
      <c r="B17" s="273" t="inlineStr">
        <is>
          <t>Payment to Previous Owner — Account 2</t>
        </is>
      </c>
      <c r="C17" s="275" t="n">
        <v>46177</v>
      </c>
      <c r="D17" s="273" t="n">
        <v>4500</v>
      </c>
      <c r="E17" s="273" t="inlineStr">
        <is>
          <t>Lohith Reddy</t>
        </is>
      </c>
      <c r="F17" s="273" t="inlineStr">
        <is>
          <t>✅ PAID</t>
        </is>
      </c>
      <c r="G17" s="273" t="inlineStr">
        <is>
          <t>Capital payment — from main budget — transferred to different account</t>
        </is>
      </c>
    </row>
    <row r="18" ht="22.05" customHeight="1" s="186">
      <c r="B18" s="273" t="inlineStr">
        <is>
          <t>Payment to Previous Owner — Account 3</t>
        </is>
      </c>
      <c r="C18" s="275" t="n">
        <v>46177</v>
      </c>
      <c r="D18" s="273" t="n">
        <v>15000</v>
      </c>
      <c r="E18" s="273" t="inlineStr">
        <is>
          <t>Lohith Reddy</t>
        </is>
      </c>
      <c r="F18" s="273" t="inlineStr">
        <is>
          <t>✅ PAID</t>
        </is>
      </c>
      <c r="G18" s="273" t="inlineStr">
        <is>
          <t>Capital payment — from main budget — transferred to different accounts</t>
        </is>
      </c>
    </row>
    <row r="19" ht="19.95" customHeight="1" s="186">
      <c r="B19" s="273" t="inlineStr">
        <is>
          <t>Payment to Previous Owner — Account 4</t>
        </is>
      </c>
      <c r="C19" s="275" t="n">
        <v>46177</v>
      </c>
      <c r="D19" s="273" t="n">
        <v>10000</v>
      </c>
      <c r="E19" s="273" t="inlineStr">
        <is>
          <t>Lohith Reddy</t>
        </is>
      </c>
      <c r="F19" s="273" t="inlineStr">
        <is>
          <t>✅ PAID</t>
        </is>
      </c>
      <c r="G19" s="273" t="inlineStr">
        <is>
          <t>Capital payment — from main budget — transferred to different accounts</t>
        </is>
      </c>
    </row>
    <row r="20" ht="19.95" customHeight="1" s="186">
      <c r="B20" s="273" t="inlineStr">
        <is>
          <t>Payment to Previous Owner — Account 5</t>
        </is>
      </c>
      <c r="C20" s="275" t="n">
        <v>46177</v>
      </c>
      <c r="D20" s="273" t="n">
        <v>44000</v>
      </c>
      <c r="E20" s="273" t="inlineStr">
        <is>
          <t>Lohith Reddy</t>
        </is>
      </c>
      <c r="F20" s="273" t="inlineStr">
        <is>
          <t>✅ PAID</t>
        </is>
      </c>
      <c r="G20" s="273" t="inlineStr">
        <is>
          <t>Capital payment — from main budget — transferred to different accounts</t>
        </is>
      </c>
    </row>
    <row r="21" ht="19.95" customHeight="1" s="186">
      <c r="B21" s="273" t="inlineStr">
        <is>
          <t>Payment to Previous Owner — Account 6</t>
        </is>
      </c>
      <c r="C21" s="275" t="n">
        <v>46177</v>
      </c>
      <c r="D21" s="273" t="n">
        <v>44000</v>
      </c>
      <c r="E21" s="273" t="inlineStr">
        <is>
          <t>Lohith Reddy</t>
        </is>
      </c>
      <c r="F21" s="273" t="inlineStr">
        <is>
          <t>✅ PAID</t>
        </is>
      </c>
      <c r="G21" s="273" t="inlineStr">
        <is>
          <t>Capital payment — from main budget — transferred to different accounts</t>
        </is>
      </c>
    </row>
    <row r="22" ht="19.95" customHeight="1" s="186">
      <c r="B22" s="273" t="inlineStr">
        <is>
          <t>Payment to Previous Owner — Jun 5</t>
        </is>
      </c>
      <c r="C22" s="275" t="n">
        <v>46178</v>
      </c>
      <c r="D22" s="273" t="n">
        <v>30000</v>
      </c>
      <c r="E22" s="273" t="inlineStr">
        <is>
          <t>Lohith Reddy</t>
        </is>
      </c>
      <c r="F22" s="273" t="inlineStr">
        <is>
          <t>✅ PAID</t>
        </is>
      </c>
      <c r="G22" s="273" t="inlineStr">
        <is>
          <t>Transfer — 5 Jun 2026</t>
        </is>
      </c>
    </row>
    <row r="23">
      <c r="B23" s="276" t="inlineStr">
        <is>
          <t>Balance Remaining</t>
        </is>
      </c>
      <c r="C23" s="277" t="n"/>
      <c r="D23" s="278">
        <f>D13-SUM(D14:D22)</f>
        <v/>
      </c>
      <c r="E23" s="276" t="inlineStr">
        <is>
          <t>—</t>
        </is>
      </c>
      <c r="F23" s="276" t="inlineStr">
        <is>
          <t>⏳ PENDING</t>
        </is>
      </c>
      <c r="G23" s="276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69" t="inlineStr">
        <is>
          <t>Mercado Pago Terminal</t>
        </is>
      </c>
      <c r="D36" s="279" t="n">
        <v>500</v>
      </c>
      <c r="E36" s="279" t="inlineStr">
        <is>
          <t>Soft App</t>
        </is>
      </c>
      <c r="F36" s="279" t="inlineStr">
        <is>
          <t>POS Hardware</t>
        </is>
      </c>
      <c r="G36" s="279" t="inlineStr">
        <is>
          <t>MP card terminal fee</t>
        </is>
      </c>
    </row>
    <row r="37" ht="22.05" customHeight="1" s="186">
      <c r="B37" s="280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80" t="n"/>
      <c r="C38" s="281" t="n"/>
      <c r="D38" s="282" t="n"/>
      <c r="E38" s="280" t="n"/>
      <c r="F38" s="280" t="n"/>
      <c r="G38" s="280" t="n"/>
    </row>
    <row r="39" ht="19.95" customHeight="1" s="186">
      <c r="B39" s="280" t="n"/>
      <c r="C39" s="281" t="n"/>
      <c r="D39" s="282" t="n"/>
      <c r="E39" s="280" t="n"/>
      <c r="F39" s="280" t="n"/>
      <c r="G39" s="280" t="n"/>
    </row>
    <row r="40" ht="19.95" customHeight="1" s="186">
      <c r="B40" s="280" t="n"/>
      <c r="C40" s="281" t="n"/>
      <c r="D40" s="282" t="n"/>
      <c r="E40" s="280" t="n"/>
      <c r="F40" s="280" t="n"/>
      <c r="G40" s="280" t="n"/>
    </row>
    <row r="41" ht="19.95" customHeight="1" s="186">
      <c r="B41" s="280" t="n"/>
      <c r="C41" s="281" t="n"/>
      <c r="D41" s="282" t="n"/>
      <c r="E41" s="280" t="n"/>
      <c r="F41" s="280" t="n"/>
      <c r="G41" s="280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269" t="inlineStr">
        <is>
          <t>Alejandra — Documentation Asst.</t>
        </is>
      </c>
      <c r="D49" s="279" t="n">
        <v>3000</v>
      </c>
      <c r="E49" s="279" t="inlineStr">
        <is>
          <t>Alejandra</t>
        </is>
      </c>
      <c r="F49" s="279" t="inlineStr">
        <is>
          <t>Professional Services</t>
        </is>
      </c>
      <c r="G49" s="279" t="inlineStr">
        <is>
          <t>Documentation &amp; assistance — pre-opening</t>
        </is>
      </c>
    </row>
    <row r="50" ht="22.05" customHeight="1" s="186">
      <c r="B50" s="280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80" t="n"/>
      <c r="C51" s="281" t="n"/>
      <c r="D51" s="282" t="n"/>
      <c r="E51" s="280" t="n"/>
      <c r="F51" s="280" t="n"/>
      <c r="G51" s="280" t="n"/>
    </row>
    <row r="52" ht="19.95" customHeight="1" s="186">
      <c r="B52" s="280" t="n"/>
      <c r="C52" s="281" t="n"/>
      <c r="D52" s="282" t="n"/>
      <c r="E52" s="280" t="n"/>
      <c r="F52" s="280" t="n"/>
      <c r="G52" s="280" t="n"/>
    </row>
    <row r="53" ht="19.95" customHeight="1" s="186">
      <c r="B53" s="280" t="n"/>
      <c r="C53" s="281" t="n"/>
      <c r="D53" s="282" t="n"/>
      <c r="E53" s="280" t="n"/>
      <c r="F53" s="280" t="n"/>
      <c r="G53" s="280" t="n"/>
    </row>
    <row r="54" ht="19.95" customHeight="1" s="186">
      <c r="B54" s="280" t="n"/>
      <c r="C54" s="281" t="n"/>
      <c r="D54" s="282" t="n"/>
      <c r="E54" s="280" t="n"/>
      <c r="F54" s="280" t="n"/>
      <c r="G54" s="280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69" t="inlineStr">
        <is>
          <t>Transfer to Lohith Reddy (capital allocation)</t>
        </is>
      </c>
      <c r="C59" s="13" t="n"/>
      <c r="D59" s="271" t="n">
        <v>100000</v>
      </c>
      <c r="E59" s="269" t="inlineStr">
        <is>
          <t>Bank → Lohith</t>
        </is>
      </c>
      <c r="F59" s="269" t="inlineStr">
        <is>
          <t>Internal Transfer</t>
        </is>
      </c>
      <c r="G59" s="269" t="inlineStr">
        <is>
          <t>For acquisition &amp; expenses</t>
        </is>
      </c>
    </row>
    <row r="60">
      <c r="B60" s="283" t="inlineStr">
        <is>
          <t>Temu items</t>
        </is>
      </c>
      <c r="C60" s="24" t="n"/>
      <c r="D60" s="284" t="n">
        <v>2646</v>
      </c>
      <c r="E60" s="283" t="inlineStr">
        <is>
          <t>Temu</t>
        </is>
      </c>
      <c r="F60" s="283" t="inlineStr">
        <is>
          <t>Equipment / Supplies</t>
        </is>
      </c>
      <c r="G60" s="283" t="inlineStr">
        <is>
          <t>Temu items — restaurant supplies &amp; equipment</t>
        </is>
      </c>
    </row>
    <row r="61" ht="25.95" customHeight="1" s="186">
      <c r="B61" s="283" t="inlineStr">
        <is>
          <t>Board games for restaurant ambiance</t>
        </is>
      </c>
      <c r="D61" s="279" t="n">
        <v>745</v>
      </c>
      <c r="E61" s="279" t="inlineStr">
        <is>
          <t>Various</t>
        </is>
      </c>
      <c r="F61" s="279" t="inlineStr">
        <is>
          <t>Equipment / Decor</t>
        </is>
      </c>
      <c r="G61" s="279" t="inlineStr">
        <is>
          <t>Board games for restaurant ambiance</t>
        </is>
      </c>
    </row>
    <row r="62" ht="22.05" customHeight="1" s="186">
      <c r="B62" s="283" t="inlineStr">
        <is>
          <t>Special menu board</t>
        </is>
      </c>
      <c r="C62" s="196" t="n"/>
      <c r="D62" s="285" t="n">
        <v>204</v>
      </c>
      <c r="E62" s="285" t="inlineStr">
        <is>
          <t>Sign Maker</t>
        </is>
      </c>
      <c r="F62" s="285" t="inlineStr">
        <is>
          <t>Branding / Signage</t>
        </is>
      </c>
      <c r="G62" s="285" t="inlineStr">
        <is>
          <t>Special menu board</t>
        </is>
      </c>
      <c r="H62" s="197" t="n"/>
    </row>
    <row r="63" ht="19.95" customHeight="1" s="186">
      <c r="B63" s="283" t="inlineStr">
        <is>
          <t>Logo and sticker printing</t>
        </is>
      </c>
      <c r="C63" s="24" t="n"/>
      <c r="D63" s="284" t="n">
        <v>845</v>
      </c>
      <c r="E63" s="283" t="inlineStr">
        <is>
          <t>Print Shop</t>
        </is>
      </c>
      <c r="F63" s="283" t="inlineStr">
        <is>
          <t>Branding / Signage</t>
        </is>
      </c>
      <c r="G63" s="283" t="inlineStr">
        <is>
          <t>Logo and sticker printing</t>
        </is>
      </c>
    </row>
    <row r="64" ht="19.95" customHeight="1" s="186">
      <c r="B64" s="283" t="inlineStr">
        <is>
          <t>Sign boards, stationary, other decor</t>
        </is>
      </c>
      <c r="C64" s="24" t="n"/>
      <c r="D64" s="284" t="n">
        <v>1555</v>
      </c>
      <c r="E64" s="283" t="inlineStr">
        <is>
          <t>China Shop</t>
        </is>
      </c>
      <c r="F64" s="283" t="inlineStr">
        <is>
          <t>Decor / Signage</t>
        </is>
      </c>
      <c r="G64" s="283" t="inlineStr">
        <is>
          <t>Sign boards, stationary, other decor</t>
        </is>
      </c>
    </row>
    <row r="65" ht="19.95" customHeight="1" s="186">
      <c r="B65" s="280" t="n"/>
      <c r="C65" s="281" t="n"/>
      <c r="D65" s="282" t="n"/>
      <c r="E65" s="280" t="n"/>
      <c r="F65" s="280" t="n"/>
      <c r="G65" s="280" t="n"/>
    </row>
    <row r="66" ht="19.95" customHeight="1" s="186">
      <c r="B66" s="280" t="n"/>
      <c r="C66" s="281" t="n"/>
      <c r="D66" s="282" t="n"/>
      <c r="E66" s="280" t="n"/>
      <c r="F66" s="280" t="n"/>
      <c r="G66" s="280" t="n"/>
    </row>
    <row r="67" ht="19.95" customHeight="1" s="186">
      <c r="B67" s="279" t="inlineStr">
        <is>
          <t>Logo Box Repair / Fix</t>
        </is>
      </c>
      <c r="C67" s="286" t="n">
        <v>46176</v>
      </c>
      <c r="D67" s="279" t="n">
        <v>900</v>
      </c>
      <c r="E67" s="279" t="inlineStr">
        <is>
          <t>Supplier</t>
        </is>
      </c>
      <c r="F67" s="279" t="inlineStr">
        <is>
          <t>Branding / Signage</t>
        </is>
      </c>
      <c r="G67" s="279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 t="inlineStr">
        <is>
          <t>⏳ Pending — $134,500 balance outstanding</t>
        </is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 t="inlineStr">
        <is>
          <t>⏳ Pending — $134,500 balance outstanding</t>
        </is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 t="inlineStr">
        <is>
          <t>⏳ Pending — $134,500 balance outstanding</t>
        </is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inlineStr">
        <is>
          <t>07-Jun-2026</t>
        </is>
      </c>
      <c r="C28" s="62" t="inlineStr">
        <is>
          <t>Sun</t>
        </is>
      </c>
      <c r="D28" s="63" t="n"/>
      <c r="E28" s="64" t="n"/>
      <c r="F28" s="65" t="n">
        <v>0</v>
      </c>
      <c r="G28" s="66" t="n"/>
      <c r="H28" s="67" t="n">
        <v>1671</v>
      </c>
      <c r="I28" s="68">
        <f>IFERROR(F28-H28,0)</f>
        <v/>
      </c>
      <c r="J28" s="69" t="n"/>
      <c r="K28" s="70" t="n"/>
      <c r="L28" s="36" t="inlineStr">
        <is>
          <t>Manual Bills</t>
        </is>
      </c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Lohith</t>
        </is>
      </c>
      <c r="H186" s="41" t="inlineStr">
        <is>
          <t>Personal</t>
        </is>
      </c>
      <c r="I186" s="70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Lohith</t>
        </is>
      </c>
      <c r="H187" s="50" t="inlineStr">
        <is>
          <t>Personal</t>
        </is>
      </c>
      <c r="I187" s="82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>
        <v>46180</v>
      </c>
      <c r="C204" s="92" t="inlineStr">
        <is>
          <t>Frutas y Legumbres variadas (Calabaza, Zanahoria, Limon, Cebolla, Papaya)</t>
        </is>
      </c>
      <c r="D204" s="93" t="inlineStr">
        <is>
          <t>Frutas y Legumbres El Compita</t>
        </is>
      </c>
      <c r="E204" s="92" t="inlineStr">
        <is>
          <t>Ingredients - Fruit</t>
        </is>
      </c>
      <c r="F204" s="94" t="n">
        <v>312</v>
      </c>
      <c r="G204" s="41" t="inlineStr">
        <is>
          <t>Restaurant</t>
        </is>
      </c>
      <c r="H204" s="41" t="inlineStr">
        <is>
          <t>Cash</t>
        </is>
      </c>
      <c r="I204" s="70" t="inlineStr">
        <is>
          <t>✅ Paid</t>
        </is>
      </c>
      <c r="J204" t="inlineStr">
        <is>
          <t>Mercado de Abastos — various produce</t>
        </is>
      </c>
    </row>
    <row r="205">
      <c r="B205" s="91" t="n">
        <v>46180</v>
      </c>
      <c r="C205" s="96" t="inlineStr">
        <is>
          <t>Chile de Arbol Suelto (2 kg)</t>
        </is>
      </c>
      <c r="D205" s="95" t="inlineStr">
        <is>
          <t>Los Morros II</t>
        </is>
      </c>
      <c r="E205" s="96" t="inlineStr">
        <is>
          <t>Ingredients - Vegetables</t>
        </is>
      </c>
      <c r="F205" s="97" t="n">
        <v>240</v>
      </c>
      <c r="G205" s="50" t="inlineStr">
        <is>
          <t>Restaurant</t>
        </is>
      </c>
      <c r="H205" s="50" t="inlineStr">
        <is>
          <t>Cash</t>
        </is>
      </c>
      <c r="I205" s="82" t="inlineStr">
        <is>
          <t>✅ Paid</t>
        </is>
      </c>
      <c r="J205" t="inlineStr">
        <is>
          <t>2 kg × $120/kg — 07/06/2026 11:53</t>
        </is>
      </c>
    </row>
    <row r="206">
      <c r="B206" s="91" t="n">
        <v>46180</v>
      </c>
      <c r="C206" s="92" t="inlineStr">
        <is>
          <t>Papas</t>
        </is>
      </c>
      <c r="D206" s="93" t="inlineStr">
        <is>
          <t>—</t>
        </is>
      </c>
      <c r="E206" s="92" t="inlineStr">
        <is>
          <t>Ingredients - Vegetables</t>
        </is>
      </c>
      <c r="F206" s="94" t="n">
        <v>200</v>
      </c>
      <c r="G206" s="41" t="inlineStr">
        <is>
          <t>Restaurant</t>
        </is>
      </c>
      <c r="H206" s="41" t="inlineStr">
        <is>
          <t>Cash</t>
        </is>
      </c>
      <c r="I206" s="70" t="inlineStr">
        <is>
          <t>✅ Paid</t>
        </is>
      </c>
      <c r="J206" t="inlineStr">
        <is>
          <t>No bill</t>
        </is>
      </c>
    </row>
    <row r="207">
      <c r="B207" s="91" t="n">
        <v>46180</v>
      </c>
      <c r="C207" s="96" t="inlineStr">
        <is>
          <t>Sandia y Jicama</t>
        </is>
      </c>
      <c r="D207" s="95" t="inlineStr">
        <is>
          <t>—</t>
        </is>
      </c>
      <c r="E207" s="96" t="inlineStr">
        <is>
          <t>Ingredients - Fruit</t>
        </is>
      </c>
      <c r="F207" s="97" t="n">
        <v>193</v>
      </c>
      <c r="G207" s="50" t="inlineStr">
        <is>
          <t>Restaurant</t>
        </is>
      </c>
      <c r="H207" s="50" t="inlineStr">
        <is>
          <t>Cash</t>
        </is>
      </c>
      <c r="I207" s="82" t="inlineStr">
        <is>
          <t>✅ Paid</t>
        </is>
      </c>
      <c r="J207" t="inlineStr">
        <is>
          <t>No bill</t>
        </is>
      </c>
    </row>
    <row r="208">
      <c r="B208" s="91" t="n">
        <v>46180</v>
      </c>
      <c r="C208" s="92" t="inlineStr">
        <is>
          <t>Pepino</t>
        </is>
      </c>
      <c r="D208" s="93" t="inlineStr">
        <is>
          <t>—</t>
        </is>
      </c>
      <c r="E208" s="92" t="inlineStr">
        <is>
          <t>Ingredients - Vegetables</t>
        </is>
      </c>
      <c r="F208" s="94" t="n">
        <v>112</v>
      </c>
      <c r="G208" s="41" t="inlineStr">
        <is>
          <t>Restaurant</t>
        </is>
      </c>
      <c r="H208" s="41" t="inlineStr">
        <is>
          <t>Cash</t>
        </is>
      </c>
      <c r="I208" s="70" t="inlineStr">
        <is>
          <t>✅ Paid</t>
        </is>
      </c>
      <c r="J208" t="inlineStr">
        <is>
          <t>No bill</t>
        </is>
      </c>
    </row>
    <row r="209">
      <c r="B209" s="91" t="n">
        <v>46180</v>
      </c>
      <c r="C209" s="96" t="inlineStr">
        <is>
          <t>Tomate Verde</t>
        </is>
      </c>
      <c r="D209" s="95" t="inlineStr">
        <is>
          <t>—</t>
        </is>
      </c>
      <c r="E209" s="96" t="inlineStr">
        <is>
          <t>Ingredients - Vegetables</t>
        </is>
      </c>
      <c r="F209" s="97" t="n">
        <v>55</v>
      </c>
      <c r="G209" s="50" t="inlineStr">
        <is>
          <t>Restaurant</t>
        </is>
      </c>
      <c r="H209" s="50" t="inlineStr">
        <is>
          <t>Cash</t>
        </is>
      </c>
      <c r="I209" s="82" t="inlineStr">
        <is>
          <t>✅ Paid</t>
        </is>
      </c>
      <c r="J209" t="inlineStr">
        <is>
          <t>No bill</t>
        </is>
      </c>
    </row>
    <row r="210">
      <c r="B210" s="91" t="n">
        <v>46180</v>
      </c>
      <c r="C210" s="92" t="inlineStr">
        <is>
          <t>Lechuga, Espinaca, Cilantro, Jengibre, Habanero</t>
        </is>
      </c>
      <c r="D210" s="93" t="inlineStr">
        <is>
          <t>—</t>
        </is>
      </c>
      <c r="E210" s="92" t="inlineStr">
        <is>
          <t>Ingredients - Vegetables</t>
        </is>
      </c>
      <c r="F210" s="94" t="n">
        <v>328</v>
      </c>
      <c r="G210" s="41" t="inlineStr">
        <is>
          <t>Restaurant</t>
        </is>
      </c>
      <c r="H210" s="41" t="inlineStr">
        <is>
          <t>Cash</t>
        </is>
      </c>
      <c r="I210" s="70" t="inlineStr">
        <is>
          <t>✅ Paid</t>
        </is>
      </c>
      <c r="J210" t="inlineStr">
        <is>
          <t>No bill</t>
        </is>
      </c>
    </row>
    <row r="211">
      <c r="B211" s="91" t="n">
        <v>46180</v>
      </c>
      <c r="C211" s="96" t="inlineStr">
        <is>
          <t>Chile Serrano</t>
        </is>
      </c>
      <c r="D211" s="95" t="inlineStr">
        <is>
          <t>—</t>
        </is>
      </c>
      <c r="E211" s="96" t="inlineStr">
        <is>
          <t>Ingredients - Vegetables</t>
        </is>
      </c>
      <c r="F211" s="97" t="n">
        <v>22</v>
      </c>
      <c r="G211" s="50" t="inlineStr">
        <is>
          <t>Restaurant</t>
        </is>
      </c>
      <c r="H211" s="50" t="inlineStr">
        <is>
          <t>Cash</t>
        </is>
      </c>
      <c r="I211" s="82" t="inlineStr">
        <is>
          <t>✅ Paid</t>
        </is>
      </c>
      <c r="J211" t="inlineStr">
        <is>
          <t>No bill</t>
        </is>
      </c>
    </row>
    <row r="212">
      <c r="B212" s="91" t="n">
        <v>46180</v>
      </c>
      <c r="C212" s="92" t="inlineStr">
        <is>
          <t>Tomate Roja</t>
        </is>
      </c>
      <c r="D212" s="93" t="inlineStr">
        <is>
          <t>—</t>
        </is>
      </c>
      <c r="E212" s="92" t="inlineStr">
        <is>
          <t>Ingredients - Vegetables</t>
        </is>
      </c>
      <c r="F212" s="94" t="n">
        <v>209</v>
      </c>
      <c r="G212" s="41" t="inlineStr">
        <is>
          <t>Restaurant</t>
        </is>
      </c>
      <c r="H212" s="41" t="inlineStr">
        <is>
          <t>Cash</t>
        </is>
      </c>
      <c r="I212" s="70" t="inlineStr">
        <is>
          <t>✅ Paid</t>
        </is>
      </c>
      <c r="J212" t="inlineStr">
        <is>
          <t>No bill</t>
        </is>
      </c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4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333.33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266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t="inlineStr">
        <is>
          <t>TOTALS &amp; CURRENT BALANCE</t>
        </is>
      </c>
      <c r="E69">
        <f>SUM(E61:E68)</f>
        <v/>
      </c>
      <c r="F69">
        <f>SUM(F61:F68)</f>
        <v/>
      </c>
      <c r="G69">
        <f>G68</f>
        <v/>
      </c>
      <c r="H69">
        <f>IF(G68&gt;0,"⏳ Restaurant owes Lohith $"&amp;TEXT(G68,"#,##0"),IF(G68&lt;0,"💵 Lohith holds $"&amp;TEXT(ABS(G68),"#,##0")&amp;" of restaurant funds","✅ Zero balance"))</f>
        <v/>
      </c>
    </row>
    <row r="71">
      <c r="B71" t="inlineStr">
        <is>
          <t>HOW TO USE:</t>
        </is>
      </c>
    </row>
    <row r="72">
      <c r="B72" t="inlineStr">
        <is>
          <t>Add new rows above TOTALS. Spent by Lohith = restaurant expenses he paid personally.</t>
        </is>
      </c>
    </row>
    <row r="73">
      <c r="B73" t="inlineStr">
        <is>
          <t>Transferred to Lohith = customer bank transfers received in his personal account.</t>
        </is>
      </c>
    </row>
    <row r="74">
      <c r="B74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2026-06-09T02:51:21Z</dcterms:modified>
  <cp:lastModifiedBy>LOHITH REDDY</cp:lastModifiedBy>
</cp:coreProperties>
</file>