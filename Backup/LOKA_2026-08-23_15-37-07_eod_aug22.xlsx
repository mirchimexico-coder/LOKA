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14911.85</v>
      </c>
      <c r="E147" s="286" t="inlineStr">
        <is>
          <t>Operating costs funded from partner capital, net of repayments. Funded: 20,000 (rent Jul) + 17,200.04 (rent Aug) + 8,789 (luz Aug) + 19,314.81 (liquidacion ledger) = 65,303.85. Repaid from operating cash: 20,000 (21-Jul) + 2,587 (22-Jul) + 10,301 (05-Aug) = 32,888. Still owed by Operations: 32,415.85.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-50392</v>
      </c>
      <c r="E149" t="inlineStr">
        <is>
          <t>Cumulative repaid from operating cash (latest 21-Aug-2026 $6,000.00).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3315.0</v>
      </c>
      <c r="G6" s="31">
        <f>SUMIFS($G$8:$G$5000,$B$8:$B$5000,TODAY())</f>
        <v>0.0</v>
      </c>
      <c r="H6" s="28">
        <f>SUMIFS($H$8:$H$5000,$B$8:$B$5000,TODAY())</f>
        <v>3736.0</v>
      </c>
      <c r="I6" s="32">
        <f>F6-H6</f>
        <v>-421.0</v>
      </c>
      <c r="J6">
        <f>IFERROR(I6/F6,0)</f>
        <v>-0.126998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23090.0</v>
      </c>
      <c r="N6" s="33">
        <f>SUMPRODUCT((ISNUMBER($B$8:$B$5000))*($B$8:$B$5000&gt;=TODAY()-MOD(TODAY()-2,7))*($B$8:$B$5000&lt;TODAY()-MOD(TODAY()-2,7)+7)*IF(ISNUMBER($F$8:$F$5000),$F$8:$F$5000,0))</f>
        <v>23090.0</v>
      </c>
      <c r="O6" s="33">
        <f>SUMPRODUCT((ISNUMBER($B$8:$B$5000))*(MONTH($B$8:$B$5000)=MONTH(TODAY()))*(YEAR($B$8:$B$5000)=YEAR(TODAY()))*IF(ISNUMBER($F$8:$F$5000),$F$8:$F$5000,0))</f>
        <v>81053.0</v>
      </c>
      <c r="P6">
        <f>SUMPRODUCT((ISNUMBER($B$8:$B$5000))*($B$8:$B$5000&gt;=TODAY()-MOD(TODAY()-2,7))*($B$8:$B$5000&lt;TODAY()-MOD(TODAY()-2,7)+7)*IF(ISNUMBER($H$8:$H$5000),$H$8:$H$5000,0))</f>
        <v>13382.0</v>
      </c>
      <c r="Q6">
        <f>M6-P6</f>
        <v>9708.0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34" t="n"/>
      <c r="C97" s="47" t="n"/>
      <c r="D97" s="48" t="n"/>
      <c r="E97" s="49" t="n"/>
      <c r="F97" s="50" t="n"/>
      <c r="G97" s="51" t="n"/>
      <c r="H97" s="52" t="n"/>
      <c r="I97" s="53" t="n"/>
      <c r="J97" s="54" t="n"/>
      <c r="K97" s="55" t="n"/>
      <c r="L97" s="18" t="n"/>
      <c r="M97" s="21" t="n"/>
      <c r="N97" s="56" t="n"/>
      <c r="O97" s="57" t="n"/>
      <c r="P97" s="58" t="n"/>
      <c r="Q97" s="56" t="n"/>
      <c r="R97" s="56" t="n"/>
      <c r="S97" s="56" t="n"/>
      <c r="T97" s="56" t="n"/>
      <c r="U97" s="56" t="n"/>
      <c r="V97" s="56" t="n"/>
      <c r="W97" s="56" t="n"/>
      <c r="X97" s="56" t="n"/>
      <c r="Y97" s="56" t="n"/>
      <c r="Z97" s="56" t="n"/>
      <c r="AA97" s="56" t="n"/>
      <c r="AB97" s="56" t="n"/>
    </row>
    <row r="98" ht="16.5" customHeight="1" s="331">
      <c r="B98" s="34" t="n"/>
      <c r="C98" s="35" t="n"/>
      <c r="D98" s="36" t="n"/>
      <c r="E98" s="37" t="n"/>
      <c r="F98" s="38" t="n"/>
      <c r="G98" s="39" t="n"/>
      <c r="H98" s="40" t="n"/>
      <c r="I98" s="41" t="n"/>
      <c r="J98" s="42" t="n"/>
      <c r="K98" s="43" t="n"/>
      <c r="L98" s="9" t="n"/>
      <c r="M98" s="12" t="n"/>
      <c r="N98" s="44" t="n"/>
      <c r="O98" s="45" t="n"/>
      <c r="P98" s="46" t="n"/>
      <c r="Q98" s="44" t="n"/>
      <c r="R98" s="44" t="n"/>
      <c r="S98" s="44" t="n"/>
      <c r="T98" s="44" t="n"/>
      <c r="U98" s="44" t="n"/>
      <c r="V98" s="44" t="n"/>
      <c r="W98" s="44" t="n"/>
      <c r="X98" s="44" t="n"/>
      <c r="Y98" s="44" t="n"/>
      <c r="Z98" s="44" t="n"/>
      <c r="AA98" s="44" t="n"/>
      <c r="AB98" s="44" t="n"/>
    </row>
    <row r="99" ht="16.5" customHeight="1" s="331">
      <c r="B99" s="34" t="n"/>
      <c r="C99" s="47" t="n"/>
      <c r="D99" s="48" t="n"/>
      <c r="E99" s="49" t="n"/>
      <c r="F99" s="50" t="n"/>
      <c r="G99" s="51" t="n"/>
      <c r="H99" s="52" t="n"/>
      <c r="I99" s="53" t="n"/>
      <c r="J99" s="54" t="n"/>
      <c r="K99" s="55" t="n"/>
      <c r="L99" s="18" t="n"/>
      <c r="M99" s="21" t="n"/>
      <c r="N99" s="56" t="n"/>
      <c r="O99" s="57" t="n"/>
      <c r="P99" s="58" t="n"/>
      <c r="Q99" s="56" t="n"/>
      <c r="R99" s="56" t="n"/>
      <c r="S99" s="56" t="n"/>
      <c r="T99" s="56" t="n"/>
      <c r="U99" s="56" t="n"/>
      <c r="V99" s="56" t="n"/>
      <c r="W99" s="56" t="n"/>
      <c r="X99" s="56" t="n"/>
      <c r="Y99" s="56" t="n"/>
      <c r="Z99" s="56" t="n"/>
      <c r="AA99" s="56" t="n"/>
      <c r="AB99" s="56" t="n"/>
    </row>
    <row r="100" ht="16.5" customHeight="1" s="331">
      <c r="B100" s="34" t="n"/>
      <c r="C100" s="35" t="n"/>
      <c r="D100" s="36" t="n"/>
      <c r="E100" s="37" t="n"/>
      <c r="F100" s="38" t="n"/>
      <c r="G100" s="39" t="n"/>
      <c r="H100" s="40" t="n"/>
      <c r="I100" s="41" t="n"/>
      <c r="J100" s="42" t="n"/>
      <c r="K100" s="43" t="n"/>
      <c r="L100" s="9" t="n"/>
      <c r="M100" s="12" t="n"/>
      <c r="N100" s="44" t="n"/>
      <c r="O100" s="45" t="n"/>
      <c r="P100" s="46" t="n"/>
      <c r="Q100" s="44" t="n"/>
      <c r="R100" s="44" t="n"/>
      <c r="S100" s="44" t="n"/>
      <c r="T100" s="44" t="n"/>
      <c r="U100" s="44" t="n"/>
      <c r="V100" s="44" t="n"/>
      <c r="W100" s="44" t="n"/>
      <c r="X100" s="44" t="n"/>
      <c r="Y100" s="44" t="n"/>
      <c r="Z100" s="44" t="n"/>
      <c r="AA100" s="44" t="n"/>
      <c r="AB100" s="44" t="n"/>
    </row>
    <row r="101" ht="16.5" customHeight="1" s="331">
      <c r="B101" s="34" t="n"/>
      <c r="C101" s="47" t="n"/>
      <c r="D101" s="48" t="n"/>
      <c r="E101" s="49" t="n"/>
      <c r="F101" s="50" t="n"/>
      <c r="G101" s="51" t="n"/>
      <c r="H101" s="52" t="n"/>
      <c r="I101" s="53" t="n"/>
      <c r="J101" s="54" t="n"/>
      <c r="K101" s="55" t="n"/>
      <c r="L101" s="18" t="n"/>
      <c r="M101" s="21" t="n"/>
      <c r="N101" s="56" t="n"/>
      <c r="O101" s="57" t="n"/>
      <c r="P101" s="58" t="n"/>
      <c r="Q101" s="56" t="n"/>
      <c r="R101" s="56" t="n"/>
      <c r="S101" s="56" t="n"/>
      <c r="T101" s="56" t="n"/>
      <c r="U101" s="56" t="n"/>
      <c r="V101" s="56" t="n"/>
      <c r="W101" s="56" t="n"/>
      <c r="X101" s="56" t="n"/>
      <c r="Y101" s="56" t="n"/>
      <c r="Z101" s="56" t="n"/>
      <c r="AA101" s="56" t="n"/>
      <c r="AB101" s="56" t="n"/>
    </row>
    <row r="102" ht="16.5" customHeight="1" s="331">
      <c r="B102" s="34" t="n"/>
      <c r="C102" s="35" t="n"/>
      <c r="D102" s="36" t="n"/>
      <c r="E102" s="37" t="n"/>
      <c r="F102" s="38" t="n"/>
      <c r="G102" s="39" t="n"/>
      <c r="H102" s="40" t="n"/>
      <c r="I102" s="41" t="n"/>
      <c r="J102" s="42" t="n"/>
      <c r="K102" s="43" t="n"/>
      <c r="L102" s="9" t="n"/>
      <c r="M102" s="12" t="n"/>
      <c r="N102" s="44" t="n"/>
      <c r="O102" s="45" t="n"/>
      <c r="P102" s="46" t="n"/>
      <c r="Q102" s="44" t="n"/>
      <c r="R102" s="44" t="n"/>
      <c r="S102" s="44" t="n"/>
      <c r="T102" s="44" t="n"/>
      <c r="U102" s="44" t="n"/>
      <c r="V102" s="44" t="n"/>
      <c r="W102" s="44" t="n"/>
      <c r="X102" s="44" t="n"/>
      <c r="Y102" s="44" t="n"/>
      <c r="Z102" s="44" t="n"/>
      <c r="AA102" s="44" t="n"/>
      <c r="AB102" s="44" t="n"/>
    </row>
    <row r="103" ht="16.5" customHeight="1" s="331">
      <c r="B103" s="34" t="n"/>
      <c r="C103" s="47" t="n"/>
      <c r="D103" s="48" t="n"/>
      <c r="E103" s="49" t="n"/>
      <c r="F103" s="50" t="n"/>
      <c r="G103" s="51" t="n"/>
      <c r="H103" s="52" t="n"/>
      <c r="I103" s="53" t="n"/>
      <c r="J103" s="54" t="n"/>
      <c r="K103" s="55" t="n"/>
      <c r="L103" s="18" t="n"/>
      <c r="M103" s="21" t="n"/>
      <c r="N103" s="56" t="n"/>
      <c r="O103" s="57" t="n"/>
      <c r="P103" s="58" t="n"/>
      <c r="Q103" s="56" t="n"/>
      <c r="R103" s="56" t="n"/>
      <c r="S103" s="56" t="n"/>
      <c r="T103" s="56" t="n"/>
      <c r="U103" s="56" t="n"/>
      <c r="V103" s="56" t="n"/>
      <c r="W103" s="56" t="n"/>
      <c r="X103" s="56" t="n"/>
      <c r="Y103" s="56" t="n"/>
      <c r="Z103" s="56" t="n"/>
      <c r="AA103" s="56" t="n"/>
      <c r="AB103" s="56" t="n"/>
    </row>
    <row r="104" ht="16.5" customHeight="1" s="331">
      <c r="B104" s="34" t="n"/>
      <c r="C104" s="35" t="n"/>
      <c r="D104" s="36" t="n"/>
      <c r="E104" s="37" t="n"/>
      <c r="F104" s="38" t="n"/>
      <c r="G104" s="39" t="n"/>
      <c r="H104" s="40" t="n"/>
      <c r="I104" s="41" t="n"/>
      <c r="J104" s="42" t="n"/>
      <c r="K104" s="43" t="n"/>
      <c r="L104" s="9" t="n"/>
      <c r="M104" s="12" t="n"/>
      <c r="N104" s="44" t="n"/>
      <c r="O104" s="45" t="n"/>
      <c r="P104" s="46" t="n"/>
      <c r="Q104" s="44" t="n"/>
      <c r="R104" s="44" t="n"/>
      <c r="S104" s="44" t="n"/>
      <c r="T104" s="44" t="n"/>
      <c r="U104" s="44" t="n"/>
      <c r="V104" s="44" t="n"/>
      <c r="W104" s="44" t="n"/>
      <c r="X104" s="44" t="n"/>
      <c r="Y104" s="44" t="n"/>
      <c r="Z104" s="44" t="n"/>
      <c r="AA104" s="44" t="n"/>
      <c r="AB104" s="44" t="n"/>
    </row>
    <row r="105" ht="16.5" customHeight="1" s="331">
      <c r="B105" s="34" t="n"/>
      <c r="C105" s="47" t="n"/>
      <c r="D105" s="48" t="n"/>
      <c r="E105" s="49" t="n"/>
      <c r="F105" s="50" t="n"/>
      <c r="G105" s="51" t="n"/>
      <c r="H105" s="52" t="n"/>
      <c r="I105" s="53" t="n"/>
      <c r="J105" s="54" t="n"/>
      <c r="K105" s="55" t="n"/>
      <c r="L105" s="18" t="n"/>
      <c r="M105" s="21" t="n"/>
      <c r="N105" s="56" t="n"/>
      <c r="O105" s="57" t="n"/>
      <c r="P105" s="58" t="n"/>
      <c r="Q105" s="56" t="n"/>
      <c r="R105" s="56" t="n"/>
      <c r="S105" s="56" t="n"/>
      <c r="T105" s="56" t="n"/>
      <c r="U105" s="56" t="n"/>
      <c r="V105" s="56" t="n"/>
      <c r="W105" s="56" t="n"/>
      <c r="X105" s="56" t="n"/>
      <c r="Y105" s="56" t="n"/>
      <c r="Z105" s="56" t="n"/>
      <c r="AA105" s="56" t="n"/>
      <c r="AB105" s="56" t="n"/>
    </row>
    <row r="106" ht="16.5" customHeight="1" s="331">
      <c r="B106" s="34" t="n"/>
      <c r="C106" s="35" t="n"/>
      <c r="D106" s="36" t="n"/>
      <c r="E106" s="37" t="n"/>
      <c r="F106" s="38" t="n"/>
      <c r="G106" s="39" t="n"/>
      <c r="H106" s="40" t="n"/>
      <c r="I106" s="41" t="n"/>
      <c r="J106" s="42" t="n"/>
      <c r="K106" s="43" t="n"/>
      <c r="L106" s="9" t="n"/>
      <c r="M106" s="12" t="n"/>
      <c r="N106" s="44" t="n"/>
      <c r="O106" s="45" t="n"/>
      <c r="P106" s="46" t="n"/>
      <c r="Q106" s="44" t="n"/>
      <c r="R106" s="44" t="n"/>
      <c r="S106" s="44" t="n"/>
      <c r="T106" s="44" t="n"/>
      <c r="U106" s="44" t="n"/>
      <c r="V106" s="44" t="n"/>
      <c r="W106" s="44" t="n"/>
      <c r="X106" s="44" t="n"/>
      <c r="Y106" s="44" t="n"/>
      <c r="Z106" s="44" t="n"/>
      <c r="AA106" s="44" t="n"/>
      <c r="AB106" s="44" t="n"/>
    </row>
    <row r="107" ht="16.5" customHeight="1" s="331">
      <c r="B107" s="34" t="n"/>
      <c r="C107" s="47" t="n"/>
      <c r="D107" s="48" t="n"/>
      <c r="E107" s="49" t="n"/>
      <c r="F107" s="50" t="n"/>
      <c r="G107" s="51" t="n"/>
      <c r="H107" s="52" t="n"/>
      <c r="I107" s="53" t="n"/>
      <c r="J107" s="54" t="n"/>
      <c r="K107" s="55" t="n"/>
      <c r="L107" s="18" t="n"/>
      <c r="M107" s="21" t="n"/>
      <c r="N107" s="56" t="n"/>
      <c r="O107" s="57" t="n"/>
      <c r="P107" s="58" t="n"/>
      <c r="Q107" s="56" t="n"/>
      <c r="R107" s="56" t="n"/>
      <c r="S107" s="56" t="n"/>
      <c r="T107" s="56" t="n"/>
      <c r="U107" s="56" t="n"/>
      <c r="V107" s="56" t="n"/>
      <c r="W107" s="56" t="n"/>
      <c r="X107" s="56" t="n"/>
      <c r="Y107" s="56" t="n"/>
      <c r="Z107" s="56" t="n"/>
      <c r="AA107" s="56" t="n"/>
      <c r="AB107" s="56" t="n"/>
    </row>
    <row r="108" ht="16.5" customHeight="1" s="331">
      <c r="B108" s="34" t="n"/>
      <c r="C108" s="35" t="n"/>
      <c r="D108" s="36" t="n"/>
      <c r="E108" s="37" t="n"/>
      <c r="F108" s="38" t="n"/>
      <c r="G108" s="39" t="n"/>
      <c r="H108" s="40" t="n"/>
      <c r="I108" s="41" t="n"/>
      <c r="J108" s="42" t="n"/>
      <c r="K108" s="43" t="n"/>
      <c r="L108" s="9" t="n"/>
      <c r="M108" s="12" t="n"/>
      <c r="N108" s="44" t="n"/>
      <c r="O108" s="45" t="n"/>
      <c r="P108" s="46" t="n"/>
      <c r="Q108" s="44" t="n"/>
      <c r="R108" s="44" t="n"/>
      <c r="S108" s="44" t="n"/>
      <c r="T108" s="44" t="n"/>
      <c r="U108" s="44" t="n"/>
      <c r="V108" s="44" t="n"/>
      <c r="W108" s="44" t="n"/>
      <c r="X108" s="44" t="n"/>
      <c r="Y108" s="44" t="n"/>
      <c r="Z108" s="44" t="n"/>
      <c r="AA108" s="44" t="n"/>
      <c r="AB108" s="44" t="n"/>
    </row>
    <row r="109" ht="16.5" customHeight="1" s="331">
      <c r="B109" s="34" t="n"/>
      <c r="C109" s="47" t="n"/>
      <c r="D109" s="48" t="n"/>
      <c r="E109" s="49" t="n"/>
      <c r="F109" s="50" t="n"/>
      <c r="G109" s="51" t="n"/>
      <c r="H109" s="52" t="n"/>
      <c r="I109" s="53" t="n"/>
      <c r="J109" s="54" t="n"/>
      <c r="K109" s="55" t="n"/>
      <c r="L109" s="18" t="n"/>
      <c r="M109" s="21" t="n"/>
      <c r="N109" s="56" t="n"/>
      <c r="O109" s="57" t="n"/>
      <c r="P109" s="58" t="n"/>
      <c r="Q109" s="56" t="n"/>
      <c r="R109" s="56" t="n"/>
      <c r="S109" s="56" t="n"/>
      <c r="T109" s="56" t="n"/>
      <c r="U109" s="56" t="n"/>
      <c r="V109" s="56" t="n"/>
      <c r="W109" s="56" t="n"/>
      <c r="X109" s="56" t="n"/>
      <c r="Y109" s="56" t="n"/>
      <c r="Z109" s="56" t="n"/>
      <c r="AA109" s="56" t="n"/>
      <c r="AB109" s="56" t="n"/>
    </row>
    <row r="110" ht="16.5" customHeight="1" s="331">
      <c r="B110" s="34" t="n"/>
      <c r="C110" s="35" t="n"/>
      <c r="D110" s="36" t="n"/>
      <c r="E110" s="37" t="n"/>
      <c r="F110" s="38" t="n"/>
      <c r="G110" s="39" t="n"/>
      <c r="H110" s="40" t="n"/>
      <c r="I110" s="41" t="n"/>
      <c r="J110" s="42" t="n"/>
      <c r="K110" s="43" t="n"/>
      <c r="L110" s="9" t="n"/>
      <c r="M110" s="12" t="n"/>
      <c r="N110" s="44" t="n"/>
      <c r="O110" s="45" t="n"/>
      <c r="P110" s="46" t="n"/>
      <c r="Q110" s="44" t="n"/>
      <c r="R110" s="44" t="n"/>
      <c r="S110" s="44" t="n"/>
      <c r="T110" s="44" t="n"/>
      <c r="U110" s="44" t="n"/>
      <c r="V110" s="44" t="n"/>
      <c r="W110" s="44" t="n"/>
      <c r="X110" s="44" t="n"/>
      <c r="Y110" s="44" t="n"/>
      <c r="Z110" s="44" t="n"/>
      <c r="AA110" s="44" t="n"/>
      <c r="AB110" s="44" t="n"/>
    </row>
    <row r="111" ht="16.5" customHeight="1" s="331">
      <c r="B111" s="34" t="n"/>
      <c r="C111" s="47" t="n"/>
      <c r="D111" s="48" t="n"/>
      <c r="E111" s="49" t="n"/>
      <c r="F111" s="50" t="n"/>
      <c r="G111" s="51" t="n"/>
      <c r="H111" s="52" t="n"/>
      <c r="I111" s="53" t="n"/>
      <c r="J111" s="54" t="n"/>
      <c r="K111" s="55" t="n"/>
      <c r="L111" s="18" t="n"/>
      <c r="M111" s="21" t="n"/>
      <c r="N111" s="56" t="n"/>
      <c r="O111" s="57" t="n"/>
      <c r="P111" s="58" t="n"/>
      <c r="Q111" s="56" t="n"/>
      <c r="R111" s="56" t="n"/>
      <c r="S111" s="56" t="n"/>
      <c r="T111" s="56" t="n"/>
      <c r="U111" s="56" t="n"/>
      <c r="V111" s="56" t="n"/>
      <c r="W111" s="56" t="n"/>
      <c r="X111" s="56" t="n"/>
      <c r="Y111" s="56" t="n"/>
      <c r="Z111" s="56" t="n"/>
      <c r="AA111" s="56" t="n"/>
      <c r="AB111" s="56" t="n"/>
    </row>
    <row r="112" ht="16.5" customHeight="1" s="331">
      <c r="B112" s="34" t="n"/>
      <c r="C112" s="35" t="n"/>
      <c r="D112" s="36" t="n"/>
      <c r="E112" s="37" t="n"/>
      <c r="F112" s="38" t="n"/>
      <c r="G112" s="39" t="n"/>
      <c r="H112" s="40" t="n"/>
      <c r="I112" s="41" t="n"/>
      <c r="J112" s="42" t="n"/>
      <c r="K112" s="43" t="n"/>
      <c r="L112" s="9" t="n"/>
      <c r="M112" s="12" t="n"/>
      <c r="N112" s="44" t="n"/>
      <c r="O112" s="45" t="n"/>
      <c r="P112" s="46" t="n"/>
      <c r="Q112" s="44" t="n"/>
      <c r="R112" s="44" t="n"/>
      <c r="S112" s="44" t="n"/>
      <c r="T112" s="44" t="n"/>
      <c r="U112" s="44" t="n"/>
      <c r="V112" s="44" t="n"/>
      <c r="W112" s="44" t="n"/>
      <c r="X112" s="44" t="n"/>
      <c r="Y112" s="44" t="n"/>
      <c r="Z112" s="44" t="n"/>
      <c r="AA112" s="44" t="n"/>
      <c r="AB112" s="44" t="n"/>
    </row>
    <row r="113" ht="16.5" customHeight="1" s="331">
      <c r="B113" s="34" t="n"/>
      <c r="C113" s="47" t="n"/>
      <c r="D113" s="48" t="n"/>
      <c r="E113" s="49" t="n"/>
      <c r="F113" s="50" t="n"/>
      <c r="G113" s="51" t="n"/>
      <c r="H113" s="52" t="n"/>
      <c r="I113" s="53" t="n"/>
      <c r="J113" s="54" t="n"/>
      <c r="K113" s="55" t="n"/>
      <c r="L113" s="18" t="n"/>
      <c r="M113" s="21" t="n"/>
      <c r="N113" s="56" t="n"/>
      <c r="O113" s="57" t="n"/>
      <c r="P113" s="58" t="n"/>
      <c r="Q113" s="56" t="n"/>
      <c r="R113" s="56" t="n"/>
      <c r="S113" s="56" t="n"/>
      <c r="T113" s="56" t="n"/>
      <c r="U113" s="56" t="n"/>
      <c r="V113" s="56" t="n"/>
      <c r="W113" s="56" t="n"/>
      <c r="X113" s="56" t="n"/>
      <c r="Y113" s="56" t="n"/>
      <c r="Z113" s="56" t="n"/>
      <c r="AA113" s="56" t="n"/>
      <c r="AB113" s="56" t="n"/>
    </row>
    <row r="114" ht="16.5" customHeight="1" s="331">
      <c r="B114" s="34" t="n"/>
      <c r="C114" s="35" t="n"/>
      <c r="D114" s="36" t="n"/>
      <c r="E114" s="37" t="n"/>
      <c r="F114" s="38" t="n"/>
      <c r="G114" s="39" t="n"/>
      <c r="H114" s="40" t="n"/>
      <c r="I114" s="41" t="n"/>
      <c r="J114" s="42" t="n"/>
      <c r="K114" s="43" t="n"/>
      <c r="L114" s="9" t="n"/>
      <c r="M114" s="12" t="n"/>
      <c r="N114" s="44" t="n"/>
      <c r="O114" s="45" t="n"/>
      <c r="P114" s="46" t="n"/>
      <c r="Q114" s="44" t="n"/>
      <c r="R114" s="44" t="n"/>
      <c r="S114" s="44" t="n"/>
      <c r="T114" s="44" t="n"/>
      <c r="U114" s="44" t="n"/>
      <c r="V114" s="44" t="n"/>
      <c r="W114" s="44" t="n"/>
      <c r="X114" s="44" t="n"/>
      <c r="Y114" s="44" t="n"/>
      <c r="Z114" s="44" t="n"/>
      <c r="AA114" s="44" t="n"/>
      <c r="AB114" s="44" t="n"/>
    </row>
    <row r="115" ht="16.5" customHeight="1" s="331">
      <c r="B115" s="34" t="n"/>
      <c r="C115" s="47" t="n"/>
      <c r="D115" s="48" t="n"/>
      <c r="E115" s="49" t="n"/>
      <c r="F115" s="50" t="n"/>
      <c r="G115" s="51" t="n"/>
      <c r="H115" s="52" t="n"/>
      <c r="I115" s="53" t="n"/>
      <c r="J115" s="54" t="n"/>
      <c r="K115" s="55" t="n"/>
      <c r="L115" s="18" t="n"/>
      <c r="M115" s="21" t="n"/>
      <c r="N115" s="56" t="n"/>
      <c r="O115" s="57" t="n"/>
      <c r="P115" s="58" t="n"/>
      <c r="Q115" s="56" t="n"/>
      <c r="R115" s="56" t="n"/>
      <c r="S115" s="56" t="n"/>
      <c r="T115" s="56" t="n"/>
      <c r="U115" s="56" t="n"/>
      <c r="V115" s="56" t="n"/>
      <c r="W115" s="56" t="n"/>
      <c r="X115" s="56" t="n"/>
      <c r="Y115" s="56" t="n"/>
      <c r="Z115" s="56" t="n"/>
      <c r="AA115" s="56" t="n"/>
      <c r="AB115" s="56" t="n"/>
    </row>
    <row r="116" ht="16.5" customHeight="1" s="331">
      <c r="B116" s="34" t="n"/>
      <c r="C116" s="35" t="n"/>
      <c r="D116" s="36" t="n"/>
      <c r="E116" s="37" t="n"/>
      <c r="F116" s="38" t="n"/>
      <c r="G116" s="39" t="n"/>
      <c r="H116" s="40" t="n"/>
      <c r="I116" s="41" t="n"/>
      <c r="J116" s="42" t="n"/>
      <c r="K116" s="43" t="n"/>
      <c r="L116" s="9" t="n"/>
      <c r="M116" s="12" t="n"/>
      <c r="N116" s="44" t="n"/>
      <c r="O116" s="45" t="n"/>
      <c r="P116" s="46" t="n"/>
      <c r="Q116" s="44" t="n"/>
      <c r="R116" s="44" t="n"/>
      <c r="S116" s="44" t="n"/>
      <c r="T116" s="44" t="n"/>
      <c r="U116" s="44" t="n"/>
      <c r="V116" s="44" t="n"/>
      <c r="W116" s="44" t="n"/>
      <c r="X116" s="44" t="n"/>
      <c r="Y116" s="44" t="n"/>
      <c r="Z116" s="44" t="n"/>
      <c r="AA116" s="44" t="n"/>
      <c r="AB116" s="44" t="n"/>
    </row>
    <row r="117" ht="16.5" customHeight="1" s="331">
      <c r="B117" s="34" t="n"/>
      <c r="C117" s="47" t="n"/>
      <c r="D117" s="48" t="n"/>
      <c r="E117" s="49" t="n"/>
      <c r="F117" s="50" t="n"/>
      <c r="G117" s="51" t="n"/>
      <c r="H117" s="52" t="n"/>
      <c r="I117" s="53" t="n"/>
      <c r="J117" s="54" t="n"/>
      <c r="K117" s="55" t="n"/>
      <c r="L117" s="18" t="n"/>
      <c r="M117" s="21" t="n"/>
      <c r="N117" s="56" t="n"/>
      <c r="O117" s="57" t="n"/>
      <c r="P117" s="58" t="n"/>
      <c r="Q117" s="56" t="n"/>
      <c r="R117" s="56" t="n"/>
      <c r="S117" s="56" t="n"/>
      <c r="T117" s="56" t="n"/>
      <c r="U117" s="56" t="n"/>
      <c r="V117" s="56" t="n"/>
      <c r="W117" s="56" t="n"/>
      <c r="X117" s="56" t="n"/>
      <c r="Y117" s="56" t="n"/>
      <c r="Z117" s="56" t="n"/>
      <c r="AA117" s="56" t="n"/>
      <c r="AB117" s="56" t="n"/>
    </row>
    <row r="118" ht="16.5" customHeight="1" s="331">
      <c r="B118" s="34" t="n"/>
      <c r="C118" s="35" t="n"/>
      <c r="D118" s="36" t="n"/>
      <c r="E118" s="37" t="n"/>
      <c r="F118" s="38" t="n"/>
      <c r="G118" s="39" t="n"/>
      <c r="H118" s="40" t="n"/>
      <c r="I118" s="41" t="n"/>
      <c r="J118" s="42" t="n"/>
      <c r="K118" s="43" t="n"/>
      <c r="L118" s="9" t="n"/>
      <c r="M118" s="12" t="n"/>
      <c r="N118" s="44" t="n"/>
      <c r="O118" s="45" t="n"/>
      <c r="P118" s="46" t="n"/>
      <c r="Q118" s="44" t="n"/>
      <c r="R118" s="44" t="n"/>
      <c r="S118" s="44" t="n"/>
      <c r="T118" s="44" t="n"/>
      <c r="U118" s="44" t="n"/>
      <c r="V118" s="44" t="n"/>
      <c r="W118" s="44" t="n"/>
      <c r="X118" s="44" t="n"/>
      <c r="Y118" s="44" t="n"/>
      <c r="Z118" s="44" t="n"/>
      <c r="AA118" s="44" t="n"/>
      <c r="AB118" s="4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B5:P5"/>
    <mergeCell ref="A2:H2"/>
    <mergeCell ref="I2:P2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673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9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3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3" t="n"/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3" t="n"/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3" t="n"/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3" t="n"/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33" t="n"/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3" t="n"/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3" t="n"/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3" t="n"/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3" t="n"/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3" t="n"/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3" t="n"/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3" t="n"/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3" t="n"/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3" t="n"/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3" t="n"/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3" t="n"/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3" t="n"/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3" t="n"/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3" t="n"/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3" t="n"/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3" t="n"/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3" t="n"/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Supplies/Other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3" t="n"/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Maintenance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3" t="n"/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Ingredients - Meat &amp; Fish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3" t="n"/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Packaging/Disposables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3" t="n"/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Utilities/Gas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3" t="n"/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Ingredients - Fruit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3" t="n"/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3" t="n"/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3" t="n"/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3" t="n"/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3" t="n"/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3" t="n"/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3" t="n"/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Desserts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3" t="n"/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Eggs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3" t="n"/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3" t="n"/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3" t="n"/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3" t="n"/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E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inlineStr">
        <is>
          <t>TOTALS &amp; CURRENT BALANCE</t>
        </is>
      </c>
      <c r="B76" s="232" t="n"/>
      <c r="C76" s="232" t="n"/>
      <c r="D76" s="232">
        <f>SUM(D4:D75)</f>
        <v/>
      </c>
      <c r="E76" s="233">
        <f>SUM(E4:E75)</f>
        <v/>
      </c>
      <c r="F76" s="233">
        <f>F75</f>
        <v/>
      </c>
      <c r="G76" s="232">
        <f>IF(F75&gt;0,"Restaurant owes Lohith $"&amp;TEXT(F75,"#,##0"),IF(F75&lt;0,"Lohith holds $"&amp;TEXT(ABS(F75),"#,##0"),"Zero balance"))</f>
        <v/>
      </c>
      <c r="H76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2026-08-22T05:12:02Z</dcterms:modified>
  <cp:lastModifiedBy>LOHITH REDDY</cp:lastModifiedBy>
</cp:coreProperties>
</file>