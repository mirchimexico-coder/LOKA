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3411.85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-61892</v>
      </c>
      <c r="E149" t="inlineStr">
        <is>
          <t>Cumulative repaid from operating cash (latest 31-Aug-2026 $10,000.00).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3240.0</v>
      </c>
      <c r="G6" s="31">
        <f>SUMIFS($G$8:$G$5000,$B$8:$B$5000,TODAY())</f>
        <v>0.0</v>
      </c>
      <c r="H6" s="28">
        <f>SUMIFS($H$8:$H$5000,$B$8:$B$5000,TODAY())</f>
        <v>7777.0</v>
      </c>
      <c r="I6" s="32">
        <f>F6-H6</f>
        <v>-4537.0</v>
      </c>
      <c r="J6">
        <f>IFERROR(I6/F6,0)</f>
        <v>-1.400309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6995.0</v>
      </c>
      <c r="N6" s="33">
        <f>SUMPRODUCT((ISNUMBER($B$8:$B$5000))*($B$8:$B$5000&gt;=TODAY()-MOD(TODAY()-2,7))*($B$8:$B$5000&lt;TODAY()-MOD(TODAY()-2,7)+7)*IF(ISNUMBER($F$8:$F$5000),$F$8:$F$5000,0))</f>
        <v>6995.0</v>
      </c>
      <c r="O6" s="33">
        <f>SUMPRODUCT((ISNUMBER($B$8:$B$5000))*(MONTH($B$8:$B$5000)=MONTH(TODAY()))*(YEAR($B$8:$B$5000)=YEAR(TODAY()))*IF(ISNUMBER($F$8:$F$5000),$F$8:$F$5000,0))</f>
        <v>3240.0</v>
      </c>
      <c r="P6">
        <f>SUMPRODUCT((ISNUMBER($B$8:$B$5000))*($B$8:$B$5000&gt;=TODAY()-MOD(TODAY()-2,7))*($B$8:$B$5000&lt;TODAY()-MOD(TODAY()-2,7)+7)*IF(ISNUMBER($H$8:$H$5000),$H$8:$H$5000,0))</f>
        <v>9215.0</v>
      </c>
      <c r="Q6">
        <f>M6-P6</f>
        <v>-2220.0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1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inlineStr">
        <is>
          <t>TOTALS &amp; CURRENT BALANCE</t>
        </is>
      </c>
      <c r="B81" s="232" t="n"/>
      <c r="C81" s="232" t="n"/>
      <c r="D81" s="232">
        <f>SUM(D4:D80)</f>
        <v/>
      </c>
      <c r="E81" s="233">
        <f>SUM(E4:E80)</f>
        <v/>
      </c>
      <c r="F81" s="233">
        <f>F80</f>
        <v/>
      </c>
      <c r="G81" s="232">
        <f>IF(F80&gt;0,"Restaurant owes Lohith $"&amp;TEXT(F80,"#,##0"),IF(F80&lt;0,"Lohith holds $"&amp;TEXT(ABS(F80),"#,##0"),"Zero balance"))</f>
        <v/>
      </c>
      <c r="H8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2026-09-02T05:07:24Z</dcterms:modified>
  <cp:lastModifiedBy>LOHITH REDDY</cp:lastModifiedBy>
</cp:coreProperties>
</file>