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  <font>
      <b val="1"/>
      <color rgb="00FFFFFF"/>
      <sz val="12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1" fillId="52" borderId="0" pivotButton="0" quotePrefix="0" xfId="0"/>
    <xf numFmtId="4" fontId="88" fillId="0" borderId="20" pivotButton="0" quotePrefix="0" xfId="0"/>
    <xf numFmtId="4" fontId="90" fillId="53" borderId="20" pivotButton="0" quotePrefix="0" xfId="0"/>
    <xf numFmtId="4" fontId="88" fillId="20" borderId="20" applyAlignment="1" pivotButton="0" quotePrefix="0" xfId="0">
      <alignment horizontal="left" vertical="center"/>
    </xf>
    <xf numFmtId="4" fontId="88" fillId="20" borderId="20" applyAlignment="1" pivotButton="0" quotePrefix="0" xfId="0">
      <alignment horizontal="center" vertical="center"/>
    </xf>
    <xf numFmtId="174" fontId="0" fillId="54" borderId="20" pivotButton="0" quotePrefix="0" xfId="0"/>
    <xf numFmtId="0" fontId="0" fillId="54" borderId="20" pivotButton="0" quotePrefix="0" xfId="0"/>
    <xf numFmtId="4" fontId="0" fillId="54" borderId="20" pivotButton="0" quotePrefix="0" xfId="0"/>
    <xf numFmtId="174" fontId="51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5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18">
      <c r="B118" s="397" t="inlineStr">
        <is>
          <t xml:space="preserve">  J.  LOHITH — CASH POSITION  (funds managed: own budget + partner transfers)</t>
        </is>
      </c>
    </row>
    <row r="119">
      <c r="B119" s="360" t="inlineStr">
        <is>
          <t>My Total Budget</t>
        </is>
      </c>
      <c r="D119" s="361">
        <f>D6</f>
        <v/>
      </c>
    </row>
    <row r="120">
      <c r="B120" s="360" t="inlineStr">
        <is>
          <t>+ Kashigoud Transferred to Me</t>
        </is>
      </c>
      <c r="D120" s="361">
        <f>D34</f>
        <v/>
      </c>
    </row>
    <row r="121">
      <c r="B121" s="360" t="inlineStr">
        <is>
          <t>+ Shashirekha Transferred to Me</t>
        </is>
      </c>
      <c r="D121" s="361">
        <f>D59</f>
        <v/>
      </c>
    </row>
    <row r="122">
      <c r="B122" s="368">
        <f> Total Funds In</f>
        <v/>
      </c>
      <c r="D122" s="398">
        <f>D119+D120+D121</f>
        <v/>
      </c>
    </row>
    <row r="123">
      <c r="B123" s="360" t="inlineStr">
        <is>
          <t>− Pre-Opening Expenses (excl. $5k advance)</t>
        </is>
      </c>
      <c r="D123" s="361">
        <f>D55-D46</f>
        <v/>
      </c>
    </row>
    <row r="124">
      <c r="B124" s="360" t="inlineStr">
        <is>
          <t>− Paid to Previous Owners (incl. $15,530 electricity)</t>
        </is>
      </c>
      <c r="D124" s="361">
        <f>SUM(D14:D22)+D24</f>
        <v/>
      </c>
    </row>
    <row r="125">
      <c r="B125" s="367">
        <f> REMAINING WITH ME</f>
        <v/>
      </c>
      <c r="D125" s="399">
        <f>D122-D123-D124</f>
        <v/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56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4">
      <c r="B40" s="356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405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405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405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405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62500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77086.48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-14586.48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16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3906.25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31492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29661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1347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15580.48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3248.63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2833.76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4124.8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3767.65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Utilities / Internet</t>
        </is>
      </c>
      <c r="B31" s="389" t="n">
        <v>0</v>
      </c>
      <c r="C31" s="378" t="n">
        <v>349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Desserts</t>
        </is>
      </c>
      <c r="B32" s="390" t="n">
        <v>260</v>
      </c>
      <c r="C32" s="391" t="n">
        <v>0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Ingredients - Produce</t>
        </is>
      </c>
      <c r="B33" s="392" t="n">
        <v>0</v>
      </c>
      <c r="C33" s="370" t="n">
        <v>48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A34" s="368" t="inlineStr">
        <is>
          <t>TOTAL EXPENSES</t>
        </is>
      </c>
      <c r="B34" s="400" t="n">
        <v>32919.63</v>
      </c>
      <c r="C34" s="401" t="n">
        <v>77086.48</v>
      </c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402" t="n">
        <v>46191</v>
      </c>
      <c r="B24" s="403" t="inlineStr">
        <is>
          <t>Customer Transfer — Jun 18 (revenue paid into Lohith account)</t>
        </is>
      </c>
      <c r="C24" s="403" t="inlineStr">
        <is>
          <t>Transfer Received</t>
        </is>
      </c>
      <c r="D24" s="403" t="n"/>
      <c r="E24" s="404" t="n">
        <v>400</v>
      </c>
      <c r="F24" s="404">
        <f>IFERROR(F23+D24-E24,0)</f>
        <v/>
      </c>
      <c r="G24" s="403" t="inlineStr">
        <is>
          <t>✅ Received</t>
        </is>
      </c>
      <c r="H24" s="403" t="inlineStr">
        <is>
          <t>Customer paid $400 by transfer into Lohith account — counts against balance owed</t>
        </is>
      </c>
    </row>
    <row r="25">
      <c r="A25" s="362" t="inlineStr">
        <is>
          <t>TOTALS &amp; CURRENT BALANCE</t>
        </is>
      </c>
      <c r="B25" s="362" t="n"/>
      <c r="C25" s="362" t="n"/>
      <c r="D25" s="363">
        <f>SUM(D4:D24)</f>
        <v/>
      </c>
      <c r="E25" s="363">
        <f>SUM(E4:E24)</f>
        <v/>
      </c>
      <c r="F25" s="363">
        <f>F24</f>
        <v/>
      </c>
      <c r="G25" s="362">
        <f>IF(F24&gt;0,"Restaurant owes Lohith $"&amp;TEXT(F24,"#,##0"),IF(F24&lt;0,"Lohith holds $"&amp;TEXT(ABS(F24),"#,##0"),"Zero balance"))</f>
        <v/>
      </c>
      <c r="H25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2026-06-20T01:48:11Z</dcterms:modified>
  <cp:lastModifiedBy>LOHITH REDDY</cp:lastModifiedBy>
</cp:coreProperties>
</file>