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  <numFmt numFmtId="177" formatCode="$#,##0.00;[Red]-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  <xf numFmtId="0" fontId="98" fillId="0" borderId="25" pivotButton="0" quotePrefix="0" xfId="0"/>
    <xf numFmtId="177" fontId="98" fillId="0" borderId="25" pivotButton="0" quotePrefix="0" xfId="0"/>
    <xf numFmtId="0" fontId="95" fillId="0" borderId="25" pivotButton="0" quotePrefix="0" xfId="0"/>
    <xf numFmtId="177" fontId="95" fillId="0" borderId="25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05 Oct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Legacy (to 22-Sep-2026). From 05-Oct-2026 capital is fixed at $125,934 in the company account; what ops owes Capital = negative Balance vs Capital (row 172). 22-Sep taxes/contador moved to Restaurant.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CAPITAL held in company account (fixed, moved in 22-Sep-2026)</t>
        </is>
      </c>
      <c r="C169" s="452" t="n">
        <v>125934</v>
      </c>
      <c r="E169" t="inlineStr">
        <is>
          <t>22-Sep-2026: Lohith moved all remaining capital ($125,934) to the company account.</t>
        </is>
      </c>
    </row>
    <row r="170">
      <c r="B170" s="319" t="inlineStr">
        <is>
          <t xml:space="preserve">   Drawn from capital (retired 05-Oct-2026: all bills are normal company-account expenses)</t>
        </is>
      </c>
      <c r="C170" s="452" t="n">
        <v>0</v>
      </c>
      <c r="E170" t="inlineStr">
        <is>
          <t>22-Sep taxes/contador draw (-$18,442) reversed 05-Oct-2026 and booked as Restaurant expenses.</t>
        </is>
      </c>
    </row>
    <row r="171">
      <c r="B171" s="317" t="inlineStr">
        <is>
          <t>CAPITAL BALANCE (fixed, in company account)</t>
        </is>
      </c>
      <c r="C171" s="453">
        <f>C169+C170</f>
        <v/>
      </c>
      <c r="E171" t="inlineStr">
        <is>
          <t>The pool (company account + cash in hand) must cover this. Difference is row 172.</t>
        </is>
      </c>
    </row>
    <row r="172">
      <c r="B172" s="454" t="inlineStr">
        <is>
          <t>BALANCE vs CAPITAL  (company acct + cash in hand − capital)</t>
        </is>
      </c>
      <c r="C172" s="455" t="n">
        <v>-14581.73</v>
      </c>
      <c r="E172" s="423" t="inlineStr">
        <is>
          <t>Negative = the restaurant owes Capital this much. Positive = surplus. Auto-updated by refresh-all.</t>
        </is>
      </c>
    </row>
    <row r="173">
      <c r="B173" s="456" t="inlineStr">
        <is>
          <t xml:space="preserve">   Company account + cash in hand (books)</t>
        </is>
      </c>
      <c r="C173" s="457" t="n">
        <v>111352.27</v>
      </c>
      <c r="E173" s="423" t="inlineStr">
        <is>
          <t>Last physical count + everything since. Set by menu 13 (cash count). Auto-updated by refresh-all.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7170.0</v>
      </c>
      <c r="G6" s="31">
        <f>SUMIFS($G$8:$G$5000,$B$8:$B$5000,TODAY())</f>
        <v>0.0</v>
      </c>
      <c r="H6" s="28">
        <f>SUMIFS($H$8:$H$5000,$B$8:$B$5000,TODAY())</f>
        <v>10022.0</v>
      </c>
      <c r="I6" s="32">
        <f>F6-H6</f>
        <v>-7122.0</v>
      </c>
      <c r="J6">
        <f>IFERROR(I6/F6,0)</f>
        <v>-2.455862</v>
      </c>
      <c r="K6" s="28" t="n"/>
      <c r="L6" s="31" t="n"/>
      <c r="M6" s="28">
        <f>SUMIFS($F$8:$F$5000,$B$8:$B$5000,"&gt;="&amp;(TODAY()-WEEKDAY(TODAY(),2)+1),$B$8:$B$5000,"&lt;"&amp;(TODAY()-WEEKDAY(TODAY(),2)+8))</f>
        <v>7170.0</v>
      </c>
      <c r="N6" s="33">
        <f>SUMIFS($F$8:$F$5000,$B$8:$B$5000,"&gt;="&amp;(TODAY()-WEEKDAY(TODAY(),2)+1),$B$8:$B$5000,"&lt;"&amp;(TODAY()-WEEKDAY(TODAY(),2)+8))</f>
        <v>7170.0</v>
      </c>
      <c r="O6" s="33">
        <f>SUMIFS($F$8:$F$5000,$B$8:$B$5000,"&gt;="&amp;DATE(YEAR(TODAY()),MONTH(TODAY()),1),$B$8:$B$5000,"&lt;"&amp;DATE(YEAR(TODAY()),MONTH(TODAY())+1,1))</f>
        <v>7170.0</v>
      </c>
      <c r="P6">
        <f>SUMIFS('💸 Expenses'!$F$8:$F$5000,'💸 Expenses'!$B$8:$B$5000,"&gt;="&amp;(TODAY()-WEEKDAY(TODAY(),2)+1),'💸 Expenses'!$B$8:$B$5000,"&lt;"&amp;(TODAY()-WEEKDAY(TODAY(),2)+8))</f>
        <v>2619.0</v>
      </c>
      <c r="Q6">
        <f>M6-P6</f>
        <v>4551.0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427" t="n">
        <v>46301</v>
      </c>
      <c r="C132" s="270" t="inlineStr">
        <is>
          <t>Tue</t>
        </is>
      </c>
      <c r="D132" s="271" t="n">
        <v>1285</v>
      </c>
      <c r="E132" s="37" t="n">
        <v>2200</v>
      </c>
      <c r="F132" s="38">
        <f>IFERROR(D132+E132+G132+U132+Y132,0)</f>
        <v>4325.0</v>
      </c>
      <c r="G132" s="272" t="n">
        <v>840</v>
      </c>
      <c r="H132" s="273">
        <f>SUMIFS('💸 Expenses'!$F$8:$F$5000,'💸 Expenses'!$B$8:$B$5000,"&gt;="&amp;B132,'💸 Expenses'!$B$8:$B$5000,"&lt;"&amp;(B132+1))</f>
        <v>5081.0</v>
      </c>
      <c r="I132" s="274">
        <f>IFERROR(F132-H132,0)</f>
        <v>-756.0</v>
      </c>
      <c r="J132" s="275">
        <f>IFERROR(I132/F132,0)</f>
        <v>-0.174798</v>
      </c>
      <c r="K132" s="250" t="n"/>
      <c r="L132" s="276" t="inlineStr">
        <is>
          <t>Cierre via loka.py</t>
        </is>
      </c>
      <c r="M132" s="323" t="n"/>
      <c r="N132" s="324" t="n"/>
      <c r="O132" s="325" t="n"/>
      <c r="P132" s="326" t="n"/>
      <c r="Q132" s="324" t="n"/>
      <c r="R132" s="428">
        <f>IFERROR(D132*$T$7,0)</f>
        <v>52.17</v>
      </c>
      <c r="S132" s="324" t="n"/>
      <c r="T132" s="324" t="n"/>
      <c r="U132" s="428" t="n">
        <v>0</v>
      </c>
      <c r="V132" s="428" t="n">
        <v>0</v>
      </c>
      <c r="W132" s="324" t="n"/>
      <c r="X132" s="324" t="n"/>
      <c r="Y132" s="428" t="n">
        <v>0</v>
      </c>
      <c r="Z132" s="428" t="n">
        <v>0</v>
      </c>
      <c r="AA132" s="324" t="n"/>
      <c r="AB132" s="324" t="n"/>
    </row>
    <row r="133" ht="16.5" customHeight="1" s="331">
      <c r="B133" s="427" t="n">
        <v>46302</v>
      </c>
      <c r="C133" s="255" t="inlineStr">
        <is>
          <t>Wed</t>
        </is>
      </c>
      <c r="D133" s="256" t="n">
        <v>360</v>
      </c>
      <c r="E133" s="49" t="n">
        <v>1095</v>
      </c>
      <c r="F133" s="50">
        <f>IFERROR(D133+E133+G133+U133+Y133,0)</f>
        <v>1455.0</v>
      </c>
      <c r="G133" s="257" t="n">
        <v>0</v>
      </c>
      <c r="H133" s="258">
        <f>SUMIFS('💸 Expenses'!$F$8:$F$5000,'💸 Expenses'!$B$8:$B$5000,"&gt;="&amp;B133,'💸 Expenses'!$B$8:$B$5000,"&lt;"&amp;(B133+1))</f>
        <v>1085.0</v>
      </c>
      <c r="I133" s="259">
        <f>IFERROR(F133-H133,0)</f>
        <v>370.0</v>
      </c>
      <c r="J133" s="260">
        <f>IFERROR(I133/F133,0)</f>
        <v>0.254296</v>
      </c>
      <c r="K133" s="254" t="n"/>
      <c r="L133" s="261" t="inlineStr">
        <is>
          <t>Cierre via loka.py</t>
        </is>
      </c>
      <c r="M133" s="291" t="n"/>
      <c r="N133" s="292" t="n"/>
      <c r="O133" s="293" t="n"/>
      <c r="P133" s="294" t="n"/>
      <c r="Q133" s="292" t="n"/>
      <c r="R133" s="443">
        <f>IFERROR(D133*$T$7,0)</f>
        <v>14.62</v>
      </c>
      <c r="S133" s="292" t="n"/>
      <c r="T133" s="292" t="n"/>
      <c r="U133" s="443" t="n">
        <v>0</v>
      </c>
      <c r="V133" s="443" t="n">
        <v>0</v>
      </c>
      <c r="W133" s="292" t="n"/>
      <c r="X133" s="292" t="n"/>
      <c r="Y133" s="443" t="n">
        <v>0</v>
      </c>
      <c r="Z133" s="443" t="n">
        <v>0</v>
      </c>
      <c r="AA133" s="292" t="n"/>
      <c r="AB133" s="292" t="n"/>
    </row>
    <row r="134" ht="16.5" customHeight="1" s="331">
      <c r="B134" s="427" t="n">
        <v>46303</v>
      </c>
      <c r="C134" s="270" t="inlineStr">
        <is>
          <t>Thu</t>
        </is>
      </c>
      <c r="D134" s="271" t="n">
        <v>1565</v>
      </c>
      <c r="E134" s="37" t="n">
        <v>1015</v>
      </c>
      <c r="F134" s="38">
        <f>IFERROR(D134+E134+G134+U134+Y134,0)</f>
        <v>2665.0</v>
      </c>
      <c r="G134" s="272" t="n">
        <v>85</v>
      </c>
      <c r="H134" s="273">
        <f>SUMIFS('💸 Expenses'!$F$8:$F$5000,'💸 Expenses'!$B$8:$B$5000,"&gt;="&amp;B134,'💸 Expenses'!$B$8:$B$5000,"&lt;"&amp;(B134+1))</f>
        <v>296.0</v>
      </c>
      <c r="I134" s="274">
        <f>IFERROR(F134-H134,0)</f>
        <v>2369.0</v>
      </c>
      <c r="J134" s="275">
        <f>IFERROR(I134/F134,0)</f>
        <v>0.888931</v>
      </c>
      <c r="K134" s="250" t="n"/>
      <c r="L134" s="276" t="inlineStr">
        <is>
          <t>Cierre via loka.py</t>
        </is>
      </c>
      <c r="M134" s="323" t="n"/>
      <c r="N134" s="324" t="n"/>
      <c r="O134" s="325" t="n"/>
      <c r="P134" s="326" t="n"/>
      <c r="Q134" s="324" t="n"/>
      <c r="R134" s="428">
        <f>IFERROR(D134*$T$7,0)</f>
        <v>63.54</v>
      </c>
      <c r="S134" s="324" t="n"/>
      <c r="T134" s="324" t="n"/>
      <c r="U134" s="428" t="n">
        <v>0</v>
      </c>
      <c r="V134" s="428" t="n">
        <v>0</v>
      </c>
      <c r="W134" s="324" t="n"/>
      <c r="X134" s="324" t="n"/>
      <c r="Y134" s="428" t="n">
        <v>0</v>
      </c>
      <c r="Z134" s="428" t="n">
        <v>0</v>
      </c>
      <c r="AA134" s="324" t="n"/>
      <c r="AB134" s="324" t="n"/>
    </row>
    <row r="135" ht="16.5" customHeight="1" s="331">
      <c r="B135" s="427" t="n">
        <v>46304</v>
      </c>
      <c r="C135" s="255" t="inlineStr">
        <is>
          <t>Fri</t>
        </is>
      </c>
      <c r="D135" s="256" t="n">
        <v>2871</v>
      </c>
      <c r="E135" s="49" t="n">
        <v>1479</v>
      </c>
      <c r="F135" s="50">
        <f>IFERROR(D135+E135+G135+U135+Y135,0)</f>
        <v>4480.0</v>
      </c>
      <c r="G135" s="257" t="n">
        <v>130</v>
      </c>
      <c r="H135" s="258">
        <f>SUMIFS('💸 Expenses'!$F$8:$F$5000,'💸 Expenses'!$B$8:$B$5000,"&gt;="&amp;B135,'💸 Expenses'!$B$8:$B$5000,"&lt;"&amp;(B135+1))</f>
        <v>1460.0</v>
      </c>
      <c r="I135" s="259">
        <f>IFERROR(F135-H135,0)</f>
        <v>3020.0</v>
      </c>
      <c r="J135" s="260">
        <f>IFERROR(I135/F135,0)</f>
        <v>0.674107</v>
      </c>
      <c r="K135" s="254" t="n"/>
      <c r="L135" s="261" t="inlineStr">
        <is>
          <t>Cierre via loka.py</t>
        </is>
      </c>
      <c r="M135" s="291" t="n"/>
      <c r="N135" s="292" t="n"/>
      <c r="O135" s="293" t="n"/>
      <c r="P135" s="294" t="n"/>
      <c r="Q135" s="292" t="n"/>
      <c r="R135" s="443">
        <f>IFERROR(D135*$T$7,0)</f>
        <v>116.56</v>
      </c>
      <c r="S135" s="292" t="n"/>
      <c r="T135" s="292" t="n"/>
      <c r="U135" s="443" t="n">
        <v>0</v>
      </c>
      <c r="V135" s="443" t="n">
        <v>0</v>
      </c>
      <c r="W135" s="292" t="n"/>
      <c r="X135" s="292" t="n"/>
      <c r="Y135" s="443" t="n">
        <v>0</v>
      </c>
      <c r="Z135" s="443" t="n">
        <v>0</v>
      </c>
      <c r="AA135" s="292" t="n"/>
      <c r="AB135" s="292" t="n"/>
    </row>
    <row r="136" ht="16.5" customHeight="1" s="331">
      <c r="B136" s="427" t="n">
        <v>46305</v>
      </c>
      <c r="C136" s="270" t="inlineStr">
        <is>
          <t>Sat</t>
        </is>
      </c>
      <c r="D136" s="271" t="n">
        <v>1140</v>
      </c>
      <c r="E136" s="37" t="n">
        <v>1900</v>
      </c>
      <c r="F136" s="38">
        <f>IFERROR(D136+E136+G136+U136+Y136,0)</f>
        <v>3260.0</v>
      </c>
      <c r="G136" s="272" t="n">
        <v>220</v>
      </c>
      <c r="H136" s="273">
        <f>SUMIFS('💸 Expenses'!$F$8:$F$5000,'💸 Expenses'!$B$8:$B$5000,"&gt;="&amp;B136,'💸 Expenses'!$B$8:$B$5000,"&lt;"&amp;(B136+1))</f>
        <v>13069.0</v>
      </c>
      <c r="I136" s="274">
        <f>IFERROR(F136-H136,0)</f>
        <v>-9809.0</v>
      </c>
      <c r="J136" s="275">
        <f>IFERROR(I136/F136,0)</f>
        <v>-3.008896</v>
      </c>
      <c r="K136" s="250" t="n"/>
      <c r="L136" s="276" t="inlineStr">
        <is>
          <t>Cierre via loka.py</t>
        </is>
      </c>
      <c r="M136" s="323" t="n"/>
      <c r="N136" s="324" t="n"/>
      <c r="O136" s="325" t="n"/>
      <c r="P136" s="326" t="n"/>
      <c r="Q136" s="324" t="n"/>
      <c r="R136" s="428">
        <f>IFERROR(D136*$T$7,0)</f>
        <v>46.28</v>
      </c>
      <c r="S136" s="324" t="n"/>
      <c r="T136" s="324" t="n"/>
      <c r="U136" s="428" t="n">
        <v>0</v>
      </c>
      <c r="V136" s="428" t="n">
        <v>0</v>
      </c>
      <c r="W136" s="324" t="n"/>
      <c r="X136" s="324" t="n"/>
      <c r="Y136" s="428" t="n">
        <v>0</v>
      </c>
      <c r="Z136" s="428" t="n">
        <v>0</v>
      </c>
      <c r="AA136" s="324" t="n"/>
      <c r="AB136" s="324" t="n"/>
    </row>
    <row r="137" ht="16.5" customHeight="1" s="331">
      <c r="B137" s="427" t="n">
        <v>46307</v>
      </c>
      <c r="C137" s="255" t="inlineStr">
        <is>
          <t>Mon</t>
        </is>
      </c>
      <c r="D137" s="256" t="n">
        <v>1990</v>
      </c>
      <c r="E137" s="49" t="n">
        <v>2855</v>
      </c>
      <c r="F137" s="50">
        <f>IFERROR(D137+E137+G137+U137+Y137,0)</f>
        <v>4930.0</v>
      </c>
      <c r="G137" s="257" t="n">
        <v>85</v>
      </c>
      <c r="H137" s="258">
        <f>SUMIFS('💸 Expenses'!$F$8:$F$5000,'💸 Expenses'!$B$8:$B$5000,"&gt;="&amp;B137,'💸 Expenses'!$B$8:$B$5000,"&lt;"&amp;(B137+1))</f>
        <v>3040.0</v>
      </c>
      <c r="I137" s="259">
        <f>IFERROR(F137-H137,0)</f>
        <v>1890.0</v>
      </c>
      <c r="J137" s="260">
        <f>IFERROR(I137/F137,0)</f>
        <v>0.383367</v>
      </c>
      <c r="K137" s="254" t="n"/>
      <c r="L137" s="261" t="inlineStr">
        <is>
          <t>Cierre via loka.py</t>
        </is>
      </c>
      <c r="M137" s="291" t="n"/>
      <c r="N137" s="292" t="n"/>
      <c r="O137" s="293" t="n"/>
      <c r="P137" s="294" t="n"/>
      <c r="Q137" s="292" t="n"/>
      <c r="R137" s="443">
        <f>IFERROR(D137*$T$7,0)</f>
        <v>80.79</v>
      </c>
      <c r="S137" s="292" t="n"/>
      <c r="T137" s="292" t="n"/>
      <c r="U137" s="443" t="n">
        <v>0</v>
      </c>
      <c r="V137" s="443" t="n">
        <v>0</v>
      </c>
      <c r="W137" s="292" t="n"/>
      <c r="X137" s="292" t="n"/>
      <c r="Y137" s="443" t="n">
        <v>0</v>
      </c>
      <c r="Z137" s="443" t="n">
        <v>0</v>
      </c>
      <c r="AA137" s="292" t="n"/>
      <c r="AB137" s="292" t="n"/>
    </row>
    <row r="138" ht="16.5" customHeight="1" s="331">
      <c r="B138" s="427" t="n">
        <v>46308</v>
      </c>
      <c r="C138" s="270" t="inlineStr">
        <is>
          <t>Tue</t>
        </is>
      </c>
      <c r="D138" s="271" t="n">
        <v>2525</v>
      </c>
      <c r="E138" s="37" t="n">
        <v>1790</v>
      </c>
      <c r="F138" s="38">
        <f>IFERROR(D138+E138+G138+U138+Y138,0)</f>
        <v>4435.0</v>
      </c>
      <c r="G138" s="272" t="n">
        <v>120</v>
      </c>
      <c r="H138" s="273">
        <f>SUMIFS('💸 Expenses'!$F$8:$F$5000,'💸 Expenses'!$B$8:$B$5000,"&gt;="&amp;B138,'💸 Expenses'!$B$8:$B$5000,"&lt;"&amp;(B138+1))</f>
        <v>1389.0</v>
      </c>
      <c r="I138" s="274">
        <f>IFERROR(F138-H138,0)</f>
        <v>3046.0</v>
      </c>
      <c r="J138" s="275">
        <f>IFERROR(I138/F138,0)</f>
        <v>0.686809</v>
      </c>
      <c r="K138" s="250" t="n"/>
      <c r="L138" s="276" t="inlineStr">
        <is>
          <t>Cierre via loka.py</t>
        </is>
      </c>
      <c r="M138" s="323" t="n"/>
      <c r="N138" s="324" t="n"/>
      <c r="O138" s="325" t="n"/>
      <c r="P138" s="326" t="n"/>
      <c r="Q138" s="324" t="n"/>
      <c r="R138" s="428">
        <f>IFERROR(D138*$T$7,0)</f>
        <v>102.51</v>
      </c>
      <c r="S138" s="324" t="n"/>
      <c r="T138" s="324" t="n"/>
      <c r="U138" s="428" t="n">
        <v>0</v>
      </c>
      <c r="V138" s="428" t="n">
        <v>0</v>
      </c>
      <c r="W138" s="324" t="n"/>
      <c r="X138" s="324" t="n"/>
      <c r="Y138" s="428" t="n">
        <v>0</v>
      </c>
      <c r="Z138" s="428" t="n">
        <v>0</v>
      </c>
      <c r="AA138" s="324" t="n"/>
      <c r="AB138" s="324" t="n"/>
    </row>
    <row r="139" ht="16.5" customHeight="1" s="331">
      <c r="B139" s="427" t="n">
        <v>46309</v>
      </c>
      <c r="C139" s="255" t="inlineStr">
        <is>
          <t>Wed</t>
        </is>
      </c>
      <c r="D139" s="256" t="n">
        <v>925</v>
      </c>
      <c r="E139" s="49" t="n">
        <v>1345</v>
      </c>
      <c r="F139" s="50">
        <f>IFERROR(D139+E139+G139+U139+Y139,0)</f>
        <v>2270.0</v>
      </c>
      <c r="G139" s="257" t="n">
        <v>0</v>
      </c>
      <c r="H139" s="258">
        <f>SUMIFS('💸 Expenses'!$F$8:$F$5000,'💸 Expenses'!$B$8:$B$5000,"&gt;="&amp;B139,'💸 Expenses'!$B$8:$B$5000,"&lt;"&amp;(B139+1))</f>
        <v>481.0</v>
      </c>
      <c r="I139" s="259">
        <f>IFERROR(F139-H139,0)</f>
        <v>1789.0</v>
      </c>
      <c r="J139" s="260">
        <f>IFERROR(I139/F139,0)</f>
        <v>0.788106</v>
      </c>
      <c r="K139" s="254" t="n"/>
      <c r="L139" s="261" t="inlineStr">
        <is>
          <t>Cierre via loka.py</t>
        </is>
      </c>
      <c r="M139" s="291" t="n"/>
      <c r="N139" s="292" t="n"/>
      <c r="O139" s="293" t="n"/>
      <c r="P139" s="294" t="n"/>
      <c r="Q139" s="292" t="n"/>
      <c r="R139" s="443">
        <f>IFERROR(D139*$T$7,0)</f>
        <v>37.55</v>
      </c>
      <c r="S139" s="292" t="n"/>
      <c r="T139" s="292" t="n"/>
      <c r="U139" s="443" t="n">
        <v>0</v>
      </c>
      <c r="V139" s="443" t="n">
        <v>0</v>
      </c>
      <c r="W139" s="292" t="n"/>
      <c r="X139" s="292" t="n"/>
      <c r="Y139" s="443" t="n">
        <v>0</v>
      </c>
      <c r="Z139" s="443" t="n">
        <v>0</v>
      </c>
      <c r="AA139" s="292" t="n"/>
      <c r="AB139" s="292" t="n"/>
    </row>
    <row r="140" ht="16.5" customHeight="1" s="331">
      <c r="B140" s="427" t="n">
        <v>46310</v>
      </c>
      <c r="C140" s="270" t="inlineStr">
        <is>
          <t>Thu</t>
        </is>
      </c>
      <c r="D140" s="271" t="n">
        <v>2625</v>
      </c>
      <c r="E140" s="37" t="n">
        <v>1350</v>
      </c>
      <c r="F140" s="38">
        <f>IFERROR(D140+E140+G140+U140+Y140,0)</f>
        <v>3975.0</v>
      </c>
      <c r="G140" s="272" t="n">
        <v>0</v>
      </c>
      <c r="H140" s="273">
        <f>SUMIFS('💸 Expenses'!$F$8:$F$5000,'💸 Expenses'!$B$8:$B$5000,"&gt;="&amp;B140,'💸 Expenses'!$B$8:$B$5000,"&lt;"&amp;(B140+1))</f>
        <v>2075.0</v>
      </c>
      <c r="I140" s="274">
        <f>IFERROR(F140-H140,0)</f>
        <v>1900.0</v>
      </c>
      <c r="J140" s="275">
        <f>IFERROR(I140/F140,0)</f>
        <v>0.477987</v>
      </c>
      <c r="K140" s="250" t="n"/>
      <c r="L140" s="276" t="inlineStr">
        <is>
          <t>Cierre via loka.py</t>
        </is>
      </c>
      <c r="M140" s="323" t="n"/>
      <c r="N140" s="324" t="n"/>
      <c r="O140" s="325" t="n"/>
      <c r="P140" s="326" t="n"/>
      <c r="Q140" s="324" t="n"/>
      <c r="R140" s="428">
        <f>IFERROR(D140*$T$7,0)</f>
        <v>106.57</v>
      </c>
      <c r="S140" s="324" t="n"/>
      <c r="T140" s="324" t="n"/>
      <c r="U140" s="428" t="n">
        <v>0</v>
      </c>
      <c r="V140" s="428" t="n">
        <v>0</v>
      </c>
      <c r="W140" s="324" t="n"/>
      <c r="X140" s="324" t="n"/>
      <c r="Y140" s="428" t="n">
        <v>0</v>
      </c>
      <c r="Z140" s="428" t="n">
        <v>0</v>
      </c>
      <c r="AA140" s="324" t="n"/>
      <c r="AB140" s="324" t="n"/>
    </row>
    <row r="141" ht="16.5" customHeight="1" s="331">
      <c r="B141" s="427" t="n">
        <v>46311</v>
      </c>
      <c r="C141" s="255" t="inlineStr">
        <is>
          <t>Fri</t>
        </is>
      </c>
      <c r="D141" s="256" t="n">
        <v>2145</v>
      </c>
      <c r="E141" s="49" t="n">
        <v>3680</v>
      </c>
      <c r="F141" s="50">
        <f>IFERROR(D141+E141+G141+U141+Y141,0)</f>
        <v>5825.0</v>
      </c>
      <c r="G141" s="257" t="n">
        <v>0</v>
      </c>
      <c r="H141" s="258">
        <f>SUMIFS('💸 Expenses'!$F$8:$F$5000,'💸 Expenses'!$B$8:$B$5000,"&gt;="&amp;B141,'💸 Expenses'!$B$8:$B$5000,"&lt;"&amp;(B141+1))</f>
        <v>1420.0</v>
      </c>
      <c r="I141" s="259">
        <f>IFERROR(F141-H141,0)</f>
        <v>4405.0</v>
      </c>
      <c r="J141" s="260">
        <f>IFERROR(I141/F141,0)</f>
        <v>0.756223</v>
      </c>
      <c r="K141" s="254" t="n"/>
      <c r="L141" s="261" t="inlineStr">
        <is>
          <t>Cierre via loka.py</t>
        </is>
      </c>
      <c r="M141" s="291" t="n"/>
      <c r="N141" s="292" t="n"/>
      <c r="O141" s="293" t="n"/>
      <c r="P141" s="294" t="n"/>
      <c r="Q141" s="292" t="n"/>
      <c r="R141" s="443">
        <f>IFERROR(D141*$T$7,0)</f>
        <v>87.09</v>
      </c>
      <c r="S141" s="292" t="n"/>
      <c r="T141" s="292" t="n"/>
      <c r="U141" s="443" t="n">
        <v>0</v>
      </c>
      <c r="V141" s="443" t="n">
        <v>0</v>
      </c>
      <c r="W141" s="292" t="n"/>
      <c r="X141" s="292" t="n"/>
      <c r="Y141" s="443" t="n">
        <v>0</v>
      </c>
      <c r="Z141" s="443" t="n">
        <v>0</v>
      </c>
      <c r="AA141" s="292" t="n"/>
      <c r="AB141" s="292" t="n"/>
    </row>
    <row r="142" ht="16.5" customHeight="1" s="331">
      <c r="B142" s="427" t="n">
        <v>46312</v>
      </c>
      <c r="C142" s="270" t="inlineStr">
        <is>
          <t>Sat</t>
        </is>
      </c>
      <c r="D142" s="271" t="n">
        <v>2425</v>
      </c>
      <c r="E142" s="37" t="n">
        <v>2090</v>
      </c>
      <c r="F142" s="38">
        <f>IFERROR(D142+E142+G142+U142+Y142,0)</f>
        <v>4515.0</v>
      </c>
      <c r="G142" s="272" t="n">
        <v>0</v>
      </c>
      <c r="H142" s="273">
        <f>SUMIFS('💸 Expenses'!$F$8:$F$5000,'💸 Expenses'!$B$8:$B$5000,"&gt;="&amp;B142,'💸 Expenses'!$B$8:$B$5000,"&lt;"&amp;(B142+1))</f>
        <v>7037.0</v>
      </c>
      <c r="I142" s="274">
        <f>IFERROR(F142-H142,0)</f>
        <v>-2522.0</v>
      </c>
      <c r="J142" s="275">
        <f>IFERROR(I142/F142,0)</f>
        <v>-0.558583</v>
      </c>
      <c r="K142" s="250" t="n"/>
      <c r="L142" s="276" t="inlineStr">
        <is>
          <t>Cierre via loka.py</t>
        </is>
      </c>
      <c r="M142" s="323" t="n"/>
      <c r="N142" s="324" t="n"/>
      <c r="O142" s="325" t="n"/>
      <c r="P142" s="326" t="n"/>
      <c r="Q142" s="324" t="n"/>
      <c r="R142" s="428">
        <f>IFERROR(D142*$T$7,0)</f>
        <v>98.45</v>
      </c>
      <c r="S142" s="324" t="n"/>
      <c r="T142" s="324" t="n"/>
      <c r="U142" s="428" t="n">
        <v>0</v>
      </c>
      <c r="V142" s="428" t="n">
        <v>0</v>
      </c>
      <c r="W142" s="324" t="n"/>
      <c r="X142" s="324" t="n"/>
      <c r="Y142" s="428" t="n">
        <v>0</v>
      </c>
      <c r="Z142" s="428" t="n">
        <v>0</v>
      </c>
      <c r="AA142" s="324" t="n"/>
      <c r="AB142" s="324" t="n"/>
    </row>
    <row r="143" ht="16.5" customHeight="1" s="331">
      <c r="B143" s="427" t="n">
        <v>46314</v>
      </c>
      <c r="C143" s="255" t="inlineStr">
        <is>
          <t>Mon</t>
        </is>
      </c>
      <c r="D143" s="256" t="n">
        <v>3035</v>
      </c>
      <c r="E143" s="49" t="n">
        <v>2650</v>
      </c>
      <c r="F143" s="50">
        <f>IFERROR(D143+E143+G143+U143+Y143,0)</f>
        <v>5685.0</v>
      </c>
      <c r="G143" s="257" t="n">
        <v>0</v>
      </c>
      <c r="H143" s="258">
        <f>SUMIFS('💸 Expenses'!$F$8:$F$5000,'💸 Expenses'!$B$8:$B$5000,"&gt;="&amp;B143,'💸 Expenses'!$B$8:$B$5000,"&lt;"&amp;(B143+1))</f>
        <v>1402.0</v>
      </c>
      <c r="I143" s="259">
        <f>IFERROR(F143-H143,0)</f>
        <v>4283.0</v>
      </c>
      <c r="J143" s="260">
        <f>IFERROR(I143/F143,0)</f>
        <v>0.753386</v>
      </c>
      <c r="K143" s="254" t="n"/>
      <c r="L143" s="261" t="inlineStr">
        <is>
          <t>Cierre via loka.py</t>
        </is>
      </c>
      <c r="M143" s="291" t="n"/>
      <c r="N143" s="292" t="n"/>
      <c r="O143" s="293" t="n"/>
      <c r="P143" s="294" t="n"/>
      <c r="Q143" s="292" t="n"/>
      <c r="R143" s="443">
        <f>IFERROR(D143*$T$7,0)</f>
        <v>123.22</v>
      </c>
      <c r="S143" s="292" t="n"/>
      <c r="T143" s="292" t="n"/>
      <c r="U143" s="443" t="n">
        <v>0</v>
      </c>
      <c r="V143" s="443" t="n">
        <v>0</v>
      </c>
      <c r="W143" s="292" t="n"/>
      <c r="X143" s="292" t="n"/>
      <c r="Y143" s="443" t="n">
        <v>0</v>
      </c>
      <c r="Z143" s="443" t="n">
        <v>0</v>
      </c>
      <c r="AA143" s="292" t="n"/>
      <c r="AB143" s="292" t="n"/>
    </row>
    <row r="144" ht="16.5" customHeight="1" s="331">
      <c r="B144" s="427" t="n">
        <v>46315</v>
      </c>
      <c r="C144" s="270" t="inlineStr">
        <is>
          <t>Tue</t>
        </is>
      </c>
      <c r="D144" s="271" t="n">
        <v>2565</v>
      </c>
      <c r="E144" s="37" t="n">
        <v>1830</v>
      </c>
      <c r="F144" s="38">
        <f>IFERROR(D144+E144+G144+U144+Y144,0)</f>
        <v>4395.0</v>
      </c>
      <c r="G144" s="272" t="n">
        <v>0</v>
      </c>
      <c r="H144" s="273">
        <f>SUMIFS('💸 Expenses'!$F$8:$F$5000,'💸 Expenses'!$B$8:$B$5000,"&gt;="&amp;B144,'💸 Expenses'!$B$8:$B$5000,"&lt;"&amp;(B144+1))</f>
        <v>11580.0</v>
      </c>
      <c r="I144" s="274">
        <f>IFERROR(F144-H144,0)</f>
        <v>-7185.0</v>
      </c>
      <c r="J144" s="275">
        <f>IFERROR(I144/F144,0)</f>
        <v>-1.634812</v>
      </c>
      <c r="K144" s="250" t="n"/>
      <c r="L144" s="276" t="inlineStr">
        <is>
          <t>Cierre via loka.py</t>
        </is>
      </c>
      <c r="M144" s="323" t="n"/>
      <c r="N144" s="324" t="n"/>
      <c r="O144" s="325" t="n"/>
      <c r="P144" s="326" t="n"/>
      <c r="Q144" s="324" t="n"/>
      <c r="R144" s="428">
        <f>IFERROR(D144*$T$7,0)</f>
        <v>104.14</v>
      </c>
      <c r="S144" s="324" t="n"/>
      <c r="T144" s="324" t="n"/>
      <c r="U144" s="428" t="n">
        <v>0</v>
      </c>
      <c r="V144" s="428" t="n">
        <v>0</v>
      </c>
      <c r="W144" s="324" t="n"/>
      <c r="X144" s="324" t="n"/>
      <c r="Y144" s="428" t="n">
        <v>0</v>
      </c>
      <c r="Z144" s="428" t="n">
        <v>0</v>
      </c>
      <c r="AA144" s="324" t="n"/>
      <c r="AB144" s="324" t="n"/>
    </row>
    <row r="145" ht="16.5" customHeight="1" s="331">
      <c r="B145" s="427" t="n">
        <v>46316</v>
      </c>
      <c r="C145" s="255" t="inlineStr">
        <is>
          <t>Wed</t>
        </is>
      </c>
      <c r="D145" s="256" t="n">
        <v>2665</v>
      </c>
      <c r="E145" s="49" t="n">
        <v>2285</v>
      </c>
      <c r="F145" s="50">
        <f>IFERROR(D145+E145+G145+U145+Y145,0)</f>
        <v>4950.0</v>
      </c>
      <c r="G145" s="257" t="n">
        <v>0</v>
      </c>
      <c r="H145" s="258">
        <f>SUMIFS('💸 Expenses'!$F$8:$F$5000,'💸 Expenses'!$B$8:$B$5000,"&gt;="&amp;B145,'💸 Expenses'!$B$8:$B$5000,"&lt;"&amp;(B145+1))</f>
        <v>3501.0</v>
      </c>
      <c r="I145" s="259">
        <f>IFERROR(F145-H145,0)</f>
        <v>1449.0</v>
      </c>
      <c r="J145" s="260">
        <f>IFERROR(I145/F145,0)</f>
        <v>0.292727</v>
      </c>
      <c r="K145" s="254" t="n"/>
      <c r="L145" s="261" t="inlineStr">
        <is>
          <t>Cierre via loka.py</t>
        </is>
      </c>
      <c r="M145" s="291" t="n"/>
      <c r="N145" s="292" t="n"/>
      <c r="O145" s="293" t="n"/>
      <c r="P145" s="294" t="n"/>
      <c r="Q145" s="292" t="n"/>
      <c r="R145" s="443">
        <f>IFERROR(D145*$T$7,0)</f>
        <v>108.2</v>
      </c>
      <c r="S145" s="292" t="n"/>
      <c r="T145" s="292" t="n"/>
      <c r="U145" s="443" t="n">
        <v>0</v>
      </c>
      <c r="V145" s="443" t="n">
        <v>0</v>
      </c>
      <c r="W145" s="292" t="n"/>
      <c r="X145" s="292" t="n"/>
      <c r="Y145" s="443" t="n">
        <v>0</v>
      </c>
      <c r="Z145" s="443" t="n">
        <v>0</v>
      </c>
      <c r="AA145" s="292" t="n"/>
      <c r="AB145" s="292" t="n"/>
    </row>
    <row r="146" ht="16.5" customHeight="1" s="331">
      <c r="B146" s="427" t="n">
        <v>46317</v>
      </c>
      <c r="C146" s="270" t="inlineStr">
        <is>
          <t>Thu</t>
        </is>
      </c>
      <c r="D146" s="271" t="n">
        <v>1895</v>
      </c>
      <c r="E146" s="37" t="n">
        <v>1365</v>
      </c>
      <c r="F146" s="38">
        <f>IFERROR(D146+E146+G146+U146+Y146,0)</f>
        <v>4690.0</v>
      </c>
      <c r="G146" s="272" t="n">
        <v>0</v>
      </c>
      <c r="H146" s="273">
        <f>SUMIFS('💸 Expenses'!$F$8:$F$5000,'💸 Expenses'!$B$8:$B$5000,"&gt;="&amp;B146,'💸 Expenses'!$B$8:$B$5000,"&lt;"&amp;(B146+1))</f>
        <v>1294.0</v>
      </c>
      <c r="I146" s="274">
        <f>IFERROR(F146-H146,0)</f>
        <v>3396.0</v>
      </c>
      <c r="J146" s="275">
        <f>IFERROR(I146/F146,0)</f>
        <v>0.724094</v>
      </c>
      <c r="K146" s="250" t="n"/>
      <c r="L146" s="276" t="inlineStr">
        <is>
          <t>Cierre via loka.py</t>
        </is>
      </c>
      <c r="M146" s="323" t="n"/>
      <c r="N146" s="324" t="n"/>
      <c r="O146" s="325" t="n"/>
      <c r="P146" s="326" t="n"/>
      <c r="Q146" s="324" t="n"/>
      <c r="R146" s="428">
        <f>IFERROR(D146*$T$7,0)</f>
        <v>76.94</v>
      </c>
      <c r="S146" s="324" t="n"/>
      <c r="T146" s="324" t="n"/>
      <c r="U146" s="428" t="n">
        <v>0</v>
      </c>
      <c r="V146" s="428" t="n">
        <v>0</v>
      </c>
      <c r="W146" s="324" t="n"/>
      <c r="X146" s="324" t="n"/>
      <c r="Y146" s="428" t="n">
        <v>1430</v>
      </c>
      <c r="Z146" s="428" t="n">
        <v>27.17</v>
      </c>
      <c r="AA146" s="324" t="n"/>
      <c r="AB146" s="324" t="n"/>
    </row>
    <row r="147" ht="16.5" customHeight="1" s="331">
      <c r="B147" s="427" t="n">
        <v>1925125</v>
      </c>
      <c r="C147" s="255" t="inlineStr">
        <is>
          <t>Fri</t>
        </is>
      </c>
      <c r="D147" s="256" t="n">
        <v>2155</v>
      </c>
      <c r="E147" s="49" t="n">
        <v>2455</v>
      </c>
      <c r="F147" s="50">
        <f>IFERROR(D147+E147+G147+U147+Y147,0)</f>
        <v>7170.0</v>
      </c>
      <c r="G147" s="257" t="n">
        <v>0</v>
      </c>
      <c r="H147" s="258">
        <f>SUMIFS('💸 Expenses'!$F$8:$F$5000,'💸 Expenses'!$B$8:$B$5000,"&gt;="&amp;B147,'💸 Expenses'!$B$8:$B$5000,"&lt;"&amp;(B147+1))</f>
        <v>2619.0</v>
      </c>
      <c r="I147" s="259">
        <f>IFERROR(F147-H147,0)</f>
        <v>4551.0</v>
      </c>
      <c r="J147" s="260">
        <f>IFERROR(I147/F147,0)</f>
        <v>0.634728</v>
      </c>
      <c r="K147" s="254" t="n"/>
      <c r="L147" s="261" t="inlineStr">
        <is>
          <t>Cierre via loka.py</t>
        </is>
      </c>
      <c r="M147" s="291" t="n"/>
      <c r="N147" s="292" t="n"/>
      <c r="O147" s="293" t="n"/>
      <c r="P147" s="294" t="n"/>
      <c r="Q147" s="292" t="n"/>
      <c r="R147" s="443">
        <f>IFERROR(D147*$T$7,0)</f>
        <v>87.49</v>
      </c>
      <c r="S147" s="292" t="n"/>
      <c r="T147" s="292" t="n"/>
      <c r="U147" s="443" t="n">
        <v>0</v>
      </c>
      <c r="V147" s="443" t="n">
        <v>0</v>
      </c>
      <c r="W147" s="292" t="n"/>
      <c r="X147" s="292" t="n"/>
      <c r="Y147" s="443" t="n">
        <v>2560</v>
      </c>
      <c r="Z147" s="443" t="n">
        <v>48.64</v>
      </c>
      <c r="AA147" s="292" t="n"/>
      <c r="AB147" s="292" t="n"/>
    </row>
    <row r="148" ht="16.5" customHeight="1" s="331">
      <c r="B148" s="427" t="n">
        <v>46319</v>
      </c>
      <c r="C148" s="270" t="inlineStr">
        <is>
          <t>Sat</t>
        </is>
      </c>
      <c r="D148" s="271" t="n">
        <v>1425</v>
      </c>
      <c r="E148" s="37" t="n">
        <v>1120</v>
      </c>
      <c r="F148" s="38">
        <f>IFERROR(D148+E148+G148+U148+Y148,0)</f>
        <v>2900.0</v>
      </c>
      <c r="G148" s="272" t="n">
        <v>355</v>
      </c>
      <c r="H148" s="273">
        <f>SUMIFS('💸 Expenses'!$F$8:$F$5000,'💸 Expenses'!$B$8:$B$5000,"&gt;="&amp;B148,'💸 Expenses'!$B$8:$B$5000,"&lt;"&amp;(B148+1))</f>
        <v>10022.0</v>
      </c>
      <c r="I148" s="274">
        <f>IFERROR(F148-H148,0)</f>
        <v>-7122.0</v>
      </c>
      <c r="J148" s="275">
        <f>IFERROR(I148/F148,0)</f>
        <v>-2.455862</v>
      </c>
      <c r="K148" s="250" t="n"/>
      <c r="L148" s="276" t="inlineStr">
        <is>
          <t>Cierre via loka.py</t>
        </is>
      </c>
      <c r="M148" s="323" t="n"/>
      <c r="N148" s="324" t="n"/>
      <c r="O148" s="325" t="n"/>
      <c r="P148" s="326" t="n"/>
      <c r="Q148" s="324" t="n"/>
      <c r="R148" s="428">
        <f>IFERROR(D148*$T$7,0)</f>
        <v>57.85</v>
      </c>
      <c r="S148" s="324" t="n"/>
      <c r="T148" s="324" t="n"/>
      <c r="U148" s="428" t="n">
        <v>0</v>
      </c>
      <c r="V148" s="428" t="n">
        <v>0</v>
      </c>
      <c r="W148" s="324" t="n"/>
      <c r="X148" s="324" t="n"/>
      <c r="Y148" s="428" t="n">
        <v>0</v>
      </c>
      <c r="Z148" s="428" t="n">
        <v>0</v>
      </c>
      <c r="AA148" s="324" t="n"/>
      <c r="AB148" s="32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914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Restaurant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desde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Restaurant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desde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  <row r="833">
      <c r="B833" s="429" t="n">
        <v>46301</v>
      </c>
      <c r="C833" s="297" t="inlineStr">
        <is>
          <t>Chedraui</t>
        </is>
      </c>
      <c r="D833" s="298" t="inlineStr">
        <is>
          <t>Chedraui</t>
        </is>
      </c>
      <c r="E833" s="297" t="inlineStr">
        <is>
          <t>Supermarket/General</t>
        </is>
      </c>
      <c r="F833" s="299" t="n">
        <v>49</v>
      </c>
      <c r="G833" s="300" t="inlineStr">
        <is>
          <t>Restaurant</t>
        </is>
      </c>
      <c r="H833" s="300" t="inlineStr">
        <is>
          <t>Cash</t>
        </is>
      </c>
      <c r="I833" s="301" t="inlineStr">
        <is>
          <t>✅ Paid</t>
        </is>
      </c>
      <c r="J833" s="423" t="inlineStr">
        <is>
          <t>No receipt; cash</t>
        </is>
      </c>
    </row>
    <row r="834">
      <c r="B834" s="429" t="n">
        <v>46301</v>
      </c>
      <c r="C834" s="297" t="inlineStr">
        <is>
          <t>Oxxo panela</t>
        </is>
      </c>
      <c r="D834" s="298" t="inlineStr">
        <is>
          <t>OXXO</t>
        </is>
      </c>
      <c r="E834" s="297" t="inlineStr">
        <is>
          <t>Ingredients - Dairy</t>
        </is>
      </c>
      <c r="F834" s="299" t="n">
        <v>45</v>
      </c>
      <c r="G834" s="300" t="inlineStr">
        <is>
          <t>Restaurant</t>
        </is>
      </c>
      <c r="H834" s="300" t="inlineStr">
        <is>
          <t>Cash</t>
        </is>
      </c>
      <c r="I834" s="301" t="inlineStr">
        <is>
          <t>✅ Paid</t>
        </is>
      </c>
      <c r="J834" s="423" t="inlineStr">
        <is>
          <t>No receipt; cash</t>
        </is>
      </c>
    </row>
    <row r="835">
      <c r="B835" s="429" t="n">
        <v>46301</v>
      </c>
      <c r="C835" s="297" t="inlineStr">
        <is>
          <t>Pan</t>
        </is>
      </c>
      <c r="D835" s="298" t="inlineStr">
        <is>
          <t>No bill</t>
        </is>
      </c>
      <c r="E835" s="297" t="inlineStr">
        <is>
          <t>Ingredients - Bread</t>
        </is>
      </c>
      <c r="F835" s="299" t="n">
        <v>25</v>
      </c>
      <c r="G835" s="300" t="inlineStr">
        <is>
          <t>Restaurant</t>
        </is>
      </c>
      <c r="H835" s="300" t="inlineStr">
        <is>
          <t>Cash</t>
        </is>
      </c>
      <c r="I835" s="301" t="inlineStr">
        <is>
          <t>✅ Paid</t>
        </is>
      </c>
      <c r="J835" s="423" t="inlineStr">
        <is>
          <t>No receipt; cash</t>
        </is>
      </c>
    </row>
    <row r="836">
      <c r="B836" s="429" t="n">
        <v>46301</v>
      </c>
      <c r="C836" s="297" t="inlineStr">
        <is>
          <t>Carne</t>
        </is>
      </c>
      <c r="D836" s="298" t="inlineStr">
        <is>
          <t>No bill</t>
        </is>
      </c>
      <c r="E836" s="297" t="inlineStr">
        <is>
          <t>Ingredients - Meat</t>
        </is>
      </c>
      <c r="F836" s="299" t="n">
        <v>1056</v>
      </c>
      <c r="G836" s="300" t="inlineStr">
        <is>
          <t>Restaurant</t>
        </is>
      </c>
      <c r="H836" s="300" t="inlineStr">
        <is>
          <t>Cash</t>
        </is>
      </c>
      <c r="I836" s="301" t="inlineStr">
        <is>
          <t>✅ Paid</t>
        </is>
      </c>
      <c r="J836" s="423" t="inlineStr">
        <is>
          <t>No receipt; cash</t>
        </is>
      </c>
    </row>
    <row r="837">
      <c r="B837" s="429" t="n">
        <v>46301</v>
      </c>
      <c r="C837" s="297" t="inlineStr">
        <is>
          <t>Sams club</t>
        </is>
      </c>
      <c r="D837" s="298" t="inlineStr">
        <is>
          <t>Sam's Club</t>
        </is>
      </c>
      <c r="E837" s="297" t="inlineStr">
        <is>
          <t>Supermarket/General</t>
        </is>
      </c>
      <c r="F837" s="299" t="n">
        <v>1909</v>
      </c>
      <c r="G837" s="300" t="inlineStr">
        <is>
          <t>Restaurant</t>
        </is>
      </c>
      <c r="H837" s="300" t="inlineStr">
        <is>
          <t>Cash</t>
        </is>
      </c>
      <c r="I837" s="301" t="inlineStr">
        <is>
          <t>✅ Paid</t>
        </is>
      </c>
      <c r="J837" s="423" t="inlineStr">
        <is>
          <t>No receipt; cash</t>
        </is>
      </c>
    </row>
    <row r="838">
      <c r="B838" s="429" t="n">
        <v>46301</v>
      </c>
      <c r="C838" s="297" t="inlineStr">
        <is>
          <t>guimar</t>
        </is>
      </c>
      <c r="D838" s="298" t="inlineStr">
        <is>
          <t>Guimar Polietilenos</t>
        </is>
      </c>
      <c r="E838" s="297" t="inlineStr">
        <is>
          <t>Packaging/Disposables</t>
        </is>
      </c>
      <c r="F838" s="299" t="n">
        <v>604</v>
      </c>
      <c r="G838" s="300" t="inlineStr">
        <is>
          <t>Restaurant</t>
        </is>
      </c>
      <c r="H838" s="300" t="inlineStr">
        <is>
          <t>Cash</t>
        </is>
      </c>
      <c r="I838" s="301" t="inlineStr">
        <is>
          <t>✅ Paid</t>
        </is>
      </c>
      <c r="J838" s="423" t="inlineStr">
        <is>
          <t>No receipt; cash</t>
        </is>
      </c>
    </row>
    <row r="839">
      <c r="B839" s="429" t="n">
        <v>46301</v>
      </c>
      <c r="C839" s="297" t="inlineStr">
        <is>
          <t>Carne</t>
        </is>
      </c>
      <c r="D839" s="298" t="inlineStr">
        <is>
          <t>No bill</t>
        </is>
      </c>
      <c r="E839" s="297" t="inlineStr">
        <is>
          <t>Ingredients - Meat</t>
        </is>
      </c>
      <c r="F839" s="299" t="n">
        <v>583</v>
      </c>
      <c r="G839" s="300" t="inlineStr">
        <is>
          <t>Restaurant</t>
        </is>
      </c>
      <c r="H839" s="300" t="inlineStr">
        <is>
          <t>Cash</t>
        </is>
      </c>
      <c r="I839" s="301" t="inlineStr">
        <is>
          <t>✅ Paid</t>
        </is>
      </c>
      <c r="J839" s="423" t="inlineStr">
        <is>
          <t>No receipt; cash</t>
        </is>
      </c>
    </row>
    <row r="840">
      <c r="B840" s="429" t="n">
        <v>46301</v>
      </c>
      <c r="C840" s="297" t="inlineStr">
        <is>
          <t>soft app</t>
        </is>
      </c>
      <c r="D840" s="298" t="inlineStr">
        <is>
          <t>No bill</t>
        </is>
      </c>
      <c r="E840" s="297" t="inlineStr">
        <is>
          <t>Software/Subscription</t>
        </is>
      </c>
      <c r="F840" s="299" t="n">
        <v>810</v>
      </c>
      <c r="G840" s="300" t="inlineStr">
        <is>
          <t>Restaurant</t>
        </is>
      </c>
      <c r="H840" s="300" t="inlineStr">
        <is>
          <t>Cash</t>
        </is>
      </c>
      <c r="I840" s="301" t="inlineStr">
        <is>
          <t>✅ Paid</t>
        </is>
      </c>
      <c r="J840" s="423" t="inlineStr">
        <is>
          <t>No receipt; cash</t>
        </is>
      </c>
    </row>
    <row r="841">
      <c r="B841" s="429" t="n">
        <v>46302</v>
      </c>
      <c r="C841" s="297" t="inlineStr">
        <is>
          <t>Carne</t>
        </is>
      </c>
      <c r="D841" s="298" t="inlineStr">
        <is>
          <t>No bill</t>
        </is>
      </c>
      <c r="E841" s="297" t="inlineStr">
        <is>
          <t>Ingredients - Meat</t>
        </is>
      </c>
      <c r="F841" s="299" t="n">
        <v>189</v>
      </c>
      <c r="G841" s="300" t="inlineStr">
        <is>
          <t>Restaurant</t>
        </is>
      </c>
      <c r="H841" s="300" t="inlineStr">
        <is>
          <t>Cash</t>
        </is>
      </c>
      <c r="I841" s="301" t="inlineStr">
        <is>
          <t>✅ Paid</t>
        </is>
      </c>
      <c r="J841" s="423" t="inlineStr">
        <is>
          <t>No receipt; cash</t>
        </is>
      </c>
    </row>
    <row r="842">
      <c r="B842" s="429" t="n">
        <v>46302</v>
      </c>
      <c r="C842" s="297" t="inlineStr">
        <is>
          <t>Guimar</t>
        </is>
      </c>
      <c r="D842" s="298" t="inlineStr">
        <is>
          <t>Guimar Polietilenos</t>
        </is>
      </c>
      <c r="E842" s="297" t="inlineStr">
        <is>
          <t>Packaging/Disposables</t>
        </is>
      </c>
      <c r="F842" s="299" t="n">
        <v>146</v>
      </c>
      <c r="G842" s="300" t="inlineStr">
        <is>
          <t>Restaurant</t>
        </is>
      </c>
      <c r="H842" s="300" t="inlineStr">
        <is>
          <t>Cash</t>
        </is>
      </c>
      <c r="I842" s="301" t="inlineStr">
        <is>
          <t>✅ Paid</t>
        </is>
      </c>
      <c r="J842" s="423" t="inlineStr">
        <is>
          <t>No receipt; cash</t>
        </is>
      </c>
    </row>
    <row r="843">
      <c r="B843" s="429" t="n">
        <v>46302</v>
      </c>
      <c r="C843" s="297" t="inlineStr">
        <is>
          <t>Avia Reca</t>
        </is>
      </c>
      <c r="D843" s="298" t="inlineStr">
        <is>
          <t>Reca</t>
        </is>
      </c>
      <c r="E843" s="297" t="inlineStr">
        <is>
          <t>Ingredients - Beverages</t>
        </is>
      </c>
      <c r="F843" s="299" t="n">
        <v>750</v>
      </c>
      <c r="G843" s="300" t="inlineStr">
        <is>
          <t>Restaurant</t>
        </is>
      </c>
      <c r="H843" s="300" t="inlineStr">
        <is>
          <t>Cash</t>
        </is>
      </c>
      <c r="I843" s="301" t="inlineStr">
        <is>
          <t>✅ Paid</t>
        </is>
      </c>
      <c r="J843" s="423" t="inlineStr">
        <is>
          <t>No receipt; cash</t>
        </is>
      </c>
    </row>
    <row r="844">
      <c r="B844" s="429" t="n">
        <v>46303</v>
      </c>
      <c r="C844" s="297" t="inlineStr">
        <is>
          <t>Oxxo Arroz</t>
        </is>
      </c>
      <c r="D844" s="298" t="inlineStr">
        <is>
          <t>OXXO</t>
        </is>
      </c>
      <c r="E844" s="297" t="inlineStr">
        <is>
          <t>Ingredients - Pantry</t>
        </is>
      </c>
      <c r="F844" s="299" t="n">
        <v>130</v>
      </c>
      <c r="G844" s="300" t="inlineStr">
        <is>
          <t>Restaurant</t>
        </is>
      </c>
      <c r="H844" s="300" t="inlineStr">
        <is>
          <t>Cash</t>
        </is>
      </c>
      <c r="I844" s="301" t="inlineStr">
        <is>
          <t>✅ Paid</t>
        </is>
      </c>
      <c r="J844" s="423" t="inlineStr">
        <is>
          <t>No receipt; cash</t>
        </is>
      </c>
    </row>
    <row r="845">
      <c r="B845" s="429" t="n">
        <v>46303</v>
      </c>
      <c r="C845" s="297" t="inlineStr">
        <is>
          <t>Agua</t>
        </is>
      </c>
      <c r="D845" s="298" t="inlineStr">
        <is>
          <t>No bill</t>
        </is>
      </c>
      <c r="E845" s="297" t="inlineStr">
        <is>
          <t>Ingredients - Beverages</t>
        </is>
      </c>
      <c r="F845" s="299" t="n">
        <v>45</v>
      </c>
      <c r="G845" s="300" t="inlineStr">
        <is>
          <t>Restaurant</t>
        </is>
      </c>
      <c r="H845" s="300" t="inlineStr">
        <is>
          <t>Cash</t>
        </is>
      </c>
      <c r="I845" s="301" t="inlineStr">
        <is>
          <t>✅ Paid</t>
        </is>
      </c>
      <c r="J845" s="423" t="inlineStr">
        <is>
          <t>No receipt; cash</t>
        </is>
      </c>
    </row>
    <row r="846">
      <c r="B846" s="429" t="n">
        <v>46303</v>
      </c>
      <c r="C846" s="297" t="inlineStr">
        <is>
          <t>Chedraui</t>
        </is>
      </c>
      <c r="D846" s="298" t="inlineStr">
        <is>
          <t>Chedraui</t>
        </is>
      </c>
      <c r="E846" s="297" t="inlineStr">
        <is>
          <t>Supermarket/General</t>
        </is>
      </c>
      <c r="F846" s="299" t="n">
        <v>121</v>
      </c>
      <c r="G846" s="300" t="inlineStr">
        <is>
          <t>Restaurant</t>
        </is>
      </c>
      <c r="H846" s="300" t="inlineStr">
        <is>
          <t>Cash</t>
        </is>
      </c>
      <c r="I846" s="301" t="inlineStr">
        <is>
          <t>✅ Paid</t>
        </is>
      </c>
      <c r="J846" s="423" t="inlineStr">
        <is>
          <t>No receipt; cash</t>
        </is>
      </c>
    </row>
    <row r="847">
      <c r="B847" s="429" t="n">
        <v>46304</v>
      </c>
      <c r="C847" s="297" t="inlineStr">
        <is>
          <t>Duvi - salary</t>
        </is>
      </c>
      <c r="D847" s="298" t="inlineStr">
        <is>
          <t>Payroll</t>
        </is>
      </c>
      <c r="E847" s="297" t="inlineStr">
        <is>
          <t>Staff - Salary</t>
        </is>
      </c>
      <c r="F847" s="299" t="n">
        <v>1460</v>
      </c>
      <c r="G847" s="300" t="inlineStr">
        <is>
          <t>Restaurant</t>
        </is>
      </c>
      <c r="H847" s="300" t="inlineStr">
        <is>
          <t>Cash</t>
        </is>
      </c>
      <c r="I847" s="301" t="inlineStr">
        <is>
          <t>✅ Paid</t>
        </is>
      </c>
      <c r="J847" s="423" t="inlineStr">
        <is>
          <t>Weekly salary</t>
        </is>
      </c>
    </row>
    <row r="848">
      <c r="B848" s="429" t="n">
        <v>46305</v>
      </c>
      <c r="C848" s="297" t="inlineStr">
        <is>
          <t>Vegetables</t>
        </is>
      </c>
      <c r="D848" s="298" t="inlineStr">
        <is>
          <t>No bill</t>
        </is>
      </c>
      <c r="E848" s="297" t="inlineStr">
        <is>
          <t>Ingredients - Vegetables</t>
        </is>
      </c>
      <c r="F848" s="299" t="n">
        <v>2000</v>
      </c>
      <c r="G848" s="300" t="inlineStr">
        <is>
          <t>Restaurant</t>
        </is>
      </c>
      <c r="H848" s="300" t="inlineStr">
        <is>
          <t>Cash</t>
        </is>
      </c>
      <c r="I848" s="301" t="inlineStr">
        <is>
          <t>✅ Paid</t>
        </is>
      </c>
      <c r="J848" s="423" t="inlineStr">
        <is>
          <t>No receipt; cash</t>
        </is>
      </c>
    </row>
    <row r="849">
      <c r="B849" s="429" t="n">
        <v>46305</v>
      </c>
      <c r="C849" s="297" t="inlineStr">
        <is>
          <t>Molino</t>
        </is>
      </c>
      <c r="D849" s="298" t="inlineStr">
        <is>
          <t>No bill</t>
        </is>
      </c>
      <c r="E849" s="297" t="inlineStr">
        <is>
          <t>Supermarket/General</t>
        </is>
      </c>
      <c r="F849" s="299" t="n">
        <v>72</v>
      </c>
      <c r="G849" s="300" t="inlineStr">
        <is>
          <t>Restaurant</t>
        </is>
      </c>
      <c r="H849" s="300" t="inlineStr">
        <is>
          <t>Cash</t>
        </is>
      </c>
      <c r="I849" s="301" t="inlineStr">
        <is>
          <t>✅ Paid</t>
        </is>
      </c>
      <c r="J849" s="423" t="inlineStr">
        <is>
          <t>No receipt; cash</t>
        </is>
      </c>
    </row>
    <row r="850">
      <c r="B850" s="429" t="n">
        <v>46305</v>
      </c>
      <c r="C850" s="297" t="inlineStr">
        <is>
          <t>Carne</t>
        </is>
      </c>
      <c r="D850" s="298" t="inlineStr">
        <is>
          <t>No bill</t>
        </is>
      </c>
      <c r="E850" s="297" t="inlineStr">
        <is>
          <t>Ingredients - Meat</t>
        </is>
      </c>
      <c r="F850" s="299" t="n">
        <v>297</v>
      </c>
      <c r="G850" s="300" t="inlineStr">
        <is>
          <t>Restaurant</t>
        </is>
      </c>
      <c r="H850" s="300" t="inlineStr">
        <is>
          <t>Cash</t>
        </is>
      </c>
      <c r="I850" s="301" t="inlineStr">
        <is>
          <t>✅ Paid</t>
        </is>
      </c>
      <c r="J850" s="423" t="inlineStr">
        <is>
          <t>No receipt; cash</t>
        </is>
      </c>
    </row>
    <row r="851">
      <c r="B851" s="429" t="n">
        <v>46305</v>
      </c>
      <c r="C851" s="297" t="inlineStr">
        <is>
          <t>3B</t>
        </is>
      </c>
      <c r="D851" s="298" t="inlineStr">
        <is>
          <t>Tres B</t>
        </is>
      </c>
      <c r="E851" s="297" t="inlineStr">
        <is>
          <t>Supermarket/General</t>
        </is>
      </c>
      <c r="F851" s="299" t="n">
        <v>938</v>
      </c>
      <c r="G851" s="300" t="inlineStr">
        <is>
          <t>Restaurant</t>
        </is>
      </c>
      <c r="H851" s="300" t="inlineStr">
        <is>
          <t>Cash</t>
        </is>
      </c>
      <c r="I851" s="301" t="inlineStr">
        <is>
          <t>✅ Paid</t>
        </is>
      </c>
      <c r="J851" s="423" t="inlineStr">
        <is>
          <t>No receipt; cash</t>
        </is>
      </c>
    </row>
    <row r="852">
      <c r="B852" s="429" t="n">
        <v>46305</v>
      </c>
      <c r="C852" s="297" t="inlineStr">
        <is>
          <t>Gas</t>
        </is>
      </c>
      <c r="D852" s="298" t="inlineStr">
        <is>
          <t>No bill</t>
        </is>
      </c>
      <c r="E852" s="297" t="inlineStr">
        <is>
          <t>Utilities/Gas</t>
        </is>
      </c>
      <c r="F852" s="299" t="n">
        <v>1500</v>
      </c>
      <c r="G852" s="300" t="inlineStr">
        <is>
          <t>Restaurant</t>
        </is>
      </c>
      <c r="H852" s="300" t="inlineStr">
        <is>
          <t>Cash</t>
        </is>
      </c>
      <c r="I852" s="301" t="inlineStr">
        <is>
          <t>✅ Paid</t>
        </is>
      </c>
      <c r="J852" s="423" t="inlineStr">
        <is>
          <t>No receipt; cash</t>
        </is>
      </c>
    </row>
    <row r="853">
      <c r="B853" s="429" t="n">
        <v>46305</v>
      </c>
      <c r="C853" s="297" t="inlineStr">
        <is>
          <t>Queso Bodega</t>
        </is>
      </c>
      <c r="D853" s="298" t="inlineStr">
        <is>
          <t>No bill</t>
        </is>
      </c>
      <c r="E853" s="297" t="inlineStr">
        <is>
          <t>Supermarket/General</t>
        </is>
      </c>
      <c r="F853" s="299" t="n">
        <v>570</v>
      </c>
      <c r="G853" s="300" t="inlineStr">
        <is>
          <t>Restaurant</t>
        </is>
      </c>
      <c r="H853" s="300" t="inlineStr">
        <is>
          <t>Cash</t>
        </is>
      </c>
      <c r="I853" s="301" t="inlineStr">
        <is>
          <t>✅ Paid</t>
        </is>
      </c>
      <c r="J853" s="423" t="inlineStr">
        <is>
          <t>No receipt; cash</t>
        </is>
      </c>
    </row>
    <row r="854">
      <c r="B854" s="429" t="n">
        <v>46305</v>
      </c>
      <c r="C854" s="297" t="inlineStr">
        <is>
          <t>Queso Panela</t>
        </is>
      </c>
      <c r="D854" s="298" t="inlineStr">
        <is>
          <t>No bill</t>
        </is>
      </c>
      <c r="E854" s="297" t="inlineStr">
        <is>
          <t>Ingredients - Dairy</t>
        </is>
      </c>
      <c r="F854" s="299" t="n">
        <v>687</v>
      </c>
      <c r="G854" s="300" t="inlineStr">
        <is>
          <t>Restaurant</t>
        </is>
      </c>
      <c r="H854" s="300" t="inlineStr">
        <is>
          <t>Cash</t>
        </is>
      </c>
      <c r="I854" s="301" t="inlineStr">
        <is>
          <t>✅ Paid</t>
        </is>
      </c>
      <c r="J854" s="423" t="inlineStr">
        <is>
          <t>No receipt; cash</t>
        </is>
      </c>
    </row>
    <row r="855">
      <c r="B855" s="429" t="n">
        <v>46305</v>
      </c>
      <c r="C855" s="297" t="inlineStr">
        <is>
          <t>Pollo</t>
        </is>
      </c>
      <c r="D855" s="298" t="inlineStr">
        <is>
          <t>No bill</t>
        </is>
      </c>
      <c r="E855" s="297" t="inlineStr">
        <is>
          <t>Ingredients - Meat</t>
        </is>
      </c>
      <c r="F855" s="299" t="n">
        <v>1055</v>
      </c>
      <c r="G855" s="300" t="inlineStr">
        <is>
          <t>Lohith</t>
        </is>
      </c>
      <c r="H855" s="300" t="inlineStr">
        <is>
          <t>Cash</t>
        </is>
      </c>
      <c r="I855" s="301" t="inlineStr">
        <is>
          <t>✅ Paid</t>
        </is>
      </c>
      <c r="J855" s="423" t="inlineStr">
        <is>
          <t>Pagado por Lohith (bolsillo); reembolsable via Owner Ledger</t>
        </is>
      </c>
    </row>
    <row r="856">
      <c r="B856" s="429" t="n">
        <v>46305</v>
      </c>
      <c r="C856" s="297" t="inlineStr">
        <is>
          <t>Josias - salary</t>
        </is>
      </c>
      <c r="D856" s="298" t="inlineStr">
        <is>
          <t>Payroll</t>
        </is>
      </c>
      <c r="E856" s="297" t="inlineStr">
        <is>
          <t>Staff - Salary</t>
        </is>
      </c>
      <c r="F856" s="299" t="n">
        <v>2200</v>
      </c>
      <c r="G856" s="300" t="inlineStr">
        <is>
          <t>Restaurant</t>
        </is>
      </c>
      <c r="H856" s="300" t="inlineStr">
        <is>
          <t>Cash</t>
        </is>
      </c>
      <c r="I856" s="301" t="inlineStr">
        <is>
          <t>✅ Paid</t>
        </is>
      </c>
      <c r="J856" s="423" t="inlineStr">
        <is>
          <t>Weekly salary</t>
        </is>
      </c>
    </row>
    <row r="857">
      <c r="B857" s="429" t="n">
        <v>46305</v>
      </c>
      <c r="C857" s="297" t="inlineStr">
        <is>
          <t>Jhon - salary</t>
        </is>
      </c>
      <c r="D857" s="298" t="inlineStr">
        <is>
          <t>Payroll</t>
        </is>
      </c>
      <c r="E857" s="297" t="inlineStr">
        <is>
          <t>Staff - Salary</t>
        </is>
      </c>
      <c r="F857" s="299" t="n">
        <v>3750</v>
      </c>
      <c r="G857" s="300" t="inlineStr">
        <is>
          <t>Restaurant</t>
        </is>
      </c>
      <c r="H857" s="300" t="inlineStr">
        <is>
          <t>Cash</t>
        </is>
      </c>
      <c r="I857" s="301" t="inlineStr">
        <is>
          <t>✅ Paid</t>
        </is>
      </c>
      <c r="J857" s="423" t="inlineStr">
        <is>
          <t>Weekly salary</t>
        </is>
      </c>
    </row>
    <row r="858">
      <c r="B858" s="429" t="n">
        <v>46307</v>
      </c>
      <c r="C858" s="297" t="inlineStr">
        <is>
          <t>Electric Issue</t>
        </is>
      </c>
      <c r="D858" s="298" t="inlineStr">
        <is>
          <t>No bill</t>
        </is>
      </c>
      <c r="E858" s="297" t="inlineStr">
        <is>
          <t>Utilities/Electricity</t>
        </is>
      </c>
      <c r="F858" s="299" t="n">
        <v>2700</v>
      </c>
      <c r="G858" s="300" t="inlineStr">
        <is>
          <t>Restaurant</t>
        </is>
      </c>
      <c r="H858" s="300" t="inlineStr">
        <is>
          <t>Cash</t>
        </is>
      </c>
      <c r="I858" s="301" t="inlineStr">
        <is>
          <t>✅ Paid</t>
        </is>
      </c>
      <c r="J858" s="423" t="inlineStr">
        <is>
          <t>No receipt; cash</t>
        </is>
      </c>
    </row>
    <row r="859">
      <c r="B859" s="429" t="n">
        <v>46307</v>
      </c>
      <c r="C859" s="297" t="inlineStr">
        <is>
          <t>Chedraui</t>
        </is>
      </c>
      <c r="D859" s="298" t="inlineStr">
        <is>
          <t>Chedraui</t>
        </is>
      </c>
      <c r="E859" s="297" t="inlineStr">
        <is>
          <t>Supermarket/General</t>
        </is>
      </c>
      <c r="F859" s="299" t="n">
        <v>340</v>
      </c>
      <c r="G859" s="300" t="inlineStr">
        <is>
          <t>Restaurant</t>
        </is>
      </c>
      <c r="H859" s="300" t="inlineStr">
        <is>
          <t>Cash</t>
        </is>
      </c>
      <c r="I859" s="301" t="inlineStr">
        <is>
          <t>✅ Paid</t>
        </is>
      </c>
      <c r="J859" s="423" t="inlineStr">
        <is>
          <t>No receipt; cash</t>
        </is>
      </c>
    </row>
    <row r="860">
      <c r="B860" s="429" t="n">
        <v>46308</v>
      </c>
      <c r="C860" s="297" t="inlineStr">
        <is>
          <t>Molino</t>
        </is>
      </c>
      <c r="D860" s="298" t="inlineStr">
        <is>
          <t>No bill</t>
        </is>
      </c>
      <c r="E860" s="297" t="inlineStr">
        <is>
          <t>Supermarket/General</t>
        </is>
      </c>
      <c r="F860" s="299" t="n">
        <v>116</v>
      </c>
      <c r="G860" s="300" t="inlineStr">
        <is>
          <t>Restaurant</t>
        </is>
      </c>
      <c r="H860" s="300" t="inlineStr">
        <is>
          <t>Cash</t>
        </is>
      </c>
      <c r="I860" s="301" t="inlineStr">
        <is>
          <t>✅ Paid</t>
        </is>
      </c>
      <c r="J860" s="423" t="inlineStr">
        <is>
          <t>No receipt; cash</t>
        </is>
      </c>
    </row>
    <row r="861">
      <c r="B861" s="429" t="n">
        <v>46308</v>
      </c>
      <c r="C861" s="297" t="inlineStr">
        <is>
          <t>Carne</t>
        </is>
      </c>
      <c r="D861" s="298" t="inlineStr">
        <is>
          <t>No bill</t>
        </is>
      </c>
      <c r="E861" s="297" t="inlineStr">
        <is>
          <t>Ingredients - Meat</t>
        </is>
      </c>
      <c r="F861" s="299" t="n">
        <v>826</v>
      </c>
      <c r="G861" s="300" t="inlineStr">
        <is>
          <t>Restaurant</t>
        </is>
      </c>
      <c r="H861" s="300" t="inlineStr">
        <is>
          <t>Cash</t>
        </is>
      </c>
      <c r="I861" s="301" t="inlineStr">
        <is>
          <t>✅ Paid</t>
        </is>
      </c>
      <c r="J861" s="423" t="inlineStr">
        <is>
          <t>No receipt; cash</t>
        </is>
      </c>
    </row>
    <row r="862">
      <c r="B862" s="429" t="n">
        <v>46308</v>
      </c>
      <c r="C862" s="297" t="inlineStr">
        <is>
          <t>Carne Hamburguesa</t>
        </is>
      </c>
      <c r="D862" s="298" t="inlineStr">
        <is>
          <t>No bill</t>
        </is>
      </c>
      <c r="E862" s="297" t="inlineStr">
        <is>
          <t>Ingredients - Meat</t>
        </is>
      </c>
      <c r="F862" s="299" t="n">
        <v>380</v>
      </c>
      <c r="G862" s="300" t="inlineStr">
        <is>
          <t>Restaurant</t>
        </is>
      </c>
      <c r="H862" s="300" t="inlineStr">
        <is>
          <t>Cash</t>
        </is>
      </c>
      <c r="I862" s="301" t="inlineStr">
        <is>
          <t>✅ Paid</t>
        </is>
      </c>
      <c r="J862" s="423" t="inlineStr">
        <is>
          <t>No receipt; cash</t>
        </is>
      </c>
    </row>
    <row r="863">
      <c r="B863" s="429" t="n">
        <v>46308</v>
      </c>
      <c r="C863" s="297" t="inlineStr">
        <is>
          <t>Chedraui</t>
        </is>
      </c>
      <c r="D863" s="298" t="inlineStr">
        <is>
          <t>Chedraui</t>
        </is>
      </c>
      <c r="E863" s="297" t="inlineStr">
        <is>
          <t>Supermarket/General</t>
        </is>
      </c>
      <c r="F863" s="299" t="n">
        <v>67</v>
      </c>
      <c r="G863" s="300" t="inlineStr">
        <is>
          <t>Restaurant</t>
        </is>
      </c>
      <c r="H863" s="300" t="inlineStr">
        <is>
          <t>Cash</t>
        </is>
      </c>
      <c r="I863" s="301" t="inlineStr">
        <is>
          <t>✅ Paid</t>
        </is>
      </c>
      <c r="J863" s="423" t="inlineStr">
        <is>
          <t>No receipt; cash</t>
        </is>
      </c>
    </row>
    <row r="864">
      <c r="B864" s="429" t="n">
        <v>46309</v>
      </c>
      <c r="C864" s="297" t="inlineStr">
        <is>
          <t>Pescado</t>
        </is>
      </c>
      <c r="D864" s="298" t="inlineStr">
        <is>
          <t>No bill</t>
        </is>
      </c>
      <c r="E864" s="297" t="inlineStr">
        <is>
          <t>Ingredients - Meat &amp; Fish</t>
        </is>
      </c>
      <c r="F864" s="299" t="n">
        <v>313</v>
      </c>
      <c r="G864" s="300" t="inlineStr">
        <is>
          <t>Restaurant</t>
        </is>
      </c>
      <c r="H864" s="300" t="inlineStr">
        <is>
          <t>Cash</t>
        </is>
      </c>
      <c r="I864" s="301" t="inlineStr">
        <is>
          <t>✅ Paid</t>
        </is>
      </c>
      <c r="J864" s="423" t="inlineStr">
        <is>
          <t>No receipt; cash</t>
        </is>
      </c>
    </row>
    <row r="865">
      <c r="B865" s="429" t="n">
        <v>46309</v>
      </c>
      <c r="C865" s="297" t="inlineStr">
        <is>
          <t>Molino</t>
        </is>
      </c>
      <c r="D865" s="298" t="inlineStr">
        <is>
          <t>No bill</t>
        </is>
      </c>
      <c r="E865" s="297" t="inlineStr">
        <is>
          <t>Supermarket/General</t>
        </is>
      </c>
      <c r="F865" s="299" t="n">
        <v>28</v>
      </c>
      <c r="G865" s="300" t="inlineStr">
        <is>
          <t>Restaurant</t>
        </is>
      </c>
      <c r="H865" s="300" t="inlineStr">
        <is>
          <t>Cash</t>
        </is>
      </c>
      <c r="I865" s="301" t="inlineStr">
        <is>
          <t>✅ Paid</t>
        </is>
      </c>
      <c r="J865" s="423" t="inlineStr">
        <is>
          <t>No receipt; cash</t>
        </is>
      </c>
    </row>
    <row r="866">
      <c r="B866" s="429" t="n">
        <v>46309</v>
      </c>
      <c r="C866" s="297" t="inlineStr">
        <is>
          <t>Vegetables</t>
        </is>
      </c>
      <c r="D866" s="298" t="inlineStr">
        <is>
          <t>No bill</t>
        </is>
      </c>
      <c r="E866" s="297" t="inlineStr">
        <is>
          <t>Ingredients - Vegetables</t>
        </is>
      </c>
      <c r="F866" s="299" t="n">
        <v>140</v>
      </c>
      <c r="G866" s="300" t="inlineStr">
        <is>
          <t>Restaurant</t>
        </is>
      </c>
      <c r="H866" s="300" t="inlineStr">
        <is>
          <t>Cash</t>
        </is>
      </c>
      <c r="I866" s="301" t="inlineStr">
        <is>
          <t>✅ Paid</t>
        </is>
      </c>
      <c r="J866" s="423" t="inlineStr">
        <is>
          <t>No receipt; cash</t>
        </is>
      </c>
    </row>
    <row r="867">
      <c r="B867" s="429" t="n">
        <v>46310</v>
      </c>
      <c r="C867" s="297" t="inlineStr">
        <is>
          <t>Vegetables</t>
        </is>
      </c>
      <c r="D867" s="298" t="inlineStr">
        <is>
          <t>No bill</t>
        </is>
      </c>
      <c r="E867" s="297" t="inlineStr">
        <is>
          <t>Ingredients - Vegetables</t>
        </is>
      </c>
      <c r="F867" s="299" t="n">
        <v>198</v>
      </c>
      <c r="G867" s="300" t="inlineStr">
        <is>
          <t>Restaurant</t>
        </is>
      </c>
      <c r="H867" s="300" t="inlineStr">
        <is>
          <t>Cash</t>
        </is>
      </c>
      <c r="I867" s="301" t="inlineStr">
        <is>
          <t>✅ Paid</t>
        </is>
      </c>
      <c r="J867" s="423" t="inlineStr">
        <is>
          <t>No receipt; cash</t>
        </is>
      </c>
    </row>
    <row r="868">
      <c r="B868" s="429" t="n">
        <v>46310</v>
      </c>
      <c r="C868" s="297" t="inlineStr">
        <is>
          <t>Carne</t>
        </is>
      </c>
      <c r="D868" s="298" t="inlineStr">
        <is>
          <t>No bill</t>
        </is>
      </c>
      <c r="E868" s="297" t="inlineStr">
        <is>
          <t>Ingredients - Meat</t>
        </is>
      </c>
      <c r="F868" s="299" t="n">
        <v>378</v>
      </c>
      <c r="G868" s="300" t="inlineStr">
        <is>
          <t>Restaurant</t>
        </is>
      </c>
      <c r="H868" s="300" t="inlineStr">
        <is>
          <t>Cash</t>
        </is>
      </c>
      <c r="I868" s="301" t="inlineStr">
        <is>
          <t>✅ Paid</t>
        </is>
      </c>
      <c r="J868" s="423" t="inlineStr">
        <is>
          <t>No receipt; cash</t>
        </is>
      </c>
    </row>
    <row r="869">
      <c r="B869" s="429" t="n">
        <v>46310</v>
      </c>
      <c r="C869" s="297" t="inlineStr">
        <is>
          <t>Chedraui</t>
        </is>
      </c>
      <c r="D869" s="298" t="inlineStr">
        <is>
          <t>Chedraui</t>
        </is>
      </c>
      <c r="E869" s="297" t="inlineStr">
        <is>
          <t>Supermarket/General</t>
        </is>
      </c>
      <c r="F869" s="299" t="n">
        <v>149</v>
      </c>
      <c r="G869" s="300" t="inlineStr">
        <is>
          <t>Restaurant</t>
        </is>
      </c>
      <c r="H869" s="300" t="inlineStr">
        <is>
          <t>Cash</t>
        </is>
      </c>
      <c r="I869" s="301" t="inlineStr">
        <is>
          <t>✅ Paid</t>
        </is>
      </c>
      <c r="J869" s="423" t="inlineStr">
        <is>
          <t>No receipt; cash</t>
        </is>
      </c>
    </row>
    <row r="870">
      <c r="B870" s="429" t="n">
        <v>46310</v>
      </c>
      <c r="C870" s="297" t="inlineStr">
        <is>
          <t>Josias - salary</t>
        </is>
      </c>
      <c r="D870" s="298" t="inlineStr">
        <is>
          <t>Payroll</t>
        </is>
      </c>
      <c r="E870" s="297" t="inlineStr">
        <is>
          <t>Staff - Salary</t>
        </is>
      </c>
      <c r="F870" s="299" t="n">
        <v>1350</v>
      </c>
      <c r="G870" s="300" t="inlineStr">
        <is>
          <t>Restaurant</t>
        </is>
      </c>
      <c r="H870" s="300" t="inlineStr">
        <is>
          <t>Cash</t>
        </is>
      </c>
      <c r="I870" s="301" t="inlineStr">
        <is>
          <t>✅ Paid</t>
        </is>
      </c>
      <c r="J870" s="423" t="inlineStr">
        <is>
          <t>Weekly salary</t>
        </is>
      </c>
    </row>
    <row r="871">
      <c r="B871" s="429" t="n">
        <v>46311</v>
      </c>
      <c r="C871" s="297" t="inlineStr">
        <is>
          <t>Vegetables</t>
        </is>
      </c>
      <c r="D871" s="298" t="inlineStr">
        <is>
          <t>No bill</t>
        </is>
      </c>
      <c r="E871" s="297" t="inlineStr">
        <is>
          <t>Ingredients - Vegetables</t>
        </is>
      </c>
      <c r="F871" s="299" t="n">
        <v>120</v>
      </c>
      <c r="G871" s="300" t="inlineStr">
        <is>
          <t>Restaurant</t>
        </is>
      </c>
      <c r="H871" s="300" t="inlineStr">
        <is>
          <t>Cash</t>
        </is>
      </c>
      <c r="I871" s="301" t="inlineStr">
        <is>
          <t>✅ Paid</t>
        </is>
      </c>
      <c r="J871" s="423" t="inlineStr">
        <is>
          <t>No receipt; cash</t>
        </is>
      </c>
    </row>
    <row r="872">
      <c r="B872" s="429" t="n">
        <v>46311</v>
      </c>
      <c r="C872" s="297" t="inlineStr">
        <is>
          <t>Duvi - salary</t>
        </is>
      </c>
      <c r="D872" s="298" t="inlineStr">
        <is>
          <t>Payroll</t>
        </is>
      </c>
      <c r="E872" s="297" t="inlineStr">
        <is>
          <t>Staff - Salary</t>
        </is>
      </c>
      <c r="F872" s="299" t="n">
        <v>1300</v>
      </c>
      <c r="G872" s="300" t="inlineStr">
        <is>
          <t>Restaurant</t>
        </is>
      </c>
      <c r="H872" s="300" t="inlineStr">
        <is>
          <t>Cash</t>
        </is>
      </c>
      <c r="I872" s="301" t="inlineStr">
        <is>
          <t>✅ Paid</t>
        </is>
      </c>
      <c r="J872" s="423" t="inlineStr">
        <is>
          <t>Weekly salary</t>
        </is>
      </c>
    </row>
    <row r="873">
      <c r="B873" s="429" t="n">
        <v>46312</v>
      </c>
      <c r="C873" s="297" t="inlineStr">
        <is>
          <t>Hielo</t>
        </is>
      </c>
      <c r="D873" s="298" t="inlineStr">
        <is>
          <t>No bill</t>
        </is>
      </c>
      <c r="E873" s="297" t="inlineStr">
        <is>
          <t>Kitchen Supplies</t>
        </is>
      </c>
      <c r="F873" s="299" t="n">
        <v>125</v>
      </c>
      <c r="G873" s="300" t="inlineStr">
        <is>
          <t>Restaurant</t>
        </is>
      </c>
      <c r="H873" s="300" t="inlineStr">
        <is>
          <t>Cash</t>
        </is>
      </c>
      <c r="I873" s="301" t="inlineStr">
        <is>
          <t>✅ Paid</t>
        </is>
      </c>
      <c r="J873" s="423" t="inlineStr">
        <is>
          <t>No receipt; cash</t>
        </is>
      </c>
    </row>
    <row r="874">
      <c r="B874" s="429" t="n">
        <v>46312</v>
      </c>
      <c r="C874" s="297" t="inlineStr">
        <is>
          <t>Vegetables</t>
        </is>
      </c>
      <c r="D874" s="298" t="inlineStr">
        <is>
          <t>No bill</t>
        </is>
      </c>
      <c r="E874" s="297" t="inlineStr">
        <is>
          <t>Ingredients - Vegetables</t>
        </is>
      </c>
      <c r="F874" s="299" t="n">
        <v>1662</v>
      </c>
      <c r="G874" s="300" t="inlineStr">
        <is>
          <t>Restaurant</t>
        </is>
      </c>
      <c r="H874" s="300" t="inlineStr">
        <is>
          <t>Cash</t>
        </is>
      </c>
      <c r="I874" s="301" t="inlineStr">
        <is>
          <t>✅ Paid</t>
        </is>
      </c>
      <c r="J874" s="423" t="inlineStr">
        <is>
          <t>No receipt; cash</t>
        </is>
      </c>
    </row>
    <row r="875">
      <c r="B875" s="429" t="n">
        <v>46312</v>
      </c>
      <c r="C875" s="297" t="inlineStr">
        <is>
          <t>Jhon - salary</t>
        </is>
      </c>
      <c r="D875" s="298" t="inlineStr">
        <is>
          <t>Payroll</t>
        </is>
      </c>
      <c r="E875" s="297" t="inlineStr">
        <is>
          <t>Staff - Salary</t>
        </is>
      </c>
      <c r="F875" s="299" t="n">
        <v>3750</v>
      </c>
      <c r="G875" s="300" t="inlineStr">
        <is>
          <t>Restaurant</t>
        </is>
      </c>
      <c r="H875" s="300" t="inlineStr">
        <is>
          <t>Cash</t>
        </is>
      </c>
      <c r="I875" s="301" t="inlineStr">
        <is>
          <t>✅ Paid</t>
        </is>
      </c>
      <c r="J875" s="423" t="inlineStr">
        <is>
          <t>Weekly salary</t>
        </is>
      </c>
    </row>
    <row r="876">
      <c r="B876" s="429" t="n">
        <v>46312</v>
      </c>
      <c r="C876" s="297" t="inlineStr">
        <is>
          <t>Rodrigo - salary</t>
        </is>
      </c>
      <c r="D876" s="298" t="inlineStr">
        <is>
          <t>Payroll</t>
        </is>
      </c>
      <c r="E876" s="297" t="inlineStr">
        <is>
          <t>Staff - Salary</t>
        </is>
      </c>
      <c r="F876" s="299" t="n">
        <v>1500</v>
      </c>
      <c r="G876" s="300" t="inlineStr">
        <is>
          <t>Restaurant</t>
        </is>
      </c>
      <c r="H876" s="300" t="inlineStr">
        <is>
          <t>Cash</t>
        </is>
      </c>
      <c r="I876" s="301" t="inlineStr">
        <is>
          <t>✅ Paid</t>
        </is>
      </c>
      <c r="J876" s="423" t="inlineStr">
        <is>
          <t>Weekly salary</t>
        </is>
      </c>
    </row>
    <row r="877">
      <c r="B877" s="429" t="n">
        <v>46314</v>
      </c>
      <c r="C877" s="297" t="inlineStr">
        <is>
          <t>Pan Dulce</t>
        </is>
      </c>
      <c r="D877" s="298" t="inlineStr">
        <is>
          <t>No bill</t>
        </is>
      </c>
      <c r="E877" s="297" t="inlineStr">
        <is>
          <t>Ingredients - Bread</t>
        </is>
      </c>
      <c r="F877" s="299" t="n">
        <v>80</v>
      </c>
      <c r="G877" s="300" t="inlineStr">
        <is>
          <t>Restaurant</t>
        </is>
      </c>
      <c r="H877" s="300" t="inlineStr">
        <is>
          <t>Cash</t>
        </is>
      </c>
      <c r="I877" s="301" t="inlineStr">
        <is>
          <t>✅ Paid</t>
        </is>
      </c>
      <c r="J877" s="423" t="inlineStr">
        <is>
          <t>No receipt; cash</t>
        </is>
      </c>
    </row>
    <row r="878">
      <c r="B878" s="429" t="n">
        <v>46314</v>
      </c>
      <c r="C878" s="297" t="inlineStr">
        <is>
          <t>Tortillas</t>
        </is>
      </c>
      <c r="D878" s="298" t="inlineStr">
        <is>
          <t>No bill</t>
        </is>
      </c>
      <c r="E878" s="297" t="inlineStr">
        <is>
          <t>Ingredients - Bread</t>
        </is>
      </c>
      <c r="F878" s="299" t="n">
        <v>27</v>
      </c>
      <c r="G878" s="300" t="inlineStr">
        <is>
          <t>Restaurant</t>
        </is>
      </c>
      <c r="H878" s="300" t="inlineStr">
        <is>
          <t>Cash</t>
        </is>
      </c>
      <c r="I878" s="301" t="inlineStr">
        <is>
          <t>✅ Paid</t>
        </is>
      </c>
      <c r="J878" s="423" t="inlineStr">
        <is>
          <t>No receipt; cash</t>
        </is>
      </c>
    </row>
    <row r="879">
      <c r="B879" s="429" t="n">
        <v>46314</v>
      </c>
      <c r="C879" s="297" t="inlineStr">
        <is>
          <t>Carne</t>
        </is>
      </c>
      <c r="D879" s="298" t="inlineStr">
        <is>
          <t>No bill</t>
        </is>
      </c>
      <c r="E879" s="297" t="inlineStr">
        <is>
          <t>Ingredients - Meat</t>
        </is>
      </c>
      <c r="F879" s="299" t="n">
        <v>771</v>
      </c>
      <c r="G879" s="300" t="inlineStr">
        <is>
          <t>Restaurant</t>
        </is>
      </c>
      <c r="H879" s="300" t="inlineStr">
        <is>
          <t>Cash</t>
        </is>
      </c>
      <c r="I879" s="301" t="inlineStr">
        <is>
          <t>✅ Paid</t>
        </is>
      </c>
      <c r="J879" s="423" t="inlineStr">
        <is>
          <t>No receipt; cash</t>
        </is>
      </c>
    </row>
    <row r="880">
      <c r="B880" s="429" t="n">
        <v>46314</v>
      </c>
      <c r="C880" s="297" t="inlineStr">
        <is>
          <t>Guimar</t>
        </is>
      </c>
      <c r="D880" s="298" t="inlineStr">
        <is>
          <t>Guimar Polietilenos</t>
        </is>
      </c>
      <c r="E880" s="297" t="inlineStr">
        <is>
          <t>Packaging/Disposables</t>
        </is>
      </c>
      <c r="F880" s="299" t="n">
        <v>108</v>
      </c>
      <c r="G880" s="300" t="inlineStr">
        <is>
          <t>Restaurant</t>
        </is>
      </c>
      <c r="H880" s="300" t="inlineStr">
        <is>
          <t>Cash</t>
        </is>
      </c>
      <c r="I880" s="301" t="inlineStr">
        <is>
          <t>✅ Paid</t>
        </is>
      </c>
      <c r="J880" s="423" t="inlineStr">
        <is>
          <t>No receipt; cash</t>
        </is>
      </c>
    </row>
    <row r="881">
      <c r="B881" s="429" t="n">
        <v>46314</v>
      </c>
      <c r="C881" s="297" t="inlineStr">
        <is>
          <t>Oxxo Arroz</t>
        </is>
      </c>
      <c r="D881" s="298" t="inlineStr">
        <is>
          <t>OXXO</t>
        </is>
      </c>
      <c r="E881" s="297" t="inlineStr">
        <is>
          <t>Ingredients - Pantry</t>
        </is>
      </c>
      <c r="F881" s="299" t="n">
        <v>67</v>
      </c>
      <c r="G881" s="300" t="inlineStr">
        <is>
          <t>Restaurant</t>
        </is>
      </c>
      <c r="H881" s="300" t="inlineStr">
        <is>
          <t>Cash</t>
        </is>
      </c>
      <c r="I881" s="301" t="inlineStr">
        <is>
          <t>✅ Paid</t>
        </is>
      </c>
      <c r="J881" s="423" t="inlineStr">
        <is>
          <t>No receipt; cash</t>
        </is>
      </c>
    </row>
    <row r="882">
      <c r="B882" s="429" t="n">
        <v>46314</v>
      </c>
      <c r="C882" s="297" t="inlineStr">
        <is>
          <t>Telmex</t>
        </is>
      </c>
      <c r="D882" s="298" t="inlineStr">
        <is>
          <t>No bill</t>
        </is>
      </c>
      <c r="E882" s="297" t="inlineStr">
        <is>
          <t>Utilities/Internet</t>
        </is>
      </c>
      <c r="F882" s="299" t="n">
        <v>349</v>
      </c>
      <c r="G882" s="300" t="inlineStr">
        <is>
          <t>Lohith</t>
        </is>
      </c>
      <c r="H882" s="300" t="inlineStr">
        <is>
          <t>Cash</t>
        </is>
      </c>
      <c r="I882" s="301" t="inlineStr">
        <is>
          <t>✅ Paid</t>
        </is>
      </c>
      <c r="J882" s="423" t="inlineStr">
        <is>
          <t>Pagado por Lohith (bolsillo); reembolsable via Owner Ledger</t>
        </is>
      </c>
    </row>
    <row r="883">
      <c r="B883" s="429" t="n">
        <v>46315</v>
      </c>
      <c r="C883" s="297" t="inlineStr">
        <is>
          <t>Oxxo Arroz</t>
        </is>
      </c>
      <c r="D883" s="298" t="inlineStr">
        <is>
          <t>OXXO</t>
        </is>
      </c>
      <c r="E883" s="297" t="inlineStr">
        <is>
          <t>Ingredients - Pantry</t>
        </is>
      </c>
      <c r="F883" s="299" t="n">
        <v>260</v>
      </c>
      <c r="G883" s="300" t="inlineStr">
        <is>
          <t>Restaurant</t>
        </is>
      </c>
      <c r="H883" s="300" t="inlineStr">
        <is>
          <t>Cash</t>
        </is>
      </c>
      <c r="I883" s="301" t="inlineStr">
        <is>
          <t>✅ Paid</t>
        </is>
      </c>
      <c r="J883" s="423" t="inlineStr">
        <is>
          <t>No receipt; cash</t>
        </is>
      </c>
    </row>
    <row r="884">
      <c r="B884" s="429" t="n">
        <v>46315</v>
      </c>
      <c r="C884" s="297" t="inlineStr">
        <is>
          <t>Oxxo Arroz</t>
        </is>
      </c>
      <c r="D884" s="298" t="inlineStr">
        <is>
          <t>OXXO</t>
        </is>
      </c>
      <c r="E884" s="297" t="inlineStr">
        <is>
          <t>Ingredients - Pantry</t>
        </is>
      </c>
      <c r="F884" s="299" t="n">
        <v>26</v>
      </c>
      <c r="G884" s="300" t="inlineStr">
        <is>
          <t>Restaurant</t>
        </is>
      </c>
      <c r="H884" s="300" t="inlineStr">
        <is>
          <t>Cash</t>
        </is>
      </c>
      <c r="I884" s="301" t="inlineStr">
        <is>
          <t>✅ Paid</t>
        </is>
      </c>
      <c r="J884" s="423" t="inlineStr">
        <is>
          <t>No receipt; cash</t>
        </is>
      </c>
    </row>
    <row r="885">
      <c r="B885" s="429" t="n">
        <v>46315</v>
      </c>
      <c r="C885" s="297" t="inlineStr">
        <is>
          <t>Carne</t>
        </is>
      </c>
      <c r="D885" s="298" t="inlineStr">
        <is>
          <t>No bill</t>
        </is>
      </c>
      <c r="E885" s="297" t="inlineStr">
        <is>
          <t>Ingredients - Meat</t>
        </is>
      </c>
      <c r="F885" s="299" t="n">
        <v>570</v>
      </c>
      <c r="G885" s="300" t="inlineStr">
        <is>
          <t>Restaurant</t>
        </is>
      </c>
      <c r="H885" s="300" t="inlineStr">
        <is>
          <t>Cash</t>
        </is>
      </c>
      <c r="I885" s="301" t="inlineStr">
        <is>
          <t>✅ Paid</t>
        </is>
      </c>
      <c r="J885" s="423" t="inlineStr">
        <is>
          <t>No receipt; cash</t>
        </is>
      </c>
    </row>
    <row r="886">
      <c r="B886" s="429" t="n">
        <v>46315</v>
      </c>
      <c r="C886" s="297" t="inlineStr">
        <is>
          <t>Pan Real</t>
        </is>
      </c>
      <c r="D886" s="298" t="inlineStr">
        <is>
          <t>No bill</t>
        </is>
      </c>
      <c r="E886" s="297" t="inlineStr">
        <is>
          <t>Ingredients - Bread</t>
        </is>
      </c>
      <c r="F886" s="299" t="n">
        <v>1576</v>
      </c>
      <c r="G886" s="300" t="inlineStr">
        <is>
          <t>Restaurant</t>
        </is>
      </c>
      <c r="H886" s="300" t="inlineStr">
        <is>
          <t>Cash</t>
        </is>
      </c>
      <c r="I886" s="301" t="inlineStr">
        <is>
          <t>✅ Paid</t>
        </is>
      </c>
      <c r="J886" s="423" t="inlineStr">
        <is>
          <t>No receipt; cash</t>
        </is>
      </c>
    </row>
    <row r="887">
      <c r="B887" s="429" t="n">
        <v>46315</v>
      </c>
      <c r="C887" s="297" t="inlineStr">
        <is>
          <t>Sams Club</t>
        </is>
      </c>
      <c r="D887" s="298" t="inlineStr">
        <is>
          <t>Sam's Club</t>
        </is>
      </c>
      <c r="E887" s="297" t="inlineStr">
        <is>
          <t>Supermarket/General</t>
        </is>
      </c>
      <c r="F887" s="299" t="n">
        <v>1154</v>
      </c>
      <c r="G887" s="300" t="inlineStr">
        <is>
          <t>Restaurant</t>
        </is>
      </c>
      <c r="H887" s="300" t="inlineStr">
        <is>
          <t>Cash</t>
        </is>
      </c>
      <c r="I887" s="301" t="inlineStr">
        <is>
          <t>✅ Paid</t>
        </is>
      </c>
      <c r="J887" s="423" t="inlineStr">
        <is>
          <t>No receipt; cash</t>
        </is>
      </c>
    </row>
    <row r="888">
      <c r="B888" s="429" t="n">
        <v>46315</v>
      </c>
      <c r="C888" s="297" t="inlineStr">
        <is>
          <t>Chedraui</t>
        </is>
      </c>
      <c r="D888" s="298" t="inlineStr">
        <is>
          <t>Chedraui</t>
        </is>
      </c>
      <c r="E888" s="297" t="inlineStr">
        <is>
          <t>Supermarket/General</t>
        </is>
      </c>
      <c r="F888" s="299" t="n">
        <v>104</v>
      </c>
      <c r="G888" s="300" t="inlineStr">
        <is>
          <t>Restaurant</t>
        </is>
      </c>
      <c r="H888" s="300" t="inlineStr">
        <is>
          <t>Cash</t>
        </is>
      </c>
      <c r="I888" s="301" t="inlineStr">
        <is>
          <t>✅ Paid</t>
        </is>
      </c>
      <c r="J888" s="423" t="inlineStr">
        <is>
          <t>No receipt; cash</t>
        </is>
      </c>
    </row>
    <row r="889">
      <c r="B889" s="429" t="n">
        <v>46315</v>
      </c>
      <c r="C889" s="297" t="inlineStr">
        <is>
          <t>Julio Contador</t>
        </is>
      </c>
      <c r="D889" s="298" t="inlineStr">
        <is>
          <t>No bill</t>
        </is>
      </c>
      <c r="E889" s="297" t="inlineStr">
        <is>
          <t>Professional Services</t>
        </is>
      </c>
      <c r="F889" s="299" t="n">
        <v>1800</v>
      </c>
      <c r="G889" s="300" t="inlineStr">
        <is>
          <t>Restaurant</t>
        </is>
      </c>
      <c r="H889" s="300" t="inlineStr">
        <is>
          <t>Cash</t>
        </is>
      </c>
      <c r="I889" s="301" t="inlineStr">
        <is>
          <t>✅ Paid</t>
        </is>
      </c>
      <c r="J889" s="423" t="inlineStr">
        <is>
          <t>No receipt; cash</t>
        </is>
      </c>
    </row>
    <row r="890">
      <c r="B890" s="429" t="n">
        <v>46315</v>
      </c>
      <c r="C890" s="297" t="inlineStr">
        <is>
          <t>Taxes</t>
        </is>
      </c>
      <c r="D890" s="298" t="inlineStr">
        <is>
          <t>No bill</t>
        </is>
      </c>
      <c r="E890" s="297" t="inlineStr">
        <is>
          <t>Taxes</t>
        </is>
      </c>
      <c r="F890" s="299" t="n">
        <v>4756</v>
      </c>
      <c r="G890" s="300" t="inlineStr">
        <is>
          <t>Restaurant</t>
        </is>
      </c>
      <c r="H890" s="300" t="inlineStr">
        <is>
          <t>Cash</t>
        </is>
      </c>
      <c r="I890" s="301" t="inlineStr">
        <is>
          <t>✅ Paid</t>
        </is>
      </c>
      <c r="J890" s="423" t="inlineStr">
        <is>
          <t>No receipt; cash</t>
        </is>
      </c>
    </row>
    <row r="891">
      <c r="B891" s="429" t="n">
        <v>46315</v>
      </c>
      <c r="C891" s="297" t="inlineStr">
        <is>
          <t>Pollo</t>
        </is>
      </c>
      <c r="D891" s="298" t="inlineStr">
        <is>
          <t>No bill</t>
        </is>
      </c>
      <c r="E891" s="297" t="inlineStr">
        <is>
          <t>Ingredients - Meat</t>
        </is>
      </c>
      <c r="F891" s="299" t="n">
        <v>1334</v>
      </c>
      <c r="G891" s="300" t="inlineStr">
        <is>
          <t>Lohith</t>
        </is>
      </c>
      <c r="H891" s="300" t="inlineStr">
        <is>
          <t>Cash</t>
        </is>
      </c>
      <c r="I891" s="301" t="inlineStr">
        <is>
          <t>✅ Paid</t>
        </is>
      </c>
      <c r="J891" s="423" t="inlineStr">
        <is>
          <t>Pagado por Lohith (bolsillo); reembolsable via Owner Ledger</t>
        </is>
      </c>
    </row>
    <row r="892">
      <c r="B892" s="429" t="n">
        <v>46316</v>
      </c>
      <c r="C892" s="297" t="inlineStr">
        <is>
          <t>Pescado</t>
        </is>
      </c>
      <c r="D892" s="298" t="inlineStr">
        <is>
          <t>No bill</t>
        </is>
      </c>
      <c r="E892" s="297" t="inlineStr">
        <is>
          <t>Ingredients - Meat &amp; Fish</t>
        </is>
      </c>
      <c r="F892" s="299" t="n">
        <v>325</v>
      </c>
      <c r="G892" s="300" t="inlineStr">
        <is>
          <t>Restaurant</t>
        </is>
      </c>
      <c r="H892" s="300" t="inlineStr">
        <is>
          <t>Cash</t>
        </is>
      </c>
      <c r="I892" s="301" t="inlineStr">
        <is>
          <t>✅ Paid</t>
        </is>
      </c>
      <c r="J892" s="423" t="inlineStr">
        <is>
          <t>No receipt; cash</t>
        </is>
      </c>
    </row>
    <row r="893">
      <c r="B893" s="429" t="n">
        <v>46316</v>
      </c>
      <c r="C893" s="297" t="inlineStr">
        <is>
          <t>Carne</t>
        </is>
      </c>
      <c r="D893" s="298" t="inlineStr">
        <is>
          <t>No bill</t>
        </is>
      </c>
      <c r="E893" s="297" t="inlineStr">
        <is>
          <t>Ingredients - Meat</t>
        </is>
      </c>
      <c r="F893" s="299" t="n">
        <v>570</v>
      </c>
      <c r="G893" s="300" t="inlineStr">
        <is>
          <t>Restaurant</t>
        </is>
      </c>
      <c r="H893" s="300" t="inlineStr">
        <is>
          <t>Cash</t>
        </is>
      </c>
      <c r="I893" s="301" t="inlineStr">
        <is>
          <t>✅ Paid</t>
        </is>
      </c>
      <c r="J893" s="423" t="inlineStr">
        <is>
          <t>No receipt; cash</t>
        </is>
      </c>
    </row>
    <row r="894">
      <c r="B894" s="429" t="n">
        <v>46316</v>
      </c>
      <c r="C894" s="297" t="inlineStr">
        <is>
          <t>Etrusca</t>
        </is>
      </c>
      <c r="D894" s="298" t="inlineStr">
        <is>
          <t>No bill</t>
        </is>
      </c>
      <c r="E894" s="297" t="inlineStr">
        <is>
          <t>Supplies/Other</t>
        </is>
      </c>
      <c r="F894" s="299" t="n">
        <v>1796</v>
      </c>
      <c r="G894" s="300" t="inlineStr">
        <is>
          <t>Restaurant</t>
        </is>
      </c>
      <c r="H894" s="300" t="inlineStr">
        <is>
          <t>Cash</t>
        </is>
      </c>
      <c r="I894" s="301" t="inlineStr">
        <is>
          <t>✅ Paid</t>
        </is>
      </c>
      <c r="J894" s="423" t="inlineStr">
        <is>
          <t>No receipt; cash</t>
        </is>
      </c>
    </row>
    <row r="895">
      <c r="B895" s="429" t="n">
        <v>46316</v>
      </c>
      <c r="C895" s="297" t="inlineStr">
        <is>
          <t>Soft App</t>
        </is>
      </c>
      <c r="D895" s="298" t="inlineStr">
        <is>
          <t>No bill</t>
        </is>
      </c>
      <c r="E895" s="297" t="inlineStr">
        <is>
          <t>Software/Subscription</t>
        </is>
      </c>
      <c r="F895" s="299" t="n">
        <v>810</v>
      </c>
      <c r="G895" s="300" t="inlineStr">
        <is>
          <t>Restaurant</t>
        </is>
      </c>
      <c r="H895" s="300" t="inlineStr">
        <is>
          <t>Cash</t>
        </is>
      </c>
      <c r="I895" s="301" t="inlineStr">
        <is>
          <t>✅ Paid</t>
        </is>
      </c>
      <c r="J895" s="423" t="inlineStr">
        <is>
          <t>No receipt; cash</t>
        </is>
      </c>
    </row>
    <row r="896">
      <c r="B896" s="429" t="n">
        <v>46317</v>
      </c>
      <c r="C896" s="297" t="inlineStr">
        <is>
          <t>Chedraui</t>
        </is>
      </c>
      <c r="D896" s="298" t="inlineStr">
        <is>
          <t>Chedraui</t>
        </is>
      </c>
      <c r="E896" s="297" t="inlineStr">
        <is>
          <t>Supermarket/General</t>
        </is>
      </c>
      <c r="F896" s="299" t="n">
        <v>252</v>
      </c>
      <c r="G896" s="300" t="inlineStr">
        <is>
          <t>Restaurant</t>
        </is>
      </c>
      <c r="H896" s="300" t="inlineStr">
        <is>
          <t>Cash</t>
        </is>
      </c>
      <c r="I896" s="301" t="inlineStr">
        <is>
          <t>✅ Paid</t>
        </is>
      </c>
      <c r="J896" s="423" t="inlineStr">
        <is>
          <t>No receipt; cash</t>
        </is>
      </c>
    </row>
    <row r="897">
      <c r="B897" s="429" t="n">
        <v>46317</v>
      </c>
      <c r="C897" s="297" t="inlineStr">
        <is>
          <t>Vegetables</t>
        </is>
      </c>
      <c r="D897" s="298" t="inlineStr">
        <is>
          <t>No bill</t>
        </is>
      </c>
      <c r="E897" s="297" t="inlineStr">
        <is>
          <t>Ingredients - Vegetables</t>
        </is>
      </c>
      <c r="F897" s="299" t="n">
        <v>118</v>
      </c>
      <c r="G897" s="300" t="inlineStr">
        <is>
          <t>Restaurant</t>
        </is>
      </c>
      <c r="H897" s="300" t="inlineStr">
        <is>
          <t>Cash</t>
        </is>
      </c>
      <c r="I897" s="301" t="inlineStr">
        <is>
          <t>✅ Paid</t>
        </is>
      </c>
      <c r="J897" s="423" t="inlineStr">
        <is>
          <t>No receipt; cash</t>
        </is>
      </c>
    </row>
    <row r="898">
      <c r="B898" s="429" t="n">
        <v>46317</v>
      </c>
      <c r="C898" s="297" t="inlineStr">
        <is>
          <t>Mango</t>
        </is>
      </c>
      <c r="D898" s="298" t="inlineStr">
        <is>
          <t>No bill</t>
        </is>
      </c>
      <c r="E898" s="297" t="inlineStr">
        <is>
          <t>Ingredients - Vegetables</t>
        </is>
      </c>
      <c r="F898" s="299" t="n">
        <v>425</v>
      </c>
      <c r="G898" s="300" t="inlineStr">
        <is>
          <t>Restaurant</t>
        </is>
      </c>
      <c r="H898" s="300" t="inlineStr">
        <is>
          <t>Cash</t>
        </is>
      </c>
      <c r="I898" s="301" t="inlineStr">
        <is>
          <t>✅ Paid</t>
        </is>
      </c>
      <c r="J898" s="423" t="inlineStr">
        <is>
          <t>No receipt; cash</t>
        </is>
      </c>
    </row>
    <row r="899">
      <c r="B899" s="429" t="n">
        <v>46317</v>
      </c>
      <c r="C899" s="297" t="inlineStr">
        <is>
          <t>Pan Dulce</t>
        </is>
      </c>
      <c r="D899" s="298" t="inlineStr">
        <is>
          <t>No bill</t>
        </is>
      </c>
      <c r="E899" s="297" t="inlineStr">
        <is>
          <t>Ingredients - Bread</t>
        </is>
      </c>
      <c r="F899" s="299" t="n">
        <v>64</v>
      </c>
      <c r="G899" s="300" t="inlineStr">
        <is>
          <t>Restaurant</t>
        </is>
      </c>
      <c r="H899" s="300" t="inlineStr">
        <is>
          <t>Cash</t>
        </is>
      </c>
      <c r="I899" s="301" t="inlineStr">
        <is>
          <t>✅ Paid</t>
        </is>
      </c>
      <c r="J899" s="423" t="inlineStr">
        <is>
          <t>No receipt; cash</t>
        </is>
      </c>
    </row>
    <row r="900">
      <c r="B900" s="429" t="n">
        <v>46317</v>
      </c>
      <c r="C900" s="297" t="inlineStr">
        <is>
          <t>Pollo</t>
        </is>
      </c>
      <c r="D900" s="298" t="inlineStr">
        <is>
          <t>No bill</t>
        </is>
      </c>
      <c r="E900" s="297" t="inlineStr">
        <is>
          <t>Ingredients - Meat</t>
        </is>
      </c>
      <c r="F900" s="299" t="n">
        <v>185</v>
      </c>
      <c r="G900" s="300" t="inlineStr">
        <is>
          <t>Restaurant</t>
        </is>
      </c>
      <c r="H900" s="300" t="inlineStr">
        <is>
          <t>Cash</t>
        </is>
      </c>
      <c r="I900" s="301" t="inlineStr">
        <is>
          <t>✅ Paid</t>
        </is>
      </c>
      <c r="J900" s="423" t="inlineStr">
        <is>
          <t>No receipt; cash</t>
        </is>
      </c>
    </row>
    <row r="901">
      <c r="B901" s="429" t="n">
        <v>46317</v>
      </c>
      <c r="C901" s="297" t="inlineStr">
        <is>
          <t>Molino</t>
        </is>
      </c>
      <c r="D901" s="298" t="inlineStr">
        <is>
          <t>No bill</t>
        </is>
      </c>
      <c r="E901" s="297" t="inlineStr">
        <is>
          <t>Supermarket/General</t>
        </is>
      </c>
      <c r="F901" s="299" t="n">
        <v>138</v>
      </c>
      <c r="G901" s="300" t="inlineStr">
        <is>
          <t>Restaurant</t>
        </is>
      </c>
      <c r="H901" s="300" t="inlineStr">
        <is>
          <t>Cash</t>
        </is>
      </c>
      <c r="I901" s="301" t="inlineStr">
        <is>
          <t>✅ Paid</t>
        </is>
      </c>
      <c r="J901" s="423" t="inlineStr">
        <is>
          <t>No receipt; cash</t>
        </is>
      </c>
    </row>
    <row r="902">
      <c r="B902" s="429" t="n">
        <v>46317</v>
      </c>
      <c r="C902" s="297" t="inlineStr">
        <is>
          <t>Oxxo Aceite</t>
        </is>
      </c>
      <c r="D902" s="298" t="inlineStr">
        <is>
          <t>OXXO</t>
        </is>
      </c>
      <c r="E902" s="297" t="inlineStr">
        <is>
          <t>Ingredients - Pantry</t>
        </is>
      </c>
      <c r="F902" s="299" t="n">
        <v>112</v>
      </c>
      <c r="G902" s="300" t="inlineStr">
        <is>
          <t>Restaurant</t>
        </is>
      </c>
      <c r="H902" s="300" t="inlineStr">
        <is>
          <t>Cash</t>
        </is>
      </c>
      <c r="I902" s="301" t="inlineStr">
        <is>
          <t>✅ Paid</t>
        </is>
      </c>
      <c r="J902" s="423" t="inlineStr">
        <is>
          <t>No receipt; cash</t>
        </is>
      </c>
    </row>
    <row r="903">
      <c r="B903" s="429" t="n">
        <v>1925125</v>
      </c>
      <c r="C903" s="297" t="inlineStr">
        <is>
          <t>Pan Real</t>
        </is>
      </c>
      <c r="D903" s="298" t="inlineStr">
        <is>
          <t>No bill</t>
        </is>
      </c>
      <c r="E903" s="297" t="inlineStr">
        <is>
          <t>Ingredients - Bread</t>
        </is>
      </c>
      <c r="F903" s="299" t="n">
        <v>288</v>
      </c>
      <c r="G903" s="300" t="inlineStr">
        <is>
          <t>Restaurant</t>
        </is>
      </c>
      <c r="H903" s="300" t="inlineStr">
        <is>
          <t>Cash</t>
        </is>
      </c>
      <c r="I903" s="301" t="inlineStr">
        <is>
          <t>✅ Paid</t>
        </is>
      </c>
      <c r="J903" s="423" t="inlineStr">
        <is>
          <t>No receipt; cash</t>
        </is>
      </c>
    </row>
    <row r="904">
      <c r="B904" s="429" t="n">
        <v>1925125</v>
      </c>
      <c r="C904" s="297" t="inlineStr">
        <is>
          <t>Oxxo</t>
        </is>
      </c>
      <c r="D904" s="298" t="inlineStr">
        <is>
          <t>OXXO</t>
        </is>
      </c>
      <c r="E904" s="297" t="inlineStr">
        <is>
          <t>Ingredients - Pantry</t>
        </is>
      </c>
      <c r="F904" s="299" t="n">
        <v>108</v>
      </c>
      <c r="G904" s="300" t="inlineStr">
        <is>
          <t>Restaurant</t>
        </is>
      </c>
      <c r="H904" s="300" t="inlineStr">
        <is>
          <t>Cash</t>
        </is>
      </c>
      <c r="I904" s="301" t="inlineStr">
        <is>
          <t>✅ Paid</t>
        </is>
      </c>
      <c r="J904" s="423" t="inlineStr">
        <is>
          <t>No receipt; cash</t>
        </is>
      </c>
    </row>
    <row r="905">
      <c r="B905" s="429" t="n">
        <v>1925125</v>
      </c>
      <c r="C905" s="297" t="inlineStr">
        <is>
          <t>Carne</t>
        </is>
      </c>
      <c r="D905" s="298" t="inlineStr">
        <is>
          <t>No bill</t>
        </is>
      </c>
      <c r="E905" s="297" t="inlineStr">
        <is>
          <t>Ingredients - Meat</t>
        </is>
      </c>
      <c r="F905" s="299" t="n">
        <v>292</v>
      </c>
      <c r="G905" s="300" t="inlineStr">
        <is>
          <t>Restaurant</t>
        </is>
      </c>
      <c r="H905" s="300" t="inlineStr">
        <is>
          <t>Cash</t>
        </is>
      </c>
      <c r="I905" s="301" t="inlineStr">
        <is>
          <t>✅ Paid</t>
        </is>
      </c>
      <c r="J905" s="423" t="inlineStr">
        <is>
          <t>No receipt; cash</t>
        </is>
      </c>
    </row>
    <row r="906">
      <c r="B906" s="429" t="n">
        <v>1925125</v>
      </c>
      <c r="C906" s="297" t="inlineStr">
        <is>
          <t>Sams club</t>
        </is>
      </c>
      <c r="D906" s="298" t="inlineStr">
        <is>
          <t>Sam's Club</t>
        </is>
      </c>
      <c r="E906" s="297" t="inlineStr">
        <is>
          <t>Supermarket/General</t>
        </is>
      </c>
      <c r="F906" s="299" t="n">
        <v>471</v>
      </c>
      <c r="G906" s="300" t="inlineStr">
        <is>
          <t>Restaurant</t>
        </is>
      </c>
      <c r="H906" s="300" t="inlineStr">
        <is>
          <t>Cash</t>
        </is>
      </c>
      <c r="I906" s="301" t="inlineStr">
        <is>
          <t>✅ Paid</t>
        </is>
      </c>
      <c r="J906" s="423" t="inlineStr">
        <is>
          <t>No receipt; cash</t>
        </is>
      </c>
    </row>
    <row r="907">
      <c r="B907" s="429" t="n">
        <v>1925125</v>
      </c>
      <c r="C907" s="297" t="inlineStr">
        <is>
          <t>Duvi - salary</t>
        </is>
      </c>
      <c r="D907" s="298" t="inlineStr">
        <is>
          <t>Payroll</t>
        </is>
      </c>
      <c r="E907" s="297" t="inlineStr">
        <is>
          <t>Staff - Salary</t>
        </is>
      </c>
      <c r="F907" s="299" t="n">
        <v>1460</v>
      </c>
      <c r="G907" s="300" t="inlineStr">
        <is>
          <t>Restaurant</t>
        </is>
      </c>
      <c r="H907" s="300" t="inlineStr">
        <is>
          <t>Cash</t>
        </is>
      </c>
      <c r="I907" s="301" t="inlineStr">
        <is>
          <t>✅ Paid</t>
        </is>
      </c>
      <c r="J907" s="423" t="inlineStr">
        <is>
          <t>Weekly salary</t>
        </is>
      </c>
    </row>
    <row r="908">
      <c r="B908" s="429" t="n">
        <v>46319</v>
      </c>
      <c r="C908" s="297" t="inlineStr">
        <is>
          <t>Walmart</t>
        </is>
      </c>
      <c r="D908" s="298" t="inlineStr">
        <is>
          <t>Walmart</t>
        </is>
      </c>
      <c r="E908" s="297" t="inlineStr">
        <is>
          <t>Supermarket/General</t>
        </is>
      </c>
      <c r="F908" s="299" t="n">
        <v>363</v>
      </c>
      <c r="G908" s="300" t="inlineStr">
        <is>
          <t>Restaurant</t>
        </is>
      </c>
      <c r="H908" s="300" t="inlineStr">
        <is>
          <t>Cash</t>
        </is>
      </c>
      <c r="I908" s="301" t="inlineStr">
        <is>
          <t>✅ Paid</t>
        </is>
      </c>
      <c r="J908" s="423" t="inlineStr">
        <is>
          <t>No receipt; cash</t>
        </is>
      </c>
    </row>
    <row r="909">
      <c r="B909" s="429" t="n">
        <v>46319</v>
      </c>
      <c r="C909" s="297" t="inlineStr">
        <is>
          <t>3B</t>
        </is>
      </c>
      <c r="D909" s="298" t="inlineStr">
        <is>
          <t>Tres B</t>
        </is>
      </c>
      <c r="E909" s="297" t="inlineStr">
        <is>
          <t>Supermarket/General</t>
        </is>
      </c>
      <c r="F909" s="299" t="n">
        <v>879</v>
      </c>
      <c r="G909" s="300" t="inlineStr">
        <is>
          <t>Restaurant</t>
        </is>
      </c>
      <c r="H909" s="300" t="inlineStr">
        <is>
          <t>Cash</t>
        </is>
      </c>
      <c r="I909" s="301" t="inlineStr">
        <is>
          <t>✅ Paid</t>
        </is>
      </c>
      <c r="J909" s="423" t="inlineStr">
        <is>
          <t>No receipt; cash</t>
        </is>
      </c>
    </row>
    <row r="910">
      <c r="B910" s="429" t="n">
        <v>46319</v>
      </c>
      <c r="C910" s="297" t="inlineStr">
        <is>
          <t>Decoration</t>
        </is>
      </c>
      <c r="D910" s="298" t="inlineStr">
        <is>
          <t>No bill</t>
        </is>
      </c>
      <c r="E910" s="297" t="inlineStr">
        <is>
          <t>Supplies/Other</t>
        </is>
      </c>
      <c r="F910" s="299" t="n">
        <v>180</v>
      </c>
      <c r="G910" s="300" t="inlineStr">
        <is>
          <t>Restaurant</t>
        </is>
      </c>
      <c r="H910" s="300" t="inlineStr">
        <is>
          <t>Cash</t>
        </is>
      </c>
      <c r="I910" s="301" t="inlineStr">
        <is>
          <t>✅ Paid</t>
        </is>
      </c>
      <c r="J910" s="423" t="inlineStr">
        <is>
          <t>No receipt; cash</t>
        </is>
      </c>
    </row>
    <row r="911">
      <c r="B911" s="429" t="n">
        <v>46319</v>
      </c>
      <c r="C911" s="297" t="inlineStr">
        <is>
          <t>Vegetables</t>
        </is>
      </c>
      <c r="D911" s="298" t="inlineStr">
        <is>
          <t>No bill</t>
        </is>
      </c>
      <c r="E911" s="297" t="inlineStr">
        <is>
          <t>Ingredients - Vegetables</t>
        </is>
      </c>
      <c r="F911" s="299" t="n">
        <v>1500</v>
      </c>
      <c r="G911" s="300" t="inlineStr">
        <is>
          <t>Restaurant</t>
        </is>
      </c>
      <c r="H911" s="300" t="inlineStr">
        <is>
          <t>Cash</t>
        </is>
      </c>
      <c r="I911" s="301" t="inlineStr">
        <is>
          <t>✅ Paid</t>
        </is>
      </c>
      <c r="J911" s="423" t="inlineStr">
        <is>
          <t>No receipt; cash</t>
        </is>
      </c>
    </row>
    <row r="912">
      <c r="B912" s="429" t="n">
        <v>46319</v>
      </c>
      <c r="C912" s="297" t="inlineStr">
        <is>
          <t>Rodrigo - salary</t>
        </is>
      </c>
      <c r="D912" s="298" t="inlineStr">
        <is>
          <t>Payroll</t>
        </is>
      </c>
      <c r="E912" s="297" t="inlineStr">
        <is>
          <t>Staff - Salary</t>
        </is>
      </c>
      <c r="F912" s="299" t="n">
        <v>1500</v>
      </c>
      <c r="G912" s="300" t="inlineStr">
        <is>
          <t>Restaurant</t>
        </is>
      </c>
      <c r="H912" s="300" t="inlineStr">
        <is>
          <t>Cash</t>
        </is>
      </c>
      <c r="I912" s="301" t="inlineStr">
        <is>
          <t>✅ Paid</t>
        </is>
      </c>
      <c r="J912" s="423" t="inlineStr">
        <is>
          <t>Weekly salary</t>
        </is>
      </c>
    </row>
    <row r="913">
      <c r="B913" s="429" t="n">
        <v>46319</v>
      </c>
      <c r="C913" s="297" t="inlineStr">
        <is>
          <t>Josias - salary</t>
        </is>
      </c>
      <c r="D913" s="298" t="inlineStr">
        <is>
          <t>Payroll</t>
        </is>
      </c>
      <c r="E913" s="297" t="inlineStr">
        <is>
          <t>Staff - Salary</t>
        </is>
      </c>
      <c r="F913" s="299" t="n">
        <v>1850</v>
      </c>
      <c r="G913" s="300" t="inlineStr">
        <is>
          <t>Restaurant</t>
        </is>
      </c>
      <c r="H913" s="300" t="inlineStr">
        <is>
          <t>Cash</t>
        </is>
      </c>
      <c r="I913" s="301" t="inlineStr">
        <is>
          <t>✅ Paid</t>
        </is>
      </c>
      <c r="J913" s="423" t="inlineStr">
        <is>
          <t>Weekly salary</t>
        </is>
      </c>
    </row>
    <row r="914">
      <c r="B914" s="429" t="n">
        <v>46319</v>
      </c>
      <c r="C914" s="297" t="inlineStr">
        <is>
          <t>Jhon - salary</t>
        </is>
      </c>
      <c r="D914" s="298" t="inlineStr">
        <is>
          <t>Payroll</t>
        </is>
      </c>
      <c r="E914" s="297" t="inlineStr">
        <is>
          <t>Staff - Salary</t>
        </is>
      </c>
      <c r="F914" s="299" t="n">
        <v>3750</v>
      </c>
      <c r="G914" s="300" t="inlineStr">
        <is>
          <t>Restaurant</t>
        </is>
      </c>
      <c r="H914" s="300" t="inlineStr">
        <is>
          <t>Cash</t>
        </is>
      </c>
      <c r="I914" s="301" t="inlineStr">
        <is>
          <t>✅ Paid</t>
        </is>
      </c>
      <c r="J914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15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23" t="n"/>
      <c r="G1" s="423" t="n"/>
      <c r="H1" s="42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5" t="inlineStr">
        <is>
          <t>Oct 7170</t>
        </is>
      </c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7">
        <f>SUMIFS('📅 Daily Log'!$F$8:$F$5000,'📅 Daily Log'!$B$8:$B$5000,"&gt;="&amp;DATE(7170,10,1),'📅 Daily Log'!$B$8:$B$5000,"&lt;"&amp;DATE(7170,11,1))</f>
        <v/>
      </c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7">
        <f>SUMIFS('💸 Expenses'!$F$8:$F$5000,'💸 Expenses'!$B$8:$B$5000,"&gt;="&amp;DATE(7170,10,1),'💸 Expenses'!$B$8:$B$5000,"&lt;"&amp;DATE(7170,11,1))</f>
        <v/>
      </c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8">
        <f>H4-H5</f>
        <v/>
      </c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40">
        <f>COUNTIFS('📅 Daily Log'!$F$8:$F$5000,"&gt;0",'📅 Daily Log'!$B$8:$B$5000,"&gt;="&amp;DATE(7170,10,1),'📅 Daily Log'!$B$8:$B$5000,"&lt;"&amp;DATE(7170,11,1))</f>
        <v/>
      </c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7">
        <f>IFERROR(H4/H7,0)</f>
        <v/>
      </c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5" t="inlineStr">
        <is>
          <t>Oct 7170</t>
        </is>
      </c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7">
        <f>SUMIFS('📅 Daily Log'!$D$8:$D$5000,'📅 Daily Log'!$B$8:$B$5000,"&gt;="&amp;DATE(7170,10,1),'📅 Daily Log'!$B$8:$B$5000,"&lt;"&amp;DATE(7170,11,1))+SUMIFS('📅 Daily Log'!$U$8:$U$5000,'📅 Daily Log'!$B$8:$B$5000,"&gt;="&amp;DATE(7170,10,1),'📅 Daily Log'!$B$8:$B$5000,"&lt;"&amp;DATE(7170,11,1))+SUMIFS('📅 Daily Log'!$Y$8:$Y$5000,'📅 Daily Log'!$B$8:$B$5000,"&gt;="&amp;DATE(7170,10,1),'📅 Daily Log'!$B$8:$B$5000,"&lt;"&amp;DATE(7170,11,1))</f>
        <v/>
      </c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7">
        <f>SUMIFS('📅 Daily Log'!$E$8:$E$5000,'📅 Daily Log'!$B$8:$B$5000,"&gt;="&amp;DATE(7170,10,1),'📅 Daily Log'!$B$8:$B$5000,"&lt;"&amp;DATE(7170,11,1))</f>
        <v/>
      </c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7">
        <f>SUMIFS('📅 Daily Log'!$G$8:$G$5000,'📅 Daily Log'!$B$8:$B$5000,"&gt;="&amp;DATE(7170,10,1),'📅 Daily Log'!$B$8:$B$5000,"&lt;"&amp;DATE(7170,11,1))</f>
        <v/>
      </c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8">
        <f>H11+H12+H13</f>
        <v/>
      </c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5" t="inlineStr">
        <is>
          <t>Oct 7170</t>
        </is>
      </c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7">
        <f>SUMIFS('💸 Expenses'!$F$8:$F$5000,'💸 Expenses'!$E$8:$E$5000,$A17,'💸 Expenses'!$B$8:$B$5000,"&gt;="&amp;DATE(7170,10,1),'💸 Expenses'!$B$8:$B$5000,"&lt;"&amp;DATE(7170,11,1))</f>
        <v/>
      </c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7">
        <f>SUMIFS('💸 Expenses'!$F$8:$F$5000,'💸 Expenses'!$E$8:$E$5000,$A18,'💸 Expenses'!$B$8:$B$5000,"&gt;="&amp;DATE(7170,10,1),'💸 Expenses'!$B$8:$B$5000,"&lt;"&amp;DATE(7170,11,1))</f>
        <v/>
      </c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7">
        <f>SUMIFS('💸 Expenses'!$F$8:$F$5000,'💸 Expenses'!$E$8:$E$5000,$A19,'💸 Expenses'!$B$8:$B$5000,"&gt;="&amp;DATE(7170,10,1),'💸 Expenses'!$B$8:$B$5000,"&lt;"&amp;DATE(7170,11,1))</f>
        <v/>
      </c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7">
        <f>SUMIFS('💸 Expenses'!$F$8:$F$5000,'💸 Expenses'!$E$8:$E$5000,$A20,'💸 Expenses'!$B$8:$B$5000,"&gt;="&amp;DATE(7170,10,1),'💸 Expenses'!$B$8:$B$5000,"&lt;"&amp;DATE(7170,11,1))</f>
        <v/>
      </c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7">
        <f>SUMIFS('💸 Expenses'!$F$8:$F$5000,'💸 Expenses'!$E$8:$E$5000,$A21,'💸 Expenses'!$B$8:$B$5000,"&gt;="&amp;DATE(7170,10,1),'💸 Expenses'!$B$8:$B$5000,"&lt;"&amp;DATE(7170,11,1))</f>
        <v/>
      </c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7">
        <f>SUMIFS('💸 Expenses'!$F$8:$F$5000,'💸 Expenses'!$E$8:$E$5000,$A22,'💸 Expenses'!$B$8:$B$5000,"&gt;="&amp;DATE(7170,10,1),'💸 Expenses'!$B$8:$B$5000,"&lt;"&amp;DATE(7170,11,1))</f>
        <v/>
      </c>
      <c r="I22" s="433" t="n"/>
      <c r="J22" s="433" t="n"/>
      <c r="K22" s="433" t="n"/>
      <c r="L22" s="433" t="n"/>
    </row>
    <row r="23">
      <c r="A23" s="439" t="inlineStr">
        <is>
          <t>Utilities/Electricity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7">
        <f>SUMIFS('💸 Expenses'!$F$8:$F$5000,'💸 Expenses'!$E$8:$E$5000,$A23,'💸 Expenses'!$B$8:$B$5000,"&gt;="&amp;DATE(7170,10,1),'💸 Expenses'!$B$8:$B$5000,"&lt;"&amp;DATE(7170,11,1))</f>
        <v/>
      </c>
      <c r="I23" s="433" t="n"/>
      <c r="J23" s="433" t="n"/>
      <c r="K23" s="433" t="n"/>
      <c r="L23" s="433" t="n"/>
    </row>
    <row r="24">
      <c r="A24" s="439" t="inlineStr">
        <is>
          <t>Ingredients - Pantry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7">
        <f>SUMIFS('💸 Expenses'!$F$8:$F$5000,'💸 Expenses'!$E$8:$E$5000,$A24,'💸 Expenses'!$B$8:$B$5000,"&gt;="&amp;DATE(7170,10,1),'💸 Expenses'!$B$8:$B$5000,"&lt;"&amp;DATE(7170,11,1))</f>
        <v/>
      </c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7">
        <f>SUMIFS('💸 Expenses'!$F$8:$F$5000,'💸 Expenses'!$E$8:$E$5000,$A25,'💸 Expenses'!$B$8:$B$5000,"&gt;="&amp;DATE(7170,10,1),'💸 Expenses'!$B$8:$B$5000,"&lt;"&amp;DATE(7170,11,1))</f>
        <v/>
      </c>
      <c r="I25" s="433" t="n"/>
      <c r="J25" s="433" t="n"/>
      <c r="K25" s="433" t="n"/>
      <c r="L25" s="433" t="n"/>
    </row>
    <row r="26">
      <c r="A26" s="439" t="inlineStr">
        <is>
          <t>Ingredients - Beverages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7">
        <f>SUMIFS('💸 Expenses'!$F$8:$F$5000,'💸 Expenses'!$E$8:$E$5000,$A26,'💸 Expenses'!$B$8:$B$5000,"&gt;="&amp;DATE(7170,10,1),'💸 Expenses'!$B$8:$B$5000,"&lt;"&amp;DATE(7170,11,1))</f>
        <v/>
      </c>
      <c r="I26" s="433" t="n"/>
      <c r="J26" s="433" t="n"/>
      <c r="K26" s="433" t="n"/>
      <c r="L26" s="433" t="n"/>
    </row>
    <row r="27">
      <c r="A27" s="439" t="inlineStr">
        <is>
          <t>Ingredients - Dairy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7">
        <f>SUMIFS('💸 Expenses'!$F$8:$F$5000,'💸 Expenses'!$E$8:$E$5000,$A27,'💸 Expenses'!$B$8:$B$5000,"&gt;="&amp;DATE(7170,10,1),'💸 Expenses'!$B$8:$B$5000,"&lt;"&amp;DATE(7170,11,1))</f>
        <v/>
      </c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7">
        <f>SUMIFS('💸 Expenses'!$F$8:$F$5000,'💸 Expenses'!$E$8:$E$5000,$A28,'💸 Expenses'!$B$8:$B$5000,"&gt;="&amp;DATE(7170,10,1),'💸 Expenses'!$B$8:$B$5000,"&lt;"&amp;DATE(7170,11,1))</f>
        <v/>
      </c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7">
        <f>SUMIFS('💸 Expenses'!$F$8:$F$5000,'💸 Expenses'!$E$8:$E$5000,$A29,'💸 Expenses'!$B$8:$B$5000,"&gt;="&amp;DATE(7170,10,1),'💸 Expenses'!$B$8:$B$5000,"&lt;"&amp;DATE(7170,11,1))</f>
        <v/>
      </c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7">
        <f>SUMIFS('💸 Expenses'!$F$8:$F$5000,'💸 Expenses'!$E$8:$E$5000,$A30,'💸 Expenses'!$B$8:$B$5000,"&gt;="&amp;DATE(7170,10,1),'💸 Expenses'!$B$8:$B$5000,"&lt;"&amp;DATE(7170,11,1))</f>
        <v/>
      </c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7">
        <f>SUMIFS('💸 Expenses'!$F$8:$F$5000,'💸 Expenses'!$E$8:$E$5000,$A31,'💸 Expenses'!$B$8:$B$5000,"&gt;="&amp;DATE(7170,10,1),'💸 Expenses'!$B$8:$B$5000,"&lt;"&amp;DATE(7170,11,1))</f>
        <v/>
      </c>
      <c r="I31" s="433" t="n"/>
      <c r="J31" s="433" t="n"/>
      <c r="K31" s="433" t="n"/>
      <c r="L31" s="433" t="n"/>
    </row>
    <row r="32">
      <c r="A32" s="439" t="inlineStr">
        <is>
          <t>Packaging/Disposables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7">
        <f>SUMIFS('💸 Expenses'!$F$8:$F$5000,'💸 Expenses'!$E$8:$E$5000,$A32,'💸 Expenses'!$B$8:$B$5000,"&gt;="&amp;DATE(7170,10,1),'💸 Expenses'!$B$8:$B$5000,"&lt;"&amp;DATE(7170,11,1))</f>
        <v/>
      </c>
      <c r="I32" s="433" t="n"/>
      <c r="J32" s="433" t="n"/>
      <c r="K32" s="433" t="n"/>
      <c r="L32" s="433" t="n"/>
    </row>
    <row r="33">
      <c r="A33" s="439" t="inlineStr">
        <is>
          <t>Professional Services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7">
        <f>SUMIFS('💸 Expenses'!$F$8:$F$5000,'💸 Expenses'!$E$8:$E$5000,$A33,'💸 Expenses'!$B$8:$B$5000,"&gt;="&amp;DATE(7170,10,1),'💸 Expenses'!$B$8:$B$5000,"&lt;"&amp;DATE(7170,11,1))</f>
        <v/>
      </c>
      <c r="I33" s="433" t="n"/>
      <c r="J33" s="433" t="n"/>
      <c r="K33" s="433" t="n"/>
      <c r="L33" s="433" t="n"/>
    </row>
    <row r="34">
      <c r="A34" s="439" t="inlineStr">
        <is>
          <t>Kitchen Supplies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7">
        <f>SUMIFS('💸 Expenses'!$F$8:$F$5000,'💸 Expenses'!$E$8:$E$5000,$A34,'💸 Expenses'!$B$8:$B$5000,"&gt;="&amp;DATE(7170,10,1),'💸 Expenses'!$B$8:$B$5000,"&lt;"&amp;DATE(7170,11,1))</f>
        <v/>
      </c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7">
        <f>SUMIFS('💸 Expenses'!$F$8:$F$5000,'💸 Expenses'!$E$8:$E$5000,$A35,'💸 Expenses'!$B$8:$B$5000,"&gt;="&amp;DATE(7170,10,1),'💸 Expenses'!$B$8:$B$5000,"&lt;"&amp;DATE(7170,11,1))</f>
        <v/>
      </c>
      <c r="I35" s="433" t="n"/>
      <c r="J35" s="433" t="n"/>
      <c r="K35" s="433" t="n"/>
      <c r="L35" s="433" t="n"/>
    </row>
    <row r="36">
      <c r="A36" s="439" t="inlineStr">
        <is>
          <t>Ingredients - Fruit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7">
        <f>SUMIFS('💸 Expenses'!$F$8:$F$5000,'💸 Expenses'!$E$8:$E$5000,$A36,'💸 Expenses'!$B$8:$B$5000,"&gt;="&amp;DATE(7170,10,1),'💸 Expenses'!$B$8:$B$5000,"&lt;"&amp;DATE(7170,11,1))</f>
        <v/>
      </c>
      <c r="I36" s="433" t="n"/>
      <c r="J36" s="433" t="n"/>
      <c r="K36" s="433" t="n"/>
      <c r="L36" s="433" t="n"/>
    </row>
    <row r="37">
      <c r="A37" s="439" t="inlineStr">
        <is>
          <t>Utilities/Internet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7">
        <f>SUMIFS('💸 Expenses'!$F$8:$F$5000,'💸 Expenses'!$E$8:$E$5000,$A37,'💸 Expenses'!$B$8:$B$5000,"&gt;="&amp;DATE(7170,10,1),'💸 Expenses'!$B$8:$B$5000,"&lt;"&amp;DATE(7170,11,1))</f>
        <v/>
      </c>
      <c r="I37" s="433" t="n"/>
      <c r="J37" s="433" t="n"/>
      <c r="K37" s="433" t="n"/>
      <c r="L37" s="433" t="n"/>
    </row>
    <row r="38">
      <c r="A38" s="439" t="inlineStr">
        <is>
          <t>Office Supplies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7">
        <f>SUMIFS('💸 Expenses'!$F$8:$F$5000,'💸 Expenses'!$E$8:$E$5000,$A38,'💸 Expenses'!$B$8:$B$5000,"&gt;="&amp;DATE(7170,10,1),'💸 Expenses'!$B$8:$B$5000,"&lt;"&amp;DATE(7170,11,1))</f>
        <v/>
      </c>
      <c r="I38" s="433" t="n"/>
      <c r="J38" s="433" t="n"/>
      <c r="K38" s="433" t="n"/>
      <c r="L38" s="433" t="n"/>
    </row>
    <row r="39">
      <c r="A39" s="439" t="inlineStr">
        <is>
          <t>Ingredients - Other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7">
        <f>SUMIFS('💸 Expenses'!$F$8:$F$5000,'💸 Expenses'!$E$8:$E$5000,$A39,'💸 Expenses'!$B$8:$B$5000,"&gt;="&amp;DATE(7170,10,1),'💸 Expenses'!$B$8:$B$5000,"&lt;"&amp;DATE(7170,11,1))</f>
        <v/>
      </c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7">
        <f>SUMIFS('💸 Expenses'!$F$8:$F$5000,'💸 Expenses'!$E$8:$E$5000,$A40,'💸 Expenses'!$B$8:$B$5000,"&gt;="&amp;DATE(7170,10,1),'💸 Expenses'!$B$8:$B$5000,"&lt;"&amp;DATE(7170,11,1))</f>
        <v/>
      </c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7">
        <f>SUMIFS('💸 Expenses'!$F$8:$F$5000,'💸 Expenses'!$E$8:$E$5000,$A41,'💸 Expenses'!$B$8:$B$5000,"&gt;="&amp;DATE(7170,10,1),'💸 Expenses'!$B$8:$B$5000,"&lt;"&amp;DATE(7170,11,1))</f>
        <v/>
      </c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7">
        <f>SUMIFS('💸 Expenses'!$F$8:$F$5000,'💸 Expenses'!$E$8:$E$5000,$A42,'💸 Expenses'!$B$8:$B$5000,"&gt;="&amp;DATE(7170,10,1),'💸 Expenses'!$B$8:$B$5000,"&lt;"&amp;DATE(7170,11,1))</f>
        <v/>
      </c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7">
        <f>SUMIFS('💸 Expenses'!$F$8:$F$5000,'💸 Expenses'!$E$8:$E$5000,$A43,'💸 Expenses'!$B$8:$B$5000,"&gt;="&amp;DATE(7170,10,1),'💸 Expenses'!$B$8:$B$5000,"&lt;"&amp;DATE(7170,11,1))</f>
        <v/>
      </c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8">
        <f>SUMIFS('💸 Expenses'!$F$8:$F$5000,'💸 Expenses'!$B$8:$B$5000,"&gt;="&amp;DATE(7170,10,1),'💸 Expenses'!$B$8:$B$5000,"&lt;"&amp;DATE(7170,11,1))</f>
        <v/>
      </c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8">
        <f>H4-H44</f>
        <v/>
      </c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H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n">
        <v>46301</v>
      </c>
      <c r="B104" s="232" t="inlineStr">
        <is>
          <t>Transfer-to-me (customer payment 06-Oct)</t>
        </is>
      </c>
      <c r="C104" s="232" t="inlineStr">
        <is>
          <t>Transfer Received</t>
        </is>
      </c>
      <c r="D104" s="232" t="n"/>
      <c r="E104" s="233" t="n">
        <v>840</v>
      </c>
      <c r="F104" s="233">
        <f>IFERROR(F103+D104-E104,0)</f>
        <v/>
      </c>
      <c r="G104" s="232" t="inlineStr">
        <is>
          <t>✅ Received</t>
        </is>
      </c>
      <c r="H104" s="232" t="inlineStr">
        <is>
          <t>Customer paid Lohith personal acct</t>
        </is>
      </c>
    </row>
    <row r="105">
      <c r="A105" s="430" t="n">
        <v>46303</v>
      </c>
      <c r="B105" s="232" t="inlineStr">
        <is>
          <t>Transfer-to-me (customer payment 08-Oct)</t>
        </is>
      </c>
      <c r="C105" s="232" t="inlineStr">
        <is>
          <t>Transfer Received</t>
        </is>
      </c>
      <c r="D105" s="232" t="n"/>
      <c r="E105" s="233" t="n">
        <v>85</v>
      </c>
      <c r="F105" s="233">
        <f>IFERROR(F104+D105-E105,0)</f>
        <v/>
      </c>
      <c r="G105" s="232" t="inlineStr">
        <is>
          <t>✅ Received</t>
        </is>
      </c>
      <c r="H105" s="232" t="inlineStr">
        <is>
          <t>Customer paid Lohith personal acct</t>
        </is>
      </c>
    </row>
    <row r="106">
      <c r="A106" s="430" t="n">
        <v>46304</v>
      </c>
      <c r="B106" s="232" t="inlineStr">
        <is>
          <t>Transfer-to-me (customer payment 09-Oct)</t>
        </is>
      </c>
      <c r="C106" s="232" t="inlineStr">
        <is>
          <t>Transfer Received</t>
        </is>
      </c>
      <c r="D106" s="232" t="n"/>
      <c r="E106" s="233" t="n">
        <v>130</v>
      </c>
      <c r="F106" s="233">
        <f>IFERROR(F105+D106-E106,0)</f>
        <v/>
      </c>
      <c r="G106" s="232" t="inlineStr">
        <is>
          <t>✅ Received</t>
        </is>
      </c>
      <c r="H106" s="232" t="inlineStr">
        <is>
          <t>Customer paid Lohith personal acct</t>
        </is>
      </c>
    </row>
    <row r="107">
      <c r="A107" s="430" t="n">
        <v>46305</v>
      </c>
      <c r="B107" s="232" t="inlineStr">
        <is>
          <t>Transfer-to-me (customer payment 10-Oct)</t>
        </is>
      </c>
      <c r="C107" s="232" t="inlineStr">
        <is>
          <t>Transfer Received</t>
        </is>
      </c>
      <c r="D107" s="232" t="n"/>
      <c r="E107" s="233" t="n">
        <v>220</v>
      </c>
      <c r="F107" s="233">
        <f>IFERROR(F106+D107-E107,0)</f>
        <v/>
      </c>
      <c r="G107" s="232" t="inlineStr">
        <is>
          <t>✅ Received</t>
        </is>
      </c>
      <c r="H107" s="232" t="inlineStr">
        <is>
          <t>Customer paid Lohith personal acct</t>
        </is>
      </c>
    </row>
    <row r="108">
      <c r="A108" s="430" t="n">
        <v>46305</v>
      </c>
      <c r="B108" s="232" t="inlineStr">
        <is>
          <t>Pollo $1,055 (paid by Lohith)</t>
        </is>
      </c>
      <c r="C108" s="232" t="inlineStr">
        <is>
          <t>Expense - Personal</t>
        </is>
      </c>
      <c r="D108" s="232" t="n">
        <v>1055</v>
      </c>
      <c r="E108" s="233" t="n"/>
      <c r="F108" s="233">
        <f>IFERROR(F107+D108-E108,0)</f>
        <v/>
      </c>
      <c r="G108" s="232" t="inlineStr">
        <is>
          <t>⏳ Reimburse</t>
        </is>
      </c>
      <c r="H108" s="232" t="inlineStr">
        <is>
          <t>Fronted from own pocket; excluded from till via cash_adjust</t>
        </is>
      </c>
    </row>
    <row r="109">
      <c r="A109" s="430" t="n">
        <v>46307</v>
      </c>
      <c r="B109" s="232" t="inlineStr">
        <is>
          <t>Transfer-to-me (customer payment 12-Oct)</t>
        </is>
      </c>
      <c r="C109" s="232" t="inlineStr">
        <is>
          <t>Transfer Received</t>
        </is>
      </c>
      <c r="D109" s="232" t="n"/>
      <c r="E109" s="233" t="n">
        <v>85</v>
      </c>
      <c r="F109" s="233">
        <f>IFERROR(F108+D109-E109,0)</f>
        <v/>
      </c>
      <c r="G109" s="232" t="inlineStr">
        <is>
          <t>✅ Received</t>
        </is>
      </c>
      <c r="H109" s="232" t="inlineStr">
        <is>
          <t>Customer paid Lohith personal acct</t>
        </is>
      </c>
    </row>
    <row r="110">
      <c r="A110" s="430" t="n">
        <v>46308</v>
      </c>
      <c r="B110" s="232" t="inlineStr">
        <is>
          <t>Transfer-to-me (customer payment 13-Oct)</t>
        </is>
      </c>
      <c r="C110" s="232" t="inlineStr">
        <is>
          <t>Transfer Received</t>
        </is>
      </c>
      <c r="D110" s="232" t="n"/>
      <c r="E110" s="233" t="n">
        <v>120</v>
      </c>
      <c r="F110" s="233">
        <f>IFERROR(F109+D110-E110,0)</f>
        <v/>
      </c>
      <c r="G110" s="232" t="inlineStr">
        <is>
          <t>✅ Received</t>
        </is>
      </c>
      <c r="H110" s="232" t="inlineStr">
        <is>
          <t>Customer paid Lohith personal acct</t>
        </is>
      </c>
    </row>
    <row r="111">
      <c r="A111" s="430" t="n">
        <v>46314</v>
      </c>
      <c r="B111" s="232" t="inlineStr">
        <is>
          <t>Telmex $349 (paid by Lohith)</t>
        </is>
      </c>
      <c r="C111" s="232" t="inlineStr">
        <is>
          <t>Expense - Personal</t>
        </is>
      </c>
      <c r="D111" s="232" t="n">
        <v>349</v>
      </c>
      <c r="E111" s="233" t="n"/>
      <c r="F111" s="233">
        <f>IFERROR(F110+D111-E111,0)</f>
        <v/>
      </c>
      <c r="G111" s="232" t="inlineStr">
        <is>
          <t>⏳ Reimburse</t>
        </is>
      </c>
      <c r="H111" s="232" t="inlineStr">
        <is>
          <t>Fronted from own pocket; excluded from till via cash_adjust</t>
        </is>
      </c>
    </row>
    <row r="112">
      <c r="A112" s="430" t="n">
        <v>46315</v>
      </c>
      <c r="B112" s="232" t="inlineStr">
        <is>
          <t>Pollo $1,334 (paid by Lohith)</t>
        </is>
      </c>
      <c r="C112" s="232" t="inlineStr">
        <is>
          <t>Expense - Personal</t>
        </is>
      </c>
      <c r="D112" s="232" t="n">
        <v>1334</v>
      </c>
      <c r="E112" s="233" t="n"/>
      <c r="F112" s="233">
        <f>IFERROR(F111+D112-E112,0)</f>
        <v/>
      </c>
      <c r="G112" s="232" t="inlineStr">
        <is>
          <t>⏳ Reimburse</t>
        </is>
      </c>
      <c r="H112" s="232" t="inlineStr">
        <is>
          <t>Fronted from own pocket; excluded from till via cash_adjust</t>
        </is>
      </c>
    </row>
    <row r="113">
      <c r="A113" s="430" t="n">
        <v>46319</v>
      </c>
      <c r="B113" s="232" t="inlineStr">
        <is>
          <t>Transfer-to-me (customer payment 24-Oct)</t>
        </is>
      </c>
      <c r="C113" s="232" t="inlineStr">
        <is>
          <t>Transfer Received</t>
        </is>
      </c>
      <c r="D113" s="232" t="n"/>
      <c r="E113" s="233" t="n">
        <v>355</v>
      </c>
      <c r="F113" s="233">
        <f>IFERROR(F112+D113-E113,0)</f>
        <v/>
      </c>
      <c r="G113" s="232" t="inlineStr">
        <is>
          <t>✅ Received</t>
        </is>
      </c>
      <c r="H113" s="232" t="inlineStr">
        <is>
          <t>Customer paid Lohith personal acct</t>
        </is>
      </c>
    </row>
    <row r="114">
      <c r="A114" s="430" t="inlineStr">
        <is>
          <t>TOTALS &amp; CURRENT BALANCE</t>
        </is>
      </c>
      <c r="B114" s="232" t="n"/>
      <c r="C114" s="232" t="n"/>
      <c r="D114" s="232">
        <f>SUM(D4:D113)</f>
        <v/>
      </c>
      <c r="E114" s="233">
        <f>SUM(E4:E113)</f>
        <v/>
      </c>
      <c r="F114" s="233">
        <f>F113</f>
        <v/>
      </c>
      <c r="G114" s="232">
        <f>IF(F113&gt;0,"Restaurant owes Lohith $"&amp;TEXT(F113,"#,##0"),IF(F113&lt;0,"Lohith holds $"&amp;TEXT(ABS(F113),"#,##0"),"Zero balance"))</f>
        <v/>
      </c>
      <c r="H11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2026-10-28T20:27:12Z</dcterms:modified>
  <cp:lastModifiedBy>LOHITH REDDY</cp:lastModifiedBy>
</cp:coreProperties>
</file>