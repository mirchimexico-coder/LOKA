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staurant\"/>
    </mc:Choice>
  </mc:AlternateContent>
  <xr:revisionPtr revIDLastSave="0" documentId="13_ncr:1_{5E8E22A5-F795-4AE3-BABF-BB252854D3C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47" i="11"/>
  <c r="F22" i="11"/>
  <c r="F14" i="11"/>
  <c r="H6" i="7"/>
  <c r="G6" i="7"/>
  <c r="F6" i="7"/>
  <c r="E6" i="7"/>
  <c r="D6" i="7"/>
  <c r="C6" i="7"/>
  <c r="B6" i="7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H6" i="5" s="1"/>
  <c r="J9" i="5"/>
  <c r="J6" i="5"/>
  <c r="D6" i="5"/>
  <c r="B6" i="5"/>
  <c r="I6" i="4"/>
  <c r="H6" i="4"/>
  <c r="G6" i="4"/>
  <c r="F6" i="4"/>
  <c r="E6" i="4"/>
  <c r="D6" i="4"/>
  <c r="C6" i="4"/>
  <c r="B6" i="4"/>
  <c r="F29" i="3"/>
  <c r="I29" i="3" s="1"/>
  <c r="J29" i="3" s="1"/>
  <c r="I28" i="3"/>
  <c r="F27" i="3"/>
  <c r="I27" i="3" s="1"/>
  <c r="J27" i="3" s="1"/>
  <c r="I26" i="3"/>
  <c r="J26" i="3" s="1"/>
  <c r="F26" i="3"/>
  <c r="F25" i="3"/>
  <c r="I25" i="3" s="1"/>
  <c r="J25" i="3" s="1"/>
  <c r="I24" i="3"/>
  <c r="J24" i="3" s="1"/>
  <c r="F24" i="3"/>
  <c r="F23" i="3"/>
  <c r="I23" i="3" s="1"/>
  <c r="J23" i="3" s="1"/>
  <c r="I22" i="3"/>
  <c r="J22" i="3" s="1"/>
  <c r="F22" i="3"/>
  <c r="F21" i="3"/>
  <c r="I21" i="3" s="1"/>
  <c r="J21" i="3" s="1"/>
  <c r="F20" i="3"/>
  <c r="I20" i="3" s="1"/>
  <c r="J20" i="3" s="1"/>
  <c r="F19" i="3"/>
  <c r="I19" i="3" s="1"/>
  <c r="J19" i="3" s="1"/>
  <c r="I18" i="3"/>
  <c r="J18" i="3" s="1"/>
  <c r="F18" i="3"/>
  <c r="F17" i="3"/>
  <c r="I17" i="3" s="1"/>
  <c r="I16" i="3"/>
  <c r="J16" i="3" s="1"/>
  <c r="H31" i="2" s="1"/>
  <c r="F16" i="3"/>
  <c r="F15" i="3"/>
  <c r="I15" i="3" s="1"/>
  <c r="I14" i="3"/>
  <c r="J14" i="3" s="1"/>
  <c r="H29" i="2" s="1"/>
  <c r="F14" i="3"/>
  <c r="F13" i="3"/>
  <c r="I13" i="3" s="1"/>
  <c r="F12" i="3"/>
  <c r="I12" i="3" s="1"/>
  <c r="F11" i="3"/>
  <c r="I11" i="3" s="1"/>
  <c r="I10" i="3"/>
  <c r="J10" i="3" s="1"/>
  <c r="H25" i="2" s="1"/>
  <c r="F10" i="3"/>
  <c r="F9" i="3"/>
  <c r="I9" i="3" s="1"/>
  <c r="I8" i="3"/>
  <c r="J8" i="3" s="1"/>
  <c r="H23" i="2" s="1"/>
  <c r="F8" i="3"/>
  <c r="P6" i="3"/>
  <c r="J17" i="2" s="1"/>
  <c r="O6" i="3"/>
  <c r="F10" i="2" s="1"/>
  <c r="N6" i="3"/>
  <c r="D10" i="2" s="1"/>
  <c r="M6" i="3"/>
  <c r="H6" i="3"/>
  <c r="H10" i="2" s="1"/>
  <c r="G6" i="3"/>
  <c r="B17" i="2" s="1"/>
  <c r="F6" i="3"/>
  <c r="B10" i="2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F32" i="2"/>
  <c r="E32" i="2"/>
  <c r="D32" i="2"/>
  <c r="C32" i="2"/>
  <c r="B32" i="2"/>
  <c r="J31" i="2"/>
  <c r="I31" i="2"/>
  <c r="G31" i="2"/>
  <c r="F31" i="2"/>
  <c r="E31" i="2"/>
  <c r="D31" i="2"/>
  <c r="K32" i="2" s="1"/>
  <c r="C31" i="2"/>
  <c r="B31" i="2"/>
  <c r="K30" i="2"/>
  <c r="J30" i="2"/>
  <c r="I30" i="2"/>
  <c r="F30" i="2"/>
  <c r="E30" i="2"/>
  <c r="D30" i="2"/>
  <c r="K31" i="2" s="1"/>
  <c r="C30" i="2"/>
  <c r="B30" i="2"/>
  <c r="J29" i="2"/>
  <c r="I29" i="2"/>
  <c r="G29" i="2"/>
  <c r="F29" i="2"/>
  <c r="E29" i="2"/>
  <c r="D29" i="2"/>
  <c r="K29" i="2" s="1"/>
  <c r="C29" i="2"/>
  <c r="B29" i="2"/>
  <c r="J28" i="2"/>
  <c r="I28" i="2"/>
  <c r="F28" i="2"/>
  <c r="E28" i="2"/>
  <c r="D28" i="2"/>
  <c r="C28" i="2"/>
  <c r="B28" i="2"/>
  <c r="J27" i="2"/>
  <c r="I27" i="2"/>
  <c r="F27" i="2"/>
  <c r="E27" i="2"/>
  <c r="D27" i="2"/>
  <c r="K28" i="2" s="1"/>
  <c r="C27" i="2"/>
  <c r="B27" i="2"/>
  <c r="K26" i="2"/>
  <c r="J26" i="2"/>
  <c r="I26" i="2"/>
  <c r="F26" i="2"/>
  <c r="E26" i="2"/>
  <c r="D26" i="2"/>
  <c r="K27" i="2" s="1"/>
  <c r="C26" i="2"/>
  <c r="B26" i="2"/>
  <c r="J25" i="2"/>
  <c r="I25" i="2"/>
  <c r="G25" i="2"/>
  <c r="F25" i="2"/>
  <c r="E25" i="2"/>
  <c r="D25" i="2"/>
  <c r="K25" i="2" s="1"/>
  <c r="C25" i="2"/>
  <c r="B25" i="2"/>
  <c r="J24" i="2"/>
  <c r="I24" i="2"/>
  <c r="F24" i="2"/>
  <c r="E24" i="2"/>
  <c r="D24" i="2"/>
  <c r="C24" i="2"/>
  <c r="B24" i="2"/>
  <c r="J23" i="2"/>
  <c r="I23" i="2"/>
  <c r="G23" i="2"/>
  <c r="F23" i="2"/>
  <c r="E23" i="2"/>
  <c r="D23" i="2"/>
  <c r="K24" i="2" s="1"/>
  <c r="C23" i="2"/>
  <c r="B23" i="2"/>
  <c r="L17" i="2"/>
  <c r="H17" i="2"/>
  <c r="D17" i="2"/>
  <c r="D94" i="1"/>
  <c r="F94" i="1" s="1"/>
  <c r="C94" i="1"/>
  <c r="C93" i="1"/>
  <c r="D93" i="1" s="1"/>
  <c r="F93" i="1" s="1"/>
  <c r="E92" i="1"/>
  <c r="E95" i="1" s="1"/>
  <c r="C92" i="1"/>
  <c r="D92" i="1" s="1"/>
  <c r="E87" i="1"/>
  <c r="D87" i="1"/>
  <c r="C87" i="1"/>
  <c r="F87" i="1" s="1"/>
  <c r="F86" i="1"/>
  <c r="F88" i="1" s="1"/>
  <c r="E86" i="1"/>
  <c r="E88" i="1" s="1"/>
  <c r="D86" i="1"/>
  <c r="D88" i="1" s="1"/>
  <c r="C86" i="1"/>
  <c r="C88" i="1" s="1"/>
  <c r="C80" i="1"/>
  <c r="C79" i="1"/>
  <c r="D79" i="1" s="1"/>
  <c r="C78" i="1"/>
  <c r="D78" i="1" s="1"/>
  <c r="C77" i="1"/>
  <c r="D77" i="1" s="1"/>
  <c r="C76" i="1"/>
  <c r="C74" i="1"/>
  <c r="D74" i="1" s="1"/>
  <c r="C73" i="1"/>
  <c r="D73" i="1" s="1"/>
  <c r="C72" i="1"/>
  <c r="D45" i="2" s="1"/>
  <c r="D68" i="1"/>
  <c r="E8" i="1" s="1"/>
  <c r="D55" i="1"/>
  <c r="D42" i="1"/>
  <c r="E30" i="1"/>
  <c r="D29" i="1"/>
  <c r="F29" i="1" s="1"/>
  <c r="F28" i="1"/>
  <c r="E28" i="1"/>
  <c r="F27" i="1"/>
  <c r="E27" i="1"/>
  <c r="D23" i="1"/>
  <c r="C75" i="1" s="1"/>
  <c r="D75" i="1" s="1"/>
  <c r="D9" i="1"/>
  <c r="F53" i="2" s="1"/>
  <c r="C9" i="1"/>
  <c r="D53" i="2" s="1"/>
  <c r="E7" i="1"/>
  <c r="L51" i="2" s="1"/>
  <c r="E6" i="1"/>
  <c r="H50" i="2" s="1"/>
  <c r="E70" i="6"/>
  <c r="D70" i="6"/>
  <c r="F61" i="6"/>
  <c r="F62" i="6" s="1"/>
  <c r="F63" i="6" s="1"/>
  <c r="F64" i="6" s="1"/>
  <c r="F65" i="6" s="1"/>
  <c r="F66" i="6" s="1"/>
  <c r="F67" i="6" s="1"/>
  <c r="F68" i="6" s="1"/>
  <c r="F69" i="6" s="1"/>
  <c r="C39" i="6"/>
  <c r="B39" i="6"/>
  <c r="E29" i="6"/>
  <c r="G29" i="6" s="1"/>
  <c r="A29" i="6"/>
  <c r="C28" i="6"/>
  <c r="E28" i="6" s="1"/>
  <c r="G28" i="6" s="1"/>
  <c r="A28" i="6"/>
  <c r="C27" i="6"/>
  <c r="E27" i="6" s="1"/>
  <c r="G27" i="6" s="1"/>
  <c r="A27" i="6"/>
  <c r="C26" i="6"/>
  <c r="E26" i="6" s="1"/>
  <c r="G26" i="6" s="1"/>
  <c r="A26" i="6"/>
  <c r="A25" i="6"/>
  <c r="C24" i="6"/>
  <c r="E24" i="6" s="1"/>
  <c r="G24" i="6" s="1"/>
  <c r="A24" i="6"/>
  <c r="A23" i="6"/>
  <c r="A22" i="6"/>
  <c r="K11" i="6"/>
  <c r="L11" i="6" s="1"/>
  <c r="C25" i="6" s="1"/>
  <c r="E25" i="6" s="1"/>
  <c r="G25" i="6" s="1"/>
  <c r="K9" i="6"/>
  <c r="L9" i="6" s="1"/>
  <c r="C23" i="6" s="1"/>
  <c r="E23" i="6" s="1"/>
  <c r="G23" i="6" s="1"/>
  <c r="K8" i="6"/>
  <c r="L8" i="6" s="1"/>
  <c r="C22" i="6" s="1"/>
  <c r="E22" i="6" s="1"/>
  <c r="G22" i="6" s="1"/>
  <c r="D6" i="6"/>
  <c r="Q6" i="3" l="1"/>
  <c r="J11" i="3"/>
  <c r="H26" i="2" s="1"/>
  <c r="G26" i="2"/>
  <c r="J17" i="3"/>
  <c r="H32" i="2" s="1"/>
  <c r="G32" i="2"/>
  <c r="J12" i="3"/>
  <c r="H27" i="2" s="1"/>
  <c r="G27" i="2"/>
  <c r="F70" i="6"/>
  <c r="G70" i="6"/>
  <c r="F8" i="1"/>
  <c r="J52" i="2" s="1"/>
  <c r="L52" i="2"/>
  <c r="H52" i="2"/>
  <c r="F92" i="1"/>
  <c r="F95" i="1" s="1"/>
  <c r="G95" i="1" s="1"/>
  <c r="D95" i="1"/>
  <c r="J13" i="3"/>
  <c r="H28" i="2" s="1"/>
  <c r="G28" i="2"/>
  <c r="J9" i="3"/>
  <c r="H24" i="2" s="1"/>
  <c r="G24" i="2"/>
  <c r="J15" i="3"/>
  <c r="H30" i="2" s="1"/>
  <c r="G30" i="2"/>
  <c r="G30" i="6"/>
  <c r="C81" i="1"/>
  <c r="F45" i="2"/>
  <c r="E9" i="1"/>
  <c r="L50" i="2"/>
  <c r="L10" i="2"/>
  <c r="F7" i="1"/>
  <c r="J51" i="2" s="1"/>
  <c r="I6" i="3"/>
  <c r="H51" i="2"/>
  <c r="E6" i="5"/>
  <c r="E29" i="1"/>
  <c r="F6" i="1"/>
  <c r="F6" i="5"/>
  <c r="D76" i="1"/>
  <c r="D80" i="1"/>
  <c r="F9" i="1" l="1"/>
  <c r="J53" i="2" s="1"/>
  <c r="J50" i="2"/>
  <c r="L53" i="2"/>
  <c r="H53" i="2"/>
  <c r="D81" i="1"/>
  <c r="C82" i="1"/>
  <c r="D82" i="1" s="1"/>
  <c r="J10" i="2"/>
  <c r="J6" i="3"/>
  <c r="F17" i="2" s="1"/>
</calcChain>
</file>

<file path=xl/sharedStrings.xml><?xml version="1.0" encoding="utf-8"?>
<sst xmlns="http://schemas.openxmlformats.org/spreadsheetml/2006/main" count="2339" uniqueCount="878">
  <si>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</si>
  <si>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</si>
  <si>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</si>
  <si>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</si>
  <si>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</si>
  <si>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</si>
  <si>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Mon</t>
  </si>
  <si>
    <t>Tue</t>
  </si>
  <si>
    <t>Wed</t>
  </si>
  <si>
    <t>Thu</t>
  </si>
  <si>
    <t>Fri</t>
  </si>
  <si>
    <t>Sat</t>
  </si>
  <si>
    <t>Sun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</si>
  <si>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</si>
  <si>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</si>
  <si>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</si>
  <si>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</si>
  <si>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</si>
  <si>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</si>
  <si>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</si>
  <si>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</si>
  <si>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</si>
  <si>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</si>
  <si>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—</t>
  </si>
  <si>
    <t>Judith</t>
  </si>
  <si>
    <t>Mesera / Waitress</t>
  </si>
  <si>
    <t xml:space="preserve">  MONTHLY PAYROLL PROJECTION</t>
  </si>
  <si>
    <t>x Weeks/Month</t>
  </si>
  <si>
    <t>Monthly ($)</t>
  </si>
  <si>
    <t>IMSS / Benefits %</t>
  </si>
  <si>
    <t>Total Monthly Cost ($)</t>
  </si>
  <si>
    <t>Notes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</si>
  <si>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</si>
  <si>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</si>
  <si>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</si>
  <si>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</si>
  <si>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</si>
  <si>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</si>
  <si>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</si>
  <si>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</si>
  <si>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</si>
  <si>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</si>
  <si>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</si>
  <si>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</si>
  <si>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</si>
  <si>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</si>
  <si>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</si>
  <si>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</si>
  <si>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</si>
  <si>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</si>
  <si>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</si>
  <si>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</si>
  <si>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Before ingredients &amp; supplies</t>
  </si>
  <si>
    <t>── WITH MESERO / WAITER — ✅ JUDITH HIRED (1 Jun 2026) ──</t>
  </si>
  <si>
    <t>Judith — Mesera Salary</t>
  </si>
  <si>
    <t>Confirmed — $2,000/week · $333.33/day · absent days deducted</t>
  </si>
  <si>
    <t>With Judith — Mesera (✅ ACTIVE from 1 Jun)</t>
  </si>
  <si>
    <t>✅ NOW ACTIVE — current avg $4,011/day vs break-even $3959/day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</si>
  <si>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</si>
  <si>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</si>
  <si>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</si>
  <si>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</si>
  <si>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</si>
  <si>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</si>
  <si>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</si>
  <si>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STATUS</t>
  </si>
  <si>
    <t>Without Mesero (NOW)</t>
  </si>
  <si>
    <t>✅ Above break-even — revised down from $3,792 → $3,625/day</t>
  </si>
  <si>
    <t>With Mesero (~$2,250)</t>
  </si>
  <si>
    <t>⚠️ Still below — need +$-11/day when mesero hired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</si>
  <si>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</si>
  <si>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</si>
  <si>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</si>
  <si>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</si>
  <si>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</si>
  <si>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</si>
  <si>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</si>
  <si>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LOHITH PERSONAL LEDGER — OWNER BALANCE TRACKER ──</t>
  </si>
  <si>
    <t>Date</t>
  </si>
  <si>
    <t>Description</t>
  </si>
  <si>
    <t>Type</t>
  </si>
  <si>
    <t>Spent by Lohith ($)</t>
  </si>
  <si>
    <t>Transferred to Lohith ($)</t>
  </si>
  <si>
    <t>Running Balance ($)</t>
  </si>
  <si>
    <t>Status</t>
  </si>
  <si>
    <t>Telmex Internet Bill (Mayo)</t>
  </si>
  <si>
    <t>Expense - Personal</t>
  </si>
  <si>
    <t>⏳ Reimburse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</si>
  <si>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</si>
  <si>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</si>
  <si>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</si>
  <si>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</si>
  <si>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</si>
  <si>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</si>
  <si>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</si>
  <si>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</si>
  <si>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</si>
  <si>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</si>
  <si>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</si>
  <si>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</si>
  <si>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</si>
  <si>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</si>
  <si>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</si>
  <si>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</si>
  <si>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</si>
  <si>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</si>
  <si>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</si>
  <si>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TOTALS &amp; CURRENT BALANCE</t>
  </si>
  <si>
    <t>HOW TO USE:</t>
  </si>
  <si>
    <t>Add new rows above TOTALS. Spent by Lohith = restaurant expenses he paid personally.</t>
  </si>
  <si>
    <t>Transferred to Lohith = customer bank transfers received in his personal account.</t>
  </si>
  <si>
    <t>Positive balance = restaurant owes Lohith. Negative = Lohith holds restaurant funds.</t>
  </si>
  <si>
    <t>LOKA  —  CAPITAL, OWNERSHIP &amp; PRE-OPENING EXPENSES</t>
  </si>
  <si>
    <t>Last updated: 6 Jun 2026  |  Capital, Acquisition &amp; Pre-Opening Expenses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</si>
  <si>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</si>
  <si>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</si>
  <si>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</si>
  <si>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</si>
  <si>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</si>
  <si>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</si>
  <si>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</si>
  <si>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</si>
  <si>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</si>
  <si>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</si>
  <si>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</si>
  <si>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</si>
  <si>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</si>
  <si>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</si>
  <si>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</si>
  <si>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Amount ($)</t>
  </si>
  <si>
    <t>Paid By</t>
  </si>
  <si>
    <t>TOTAL Purchase Price — Previous Owners</t>
  </si>
  <si>
    <t>All Partners</t>
  </si>
  <si>
    <t>⚠️ PARTIALLY PAID — $134,500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</si>
  <si>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</si>
  <si>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</si>
  <si>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</si>
  <si>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</si>
  <si>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</si>
  <si>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</si>
  <si>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</si>
  <si>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</si>
  <si>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</si>
  <si>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</si>
  <si>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</si>
  <si>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</si>
  <si>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</si>
  <si>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</si>
  <si>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</si>
  <si>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</si>
  <si>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Balance Remaining</t>
  </si>
  <si>
    <t>⏳ PENDING</t>
  </si>
  <si>
    <t>$390,000 − $255,500 paid = $134,500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</si>
  <si>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</si>
  <si>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</si>
  <si>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</si>
  <si>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</si>
  <si>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</si>
  <si>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</si>
  <si>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</si>
  <si>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</si>
  <si>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</si>
  <si>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</si>
  <si>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</si>
  <si>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</si>
  <si>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</si>
  <si>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</si>
  <si>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</si>
  <si>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</si>
  <si>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</si>
  <si>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</si>
  <si>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</si>
  <si>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</si>
  <si>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</si>
  <si>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</si>
  <si>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</si>
  <si>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</si>
  <si>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</si>
  <si>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</si>
  <si>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</si>
  <si>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</si>
  <si>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</si>
  <si>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</si>
  <si>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</si>
  <si>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</si>
  <si>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</si>
  <si>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</si>
  <si>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</si>
  <si>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</si>
  <si>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</si>
  <si>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</si>
  <si>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</si>
  <si>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</si>
  <si>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</si>
  <si>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</si>
  <si>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</si>
  <si>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</si>
  <si>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</si>
  <si>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</si>
  <si>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</si>
  <si>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</si>
  <si>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</si>
  <si>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</si>
  <si>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</si>
  <si>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</si>
  <si>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</si>
  <si>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</si>
  <si>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</si>
  <si>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</si>
  <si>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</si>
  <si>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</si>
  <si>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</si>
  <si>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</si>
  <si>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</si>
  <si>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</si>
  <si>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</si>
  <si>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</si>
  <si>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</si>
  <si>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</si>
  <si>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</si>
  <si>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</si>
  <si>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</si>
  <si>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</si>
  <si>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</si>
  <si>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</si>
  <si>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</si>
  <si>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</si>
  <si>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</si>
  <si>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</si>
  <si>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</si>
  <si>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</si>
  <si>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</si>
  <si>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</si>
  <si>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</si>
  <si>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</si>
  <si>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</si>
  <si>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</si>
  <si>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</si>
  <si>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</si>
  <si>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</si>
  <si>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</si>
  <si>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</si>
  <si>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</si>
  <si>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</si>
  <si>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</si>
  <si>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</si>
  <si>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</si>
  <si>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</si>
  <si>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</si>
  <si>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</si>
  <si>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</si>
  <si>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</si>
  <si>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</si>
  <si>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</si>
  <si>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</si>
  <si>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</si>
  <si>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</si>
  <si>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</si>
  <si>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</si>
  <si>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</si>
  <si>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</si>
  <si>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</si>
  <si>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</si>
  <si>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</si>
  <si>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</si>
  <si>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</si>
  <si>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</si>
  <si>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</si>
  <si>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</si>
  <si>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</si>
  <si>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</si>
  <si>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</si>
  <si>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</si>
  <si>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</si>
  <si>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</si>
  <si>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</si>
  <si>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</si>
  <si>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</si>
  <si>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</si>
  <si>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</si>
  <si>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</si>
  <si>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</si>
  <si>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</si>
  <si>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</si>
  <si>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</si>
  <si>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</si>
  <si>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</si>
  <si>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</si>
  <si>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</si>
  <si>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</si>
  <si>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</si>
  <si>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</si>
  <si>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</si>
  <si>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</si>
  <si>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</si>
  <si>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</si>
  <si>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</si>
  <si>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</si>
  <si>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</si>
  <si>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</si>
  <si>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</si>
  <si>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</si>
  <si>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</si>
  <si>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</si>
  <si>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</si>
  <si>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</si>
  <si>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</si>
  <si>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</si>
  <si>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</si>
  <si>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</si>
  <si>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</si>
  <si>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</si>
  <si>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</si>
  <si>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</si>
  <si>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</si>
  <si>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</si>
  <si>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</si>
  <si>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</si>
  <si>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</si>
  <si>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</si>
  <si>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</si>
  <si>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</si>
  <si>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</si>
  <si>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</si>
  <si>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</si>
  <si>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</si>
  <si>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</si>
  <si>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</si>
  <si>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</si>
  <si>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</si>
  <si>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</si>
  <si>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</si>
  <si>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18-May-2026</t>
  </si>
  <si>
    <t>Manual Bills</t>
  </si>
  <si>
    <t>19-May-2026</t>
  </si>
  <si>
    <t>20-May-2026</t>
  </si>
  <si>
    <t>21-May-2026</t>
  </si>
  <si>
    <t>22-May-2026</t>
  </si>
  <si>
    <t>23-May-2026</t>
  </si>
  <si>
    <t>Payroll week — John $3,250 + Debi $1,500 + Victor $666 + Tips $1,198</t>
  </si>
  <si>
    <t>24-May-2026</t>
  </si>
  <si>
    <t>🔴 CLOSED — Sunday. Expenses are prep purchases for the week ahead.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</si>
  <si>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</si>
  <si>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</si>
  <si>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</si>
  <si>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</si>
  <si>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</si>
  <si>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</si>
  <si>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</si>
  <si>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</si>
  <si>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</si>
  <si>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</si>
  <si>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</si>
  <si>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</si>
  <si>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</si>
  <si>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</si>
  <si>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</si>
  <si>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</si>
  <si>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</si>
  <si>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</si>
  <si>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</si>
  <si>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</si>
  <si>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</si>
  <si>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</si>
  <si>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</si>
  <si>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</si>
  <si>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</si>
  <si>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</si>
  <si>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</si>
  <si>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</si>
  <si>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</si>
  <si>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</si>
  <si>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</si>
  <si>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</si>
  <si>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</si>
  <si>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</si>
  <si>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</si>
  <si>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</si>
  <si>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</si>
  <si>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</si>
  <si>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</si>
  <si>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</si>
  <si>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</si>
  <si>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</si>
  <si>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</si>
  <si>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</si>
  <si>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</si>
  <si>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</si>
  <si>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</si>
  <si>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</si>
  <si>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</si>
  <si>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</si>
  <si>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</si>
  <si>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</si>
  <si>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</si>
  <si>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</si>
  <si>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</si>
  <si>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</si>
  <si>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</si>
  <si>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</si>
  <si>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</si>
  <si>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</si>
  <si>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</si>
  <si>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</si>
  <si>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</si>
  <si>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</si>
  <si>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</si>
  <si>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</si>
  <si>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</si>
  <si>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</si>
  <si>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</si>
  <si>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</si>
  <si>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</si>
  <si>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</si>
  <si>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</si>
  <si>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</si>
  <si>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</si>
  <si>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</si>
  <si>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</si>
  <si>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</si>
  <si>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</si>
  <si>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</si>
  <si>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</si>
  <si>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</si>
  <si>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</si>
  <si>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</si>
  <si>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</si>
  <si>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</si>
  <si>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Propinas - John (6 dias)</t>
  </si>
  <si>
    <t>Dist. propinas sem 1</t>
  </si>
  <si>
    <t>Staff - Tips Distribution</t>
  </si>
  <si>
    <t>Tips distribution Week 1</t>
  </si>
  <si>
    <t>Propinas - Debi (6 dias)</t>
  </si>
  <si>
    <t>Propinas - Victor (2 dias)</t>
  </si>
  <si>
    <t>Yet to pay Victor — Week 1 tips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</si>
  <si>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</si>
  <si>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</si>
  <si>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</si>
  <si>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</si>
  <si>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</si>
  <si>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</si>
  <si>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</si>
  <si>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</si>
  <si>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</si>
  <si>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</si>
  <si>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</si>
  <si>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</si>
  <si>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</si>
  <si>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</si>
  <si>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</si>
  <si>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</si>
  <si>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</si>
  <si>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</si>
  <si>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</si>
  <si>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</si>
  <si>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</si>
  <si>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</si>
  <si>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</si>
  <si>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</si>
  <si>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</si>
  <si>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</si>
  <si>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</si>
  <si>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</si>
  <si>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</si>
  <si>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</si>
  <si>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</si>
  <si>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</si>
  <si>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</si>
  <si>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</si>
  <si>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</si>
  <si>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</si>
  <si>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</si>
  <si>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</si>
  <si>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</si>
  <si>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</si>
  <si>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</si>
  <si>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</si>
  <si>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</si>
  <si>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</si>
  <si>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</si>
  <si>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</si>
  <si>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</si>
  <si>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</si>
  <si>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</si>
  <si>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</si>
  <si>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</si>
  <si>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</si>
  <si>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</si>
  <si>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</si>
  <si>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</si>
  <si>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</si>
  <si>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</si>
  <si>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</si>
  <si>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</si>
  <si>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</si>
  <si>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</si>
  <si>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</si>
  <si>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</si>
  <si>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</si>
  <si>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</si>
  <si>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</si>
  <si>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</si>
  <si>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</si>
  <si>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</si>
  <si>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</si>
  <si>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</si>
  <si>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</si>
  <si>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</si>
  <si>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</si>
  <si>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</si>
  <si>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</si>
  <si>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</si>
  <si>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</si>
  <si>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</si>
  <si>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</si>
  <si>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</si>
  <si>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</si>
  <si>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</si>
  <si>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</si>
  <si>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</si>
  <si>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</si>
  <si>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</si>
  <si>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</si>
  <si>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</si>
  <si>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</si>
  <si>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</si>
  <si>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</si>
  <si>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</si>
  <si>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</si>
  <si>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</si>
  <si>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</si>
  <si>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</si>
  <si>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</si>
  <si>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</si>
  <si>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</si>
  <si>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</si>
  <si>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</si>
  <si>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</si>
  <si>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</si>
  <si>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</si>
  <si>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</si>
  <si>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</si>
  <si>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</si>
  <si>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</si>
  <si>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</si>
  <si>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</si>
  <si>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</si>
  <si>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</si>
  <si>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</si>
  <si>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</si>
  <si>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</si>
  <si>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</si>
  <si>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</si>
  <si>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</si>
  <si>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</si>
  <si>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</si>
  <si>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</si>
  <si>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</si>
  <si>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</si>
  <si>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</si>
  <si>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</si>
  <si>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</si>
  <si>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</si>
  <si>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</si>
  <si>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Propinas - John (Week 2)</t>
  </si>
  <si>
    <t>Week 2 propinas — John</t>
  </si>
  <si>
    <t>Propinas - Duvi/Debi (Week 2)</t>
  </si>
  <si>
    <t>Week 2 propinas — Duvi/Debi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</si>
  <si>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</si>
  <si>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</si>
  <si>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</si>
  <si>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</si>
  <si>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</si>
  <si>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</si>
  <si>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</si>
  <si>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</si>
  <si>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</si>
  <si>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</si>
  <si>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</si>
  <si>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</si>
  <si>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</si>
  <si>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</si>
  <si>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</si>
  <si>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</si>
  <si>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</si>
  <si>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</si>
  <si>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</si>
  <si>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</si>
  <si>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</si>
  <si>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</si>
  <si>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</si>
  <si>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</si>
  <si>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</si>
  <si>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</si>
  <si>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</si>
  <si>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</si>
  <si>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</si>
  <si>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</si>
  <si>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</si>
  <si>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</si>
  <si>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</si>
  <si>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</si>
  <si>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</si>
  <si>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</si>
  <si>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</si>
  <si>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</si>
  <si>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</si>
  <si>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</si>
  <si>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</si>
  <si>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</si>
  <si>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</si>
  <si>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</si>
  <si>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</si>
  <si>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</si>
  <si>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</si>
  <si>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Internet bill — paid personally on 30 May, logged 1 June</t>
  </si>
  <si>
    <t>Suscripcion Cloud Camaras - 7Day/1Year (pago 1/2)</t>
  </si>
  <si>
    <t>Shenzhen Tange / PayPal</t>
  </si>
  <si>
    <t>Technology / Software</t>
  </si>
  <si>
    <t>US$23.90 @ 0.0548 — camera cloud recording subscription — 1 yr</t>
  </si>
  <si>
    <t>Suscripcion Cloud Camaras - 7Day/1Year (pago 2/2)</t>
  </si>
  <si>
    <t>US$23.90 @ 0.0547 — camera cloud recording subscription — 1 yr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</si>
  <si>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</si>
  <si>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</si>
  <si>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</si>
  <si>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</si>
  <si>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</si>
  <si>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</si>
  <si>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</si>
  <si>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</si>
  <si>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</si>
  <si>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</si>
  <si>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</si>
  <si>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</si>
  <si>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</si>
  <si>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</si>
  <si>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</si>
  <si>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</si>
  <si>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</si>
  <si>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</si>
  <si>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</si>
  <si>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</si>
  <si>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</si>
  <si>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</si>
  <si>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</si>
  <si>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</si>
  <si>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</si>
  <si>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</si>
  <si>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</si>
  <si>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</si>
  <si>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</si>
  <si>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</si>
  <si>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</si>
  <si>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</si>
  <si>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</si>
  <si>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</si>
  <si>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</si>
  <si>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</si>
  <si>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</si>
  <si>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</si>
  <si>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</si>
  <si>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</si>
  <si>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</si>
  <si>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</si>
  <si>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</si>
  <si>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</si>
  <si>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</si>
  <si>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</si>
  <si>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</si>
  <si>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</si>
  <si>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</si>
  <si>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</si>
  <si>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</si>
  <si>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</si>
  <si>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</si>
  <si>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</si>
  <si>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</si>
  <si>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</si>
  <si>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</si>
  <si>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</si>
  <si>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</si>
  <si>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</si>
  <si>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</si>
  <si>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</si>
  <si>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</si>
  <si>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</si>
  <si>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</si>
  <si>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</si>
  <si>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</si>
  <si>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</si>
  <si>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</si>
  <si>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</si>
  <si>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</si>
  <si>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</si>
  <si>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</si>
  <si>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</si>
  <si>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</si>
  <si>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</si>
  <si>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</si>
  <si>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</si>
  <si>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</si>
  <si>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</si>
  <si>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</si>
  <si>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</si>
  <si>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</si>
  <si>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</si>
  <si>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</si>
  <si>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</si>
  <si>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</si>
  <si>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</si>
  <si>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</si>
  <si>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</si>
  <si>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</si>
  <si>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</si>
  <si>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Milanesa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</si>
  <si>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</si>
  <si>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</si>
  <si>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</si>
  <si>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</si>
  <si>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</si>
  <si>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</si>
  <si>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</si>
  <si>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</si>
  <si>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</si>
  <si>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</si>
  <si>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</si>
  <si>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</si>
  <si>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</si>
  <si>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</si>
  <si>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</si>
  <si>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</si>
  <si>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</si>
  <si>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</si>
  <si>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</si>
  <si>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</si>
  <si>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</si>
  <si>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</si>
  <si>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</si>
  <si>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</si>
  <si>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</si>
  <si>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</si>
  <si>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</si>
  <si>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</si>
  <si>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</si>
  <si>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</si>
  <si>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</si>
  <si>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</si>
  <si>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</si>
  <si>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</si>
  <si>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</si>
  <si>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</si>
  <si>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</si>
  <si>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</si>
  <si>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</si>
  <si>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</si>
  <si>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</si>
  <si>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</si>
  <si>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</si>
  <si>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</si>
  <si>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</si>
  <si>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</si>
  <si>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</si>
  <si>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</si>
  <si>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</si>
  <si>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</si>
  <si>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</si>
  <si>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</si>
  <si>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</si>
  <si>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</si>
  <si>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Bistec Cerdo</t>
  </si>
  <si>
    <t>Pierna Cerdo</t>
  </si>
  <si>
    <t>Muslo con Hueso</t>
  </si>
  <si>
    <t>Elote en Lata</t>
  </si>
  <si>
    <t>Cebolla</t>
  </si>
  <si>
    <t>Queso Panela</t>
  </si>
  <si>
    <t>Microfibra / Limpieza</t>
  </si>
  <si>
    <t>Concha Chocolate</t>
  </si>
  <si>
    <t>Frijol Bayos</t>
  </si>
  <si>
    <t>Huevo Bachoco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</si>
  <si>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</si>
  <si>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</si>
  <si>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</si>
  <si>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</si>
  <si>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</si>
  <si>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</si>
  <si>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</si>
  <si>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</si>
  <si>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</si>
  <si>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</si>
  <si>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</si>
  <si>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</si>
  <si>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</si>
  <si>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</si>
  <si>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</si>
  <si>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</si>
  <si>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</si>
  <si>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</si>
  <si>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</si>
  <si>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</si>
  <si>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</si>
  <si>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</si>
  <si>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</si>
  <si>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</si>
  <si>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</si>
  <si>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</si>
  <si>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</si>
  <si>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</si>
  <si>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</si>
  <si>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</si>
  <si>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</si>
  <si>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</si>
  <si>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</si>
  <si>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</si>
  <si>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</si>
  <si>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</si>
  <si>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</si>
  <si>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Etrusca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</si>
  <si>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</si>
  <si>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</si>
  <si>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</si>
  <si>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</si>
  <si>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📈  LOKA — MONTHLY P&amp;L</t>
  </si>
  <si>
    <t>Revenue &amp; Expense summary — fill monthly totals from Daily Log &amp; Expenses</t>
  </si>
  <si>
    <t>YEAR: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</si>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</sst>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1" formatCode="0.0%"/>
    <numFmt numFmtId="172" formatCode="dd\-mmm\-yyyy"/>
    <numFmt numFmtId="173" formatCode="#,##0.##;\(#,##0.##\);&quot;-&quot;"/>
  </numFmts>
  <fonts count="8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</fonts>
  <fills count="5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59" fillId="13" borderId="9" xfId="0" applyFont="1" applyFill="1" applyBorder="1" applyAlignment="1">
      <alignment horizontal="right" vertical="center"/>
    </xf>
    <xf numFmtId="0" fontId="49" fillId="19" borderId="13" xfId="0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6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6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0" fontId="43" fillId="18" borderId="9" xfId="0" applyFont="1" applyFill="1" applyBorder="1" applyAlignment="1">
      <alignment horizontal="left" vertical="center"/>
    </xf>
    <xf numFmtId="168" fontId="67" fillId="18" borderId="9" xfId="0" applyNumberFormat="1" applyFont="1" applyFill="1" applyBorder="1" applyAlignment="1">
      <alignment horizontal="center" vertical="center"/>
    </xf>
    <xf numFmtId="0" fontId="40" fillId="16" borderId="9" xfId="0" applyFont="1" applyFill="1" applyBorder="1" applyAlignment="1">
      <alignment horizontal="left" vertical="center"/>
    </xf>
    <xf numFmtId="166" fontId="51" fillId="16" borderId="9" xfId="0" applyNumberFormat="1" applyFont="1" applyFill="1" applyBorder="1" applyAlignment="1">
      <alignment horizontal="center" vertical="center"/>
    </xf>
    <xf numFmtId="0" fontId="51" fillId="16" borderId="9" xfId="0" applyFont="1" applyFill="1" applyBorder="1" applyAlignment="1">
      <alignment horizontal="left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2" fillId="19" borderId="9" xfId="0" applyNumberFormat="1" applyFont="1" applyFill="1" applyBorder="1" applyAlignment="1">
      <alignment horizontal="center" vertical="center"/>
    </xf>
    <xf numFmtId="166" fontId="62" fillId="20" borderId="9" xfId="0" applyNumberFormat="1" applyFont="1" applyFill="1" applyBorder="1" applyAlignment="1">
      <alignment horizontal="center" vertical="center"/>
    </xf>
    <xf numFmtId="166" fontId="37" fillId="17" borderId="9" xfId="0" applyNumberFormat="1" applyFont="1" applyFill="1" applyBorder="1" applyAlignment="1">
      <alignment horizontal="center" vertical="center"/>
    </xf>
    <xf numFmtId="166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0" fontId="0" fillId="0" borderId="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4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164" fontId="75" fillId="43" borderId="1" xfId="0" applyNumberFormat="1" applyFont="1" applyFill="1" applyBorder="1" applyAlignment="1">
      <alignment horizontal="left" vertical="center"/>
    </xf>
    <xf numFmtId="164" fontId="74" fillId="40" borderId="1" xfId="0" applyNumberFormat="1" applyFont="1" applyFill="1" applyBorder="1" applyAlignment="1">
      <alignment horizontal="left" vertical="center"/>
    </xf>
    <xf numFmtId="164" fontId="74" fillId="40" borderId="0" xfId="0" applyNumberFormat="1" applyFont="1" applyFill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0" fontId="0" fillId="0" borderId="12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4" fillId="42" borderId="12" xfId="0" applyNumberFormat="1" applyFont="1" applyFill="1" applyBorder="1" applyAlignment="1">
      <alignment horizontal="left" vertical="center"/>
    </xf>
    <xf numFmtId="164" fontId="75" fillId="43" borderId="12" xfId="0" applyNumberFormat="1" applyFont="1" applyFill="1" applyBorder="1" applyAlignment="1">
      <alignment horizontal="left" vertical="center"/>
    </xf>
    <xf numFmtId="171" fontId="74" fillId="39" borderId="1" xfId="0" applyNumberFormat="1" applyFont="1" applyFill="1" applyBorder="1" applyAlignment="1">
      <alignment horizontal="left" vertical="center"/>
    </xf>
    <xf numFmtId="171" fontId="74" fillId="42" borderId="1" xfId="0" applyNumberFormat="1" applyFont="1" applyFill="1" applyBorder="1" applyAlignment="1">
      <alignment horizontal="left" vertical="center"/>
    </xf>
    <xf numFmtId="171" fontId="74" fillId="41" borderId="1" xfId="0" applyNumberFormat="1" applyFont="1" applyFill="1" applyBorder="1" applyAlignment="1">
      <alignment horizontal="left" vertical="center"/>
    </xf>
    <xf numFmtId="171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71" fontId="74" fillId="39" borderId="0" xfId="0" applyNumberFormat="1" applyFont="1" applyFill="1" applyAlignment="1">
      <alignment horizontal="left" vertical="center"/>
    </xf>
    <xf numFmtId="171" fontId="74" fillId="42" borderId="0" xfId="0" applyNumberFormat="1" applyFont="1" applyFill="1" applyAlignment="1">
      <alignment horizontal="left" vertical="center"/>
    </xf>
    <xf numFmtId="171" fontId="75" fillId="43" borderId="0" xfId="0" applyNumberFormat="1" applyFont="1" applyFill="1" applyAlignment="1">
      <alignment horizontal="left" vertical="center"/>
    </xf>
    <xf numFmtId="172" fontId="73" fillId="40" borderId="0" xfId="0" applyNumberFormat="1" applyFont="1" applyFill="1" applyAlignment="1">
      <alignment horizontal="left" vertical="center"/>
    </xf>
    <xf numFmtId="172" fontId="73" fillId="39" borderId="12" xfId="0" applyNumberFormat="1" applyFont="1" applyFill="1" applyBorder="1" applyAlignment="1">
      <alignment horizontal="left" vertical="center"/>
    </xf>
    <xf numFmtId="173" fontId="74" fillId="39" borderId="12" xfId="0" applyNumberFormat="1" applyFont="1" applyFill="1" applyBorder="1" applyAlignment="1">
      <alignment horizontal="left" vertical="center"/>
    </xf>
    <xf numFmtId="0" fontId="73" fillId="39" borderId="12" xfId="0" applyFont="1" applyFill="1" applyBorder="1" applyAlignment="1">
      <alignment horizontal="left" vertical="center"/>
    </xf>
    <xf numFmtId="0" fontId="73" fillId="39" borderId="12" xfId="0" applyFont="1" applyFill="1" applyBorder="1"/>
    <xf numFmtId="172" fontId="73" fillId="42" borderId="1" xfId="0" applyNumberFormat="1" applyFont="1" applyFill="1" applyBorder="1" applyAlignment="1">
      <alignment horizontal="left" vertical="center"/>
    </xf>
    <xf numFmtId="173" fontId="74" fillId="42" borderId="1" xfId="0" applyNumberFormat="1" applyFont="1" applyFill="1" applyBorder="1" applyAlignment="1">
      <alignment horizontal="left" vertical="center"/>
    </xf>
    <xf numFmtId="172" fontId="73" fillId="39" borderId="1" xfId="0" applyNumberFormat="1" applyFont="1" applyFill="1" applyBorder="1" applyAlignment="1">
      <alignment horizontal="left" vertical="center"/>
    </xf>
    <xf numFmtId="173" fontId="74" fillId="39" borderId="1" xfId="0" applyNumberFormat="1" applyFont="1" applyFill="1" applyBorder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horizontal="left" vertical="center"/>
    </xf>
    <xf numFmtId="164" fontId="74" fillId="0" borderId="0" xfId="0" applyNumberFormat="1" applyFont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7" fillId="42" borderId="0" xfId="0" applyFont="1" applyFill="1"/>
    <xf numFmtId="166" fontId="0" fillId="0" borderId="5" xfId="0" applyNumberFormat="1" applyBorder="1"/>
    <xf numFmtId="0" fontId="80" fillId="47" borderId="0" xfId="0" applyFont="1" applyFill="1"/>
    <xf numFmtId="0" fontId="75" fillId="47" borderId="0" xfId="0" applyFont="1" applyFill="1"/>
    <xf numFmtId="167" fontId="81" fillId="42" borderId="0" xfId="0" applyNumberFormat="1" applyFont="1" applyFill="1"/>
    <xf numFmtId="167" fontId="78" fillId="42" borderId="0" xfId="0" applyNumberFormat="1" applyFont="1" applyFill="1"/>
    <xf numFmtId="0" fontId="77" fillId="48" borderId="0" xfId="0" applyFont="1" applyFill="1"/>
    <xf numFmtId="167" fontId="81" fillId="48" borderId="0" xfId="0" applyNumberFormat="1" applyFont="1" applyFill="1"/>
    <xf numFmtId="167" fontId="78" fillId="48" borderId="0" xfId="0" applyNumberFormat="1" applyFont="1" applyFill="1"/>
    <xf numFmtId="167" fontId="82" fillId="47" borderId="0" xfId="0" applyNumberFormat="1" applyFont="1" applyFill="1"/>
    <xf numFmtId="0" fontId="82" fillId="47" borderId="0" xfId="0" applyFont="1" applyFill="1"/>
    <xf numFmtId="0" fontId="77" fillId="46" borderId="0" xfId="0" applyFont="1" applyFill="1"/>
    <xf numFmtId="167" fontId="81" fillId="46" borderId="0" xfId="0" applyNumberFormat="1" applyFont="1" applyFill="1"/>
    <xf numFmtId="167" fontId="78" fillId="46" borderId="0" xfId="0" applyNumberFormat="1" applyFont="1" applyFill="1"/>
    <xf numFmtId="167" fontId="79" fillId="46" borderId="0" xfId="0" applyNumberFormat="1" applyFont="1" applyFill="1"/>
    <xf numFmtId="167" fontId="83" fillId="46" borderId="0" xfId="0" applyNumberFormat="1" applyFont="1" applyFill="1"/>
    <xf numFmtId="0" fontId="77" fillId="49" borderId="0" xfId="0" applyFont="1" applyFill="1"/>
    <xf numFmtId="167" fontId="81" fillId="49" borderId="0" xfId="0" applyNumberFormat="1" applyFont="1" applyFill="1"/>
    <xf numFmtId="167" fontId="78" fillId="49" borderId="0" xfId="0" applyNumberFormat="1" applyFont="1" applyFill="1"/>
    <xf numFmtId="167" fontId="79" fillId="49" borderId="0" xfId="0" applyNumberFormat="1" applyFont="1" applyFill="1"/>
    <xf numFmtId="167" fontId="83" fillId="49" borderId="0" xfId="0" applyNumberFormat="1" applyFont="1" applyFill="1"/>
    <xf numFmtId="0" fontId="77" fillId="50" borderId="0" xfId="0" applyFont="1" applyFill="1"/>
    <xf numFmtId="167" fontId="81" fillId="50" borderId="0" xfId="0" applyNumberFormat="1" applyFont="1" applyFill="1"/>
    <xf numFmtId="167" fontId="78" fillId="50" borderId="0" xfId="0" applyNumberFormat="1" applyFont="1" applyFill="1"/>
    <xf numFmtId="167" fontId="79" fillId="50" borderId="0" xfId="0" applyNumberFormat="1" applyFont="1" applyFill="1"/>
    <xf numFmtId="167" fontId="83" fillId="50" borderId="0" xfId="0" applyNumberFormat="1" applyFont="1" applyFill="1"/>
    <xf numFmtId="0" fontId="84" fillId="0" borderId="0" xfId="0" applyFont="1"/>
    <xf numFmtId="172" fontId="77" fillId="51" borderId="0" xfId="0" applyNumberFormat="1" applyFont="1" applyFill="1"/>
    <xf numFmtId="0" fontId="77" fillId="51" borderId="0" xfId="0" applyFont="1" applyFill="1"/>
    <xf numFmtId="0" fontId="85" fillId="51" borderId="0" xfId="0" applyFont="1" applyFill="1"/>
    <xf numFmtId="167" fontId="83" fillId="51" borderId="0" xfId="0" applyNumberFormat="1" applyFont="1" applyFill="1"/>
    <xf numFmtId="167" fontId="79" fillId="51" borderId="0" xfId="0" applyNumberFormat="1" applyFont="1" applyFill="1"/>
    <xf numFmtId="167" fontId="81" fillId="51" borderId="0" xfId="0" applyNumberFormat="1" applyFont="1" applyFill="1"/>
    <xf numFmtId="0" fontId="84" fillId="51" borderId="0" xfId="0" applyFont="1" applyFill="1"/>
    <xf numFmtId="172" fontId="77" fillId="46" borderId="0" xfId="0" applyNumberFormat="1" applyFont="1" applyFill="1"/>
    <xf numFmtId="0" fontId="85" fillId="46" borderId="0" xfId="0" applyFont="1" applyFill="1"/>
    <xf numFmtId="0" fontId="84" fillId="46" borderId="0" xfId="0" applyFont="1" applyFill="1"/>
    <xf numFmtId="172" fontId="77" fillId="49" borderId="0" xfId="0" applyNumberFormat="1" applyFont="1" applyFill="1"/>
    <xf numFmtId="0" fontId="85" fillId="49" borderId="0" xfId="0" applyFont="1" applyFill="1"/>
    <xf numFmtId="0" fontId="84" fillId="49" borderId="0" xfId="0" applyFont="1" applyFill="1"/>
    <xf numFmtId="167" fontId="83" fillId="47" borderId="0" xfId="0" applyNumberFormat="1" applyFont="1" applyFill="1"/>
    <xf numFmtId="167" fontId="79" fillId="47" borderId="0" xfId="0" applyNumberFormat="1" applyFont="1" applyFill="1"/>
    <xf numFmtId="167" fontId="81" fillId="47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76" fillId="4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9" xfId="0" applyFont="1" applyFill="1" applyBorder="1" applyAlignment="1">
      <alignment horizontal="center" vertical="center"/>
    </xf>
    <xf numFmtId="0" fontId="0" fillId="0" borderId="5" xfId="0" applyBorder="1"/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1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1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17" fillId="20" borderId="4" xfId="0" applyFont="1" applyFill="1" applyBorder="1" applyAlignment="1">
      <alignment horizontal="left" vertical="center"/>
    </xf>
    <xf numFmtId="0" fontId="25" fillId="19" borderId="9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right" vertical="center"/>
    </xf>
    <xf numFmtId="171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5" fillId="10" borderId="5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5"/>
  <sheetViews>
    <sheetView zoomScaleNormal="100" workbookViewId="0">
      <selection activeCell="D65" sqref="D65"/>
    </sheetView>
  </sheetViews>
  <sheetFormatPr defaultRowHeight="14.4" customHeight="1" x14ac:dyDescent="0.3"/>
  <cols>
    <col min="1" max="1" width="3" customWidth="1"/>
    <col min="2" max="2" width="36" customWidth="1"/>
    <col min="3" max="3" width="18" style="182" customWidth="1"/>
    <col min="4" max="6" width="20" style="182" customWidth="1"/>
    <col min="7" max="7" width="24" customWidth="1"/>
    <col min="8" max="8" width="26" customWidth="1"/>
  </cols>
  <sheetData>
    <row r="1" spans="2:8" ht="36" customHeight="1" x14ac:dyDescent="0.3">
      <c r="B1" s="259" t="s">
        <v>112</v>
      </c>
      <c r="C1" s="260"/>
      <c r="D1" s="260"/>
      <c r="E1" s="260"/>
      <c r="F1" s="260"/>
      <c r="G1" s="261"/>
      <c r="H1" s="261"/>
    </row>
    <row r="2" spans="2:8" ht="24" customHeight="1" x14ac:dyDescent="0.3">
      <c r="B2" s="263" t="s">
        <v>113</v>
      </c>
      <c r="C2" s="260"/>
      <c r="D2" s="260"/>
      <c r="E2" s="260"/>
      <c r="F2" s="260"/>
      <c r="G2" s="261"/>
      <c r="H2" s="261"/>
    </row>
    <row r="4" spans="2:8" ht="25.95" customHeight="1" x14ac:dyDescent="0.3">
      <c r="B4" s="262" t="s">
        <v>114</v>
      </c>
      <c r="C4" s="260"/>
      <c r="D4" s="260"/>
      <c r="E4" s="260"/>
      <c r="F4" s="260"/>
      <c r="G4" s="261"/>
      <c r="H4" s="261"/>
    </row>
    <row r="5" spans="2:8" ht="22.05" customHeight="1" x14ac:dyDescent="0.3">
      <c r="B5" s="167" t="s">
        <v>115</v>
      </c>
      <c r="C5" s="169" t="s">
        <v>116</v>
      </c>
      <c r="D5" s="169" t="s">
        <v>117</v>
      </c>
      <c r="E5" s="169" t="s">
        <v>118</v>
      </c>
      <c r="F5" s="169" t="s">
        <v>119</v>
      </c>
      <c r="G5" s="167" t="s">
        <v>120</v>
      </c>
    </row>
    <row r="6" spans="2:8" ht="19.95" customHeight="1" x14ac:dyDescent="0.3">
      <c r="B6" s="160" t="s">
        <v>121</v>
      </c>
      <c r="C6" s="160">
        <v>0.5</v>
      </c>
      <c r="D6" s="168">
        <v>300000</v>
      </c>
      <c r="E6" s="168">
        <f>D55</f>
        <v>28947</v>
      </c>
      <c r="F6" s="168">
        <f>D6-E6</f>
        <v>271053</v>
      </c>
      <c r="G6" s="160" t="s">
        <v>122</v>
      </c>
    </row>
    <row r="7" spans="2:8" ht="19.95" customHeight="1" x14ac:dyDescent="0.3">
      <c r="B7" s="160" t="s">
        <v>123</v>
      </c>
      <c r="C7" s="160">
        <v>0.3</v>
      </c>
      <c r="D7" s="168">
        <v>180000</v>
      </c>
      <c r="E7" s="168">
        <f>D42</f>
        <v>141568.34</v>
      </c>
      <c r="F7" s="168">
        <f>D7-E7</f>
        <v>38431.660000000003</v>
      </c>
      <c r="G7" s="160" t="s">
        <v>124</v>
      </c>
    </row>
    <row r="8" spans="2:8" ht="19.95" customHeight="1" x14ac:dyDescent="0.3">
      <c r="B8" s="160" t="s">
        <v>125</v>
      </c>
      <c r="C8" s="160">
        <v>0.2</v>
      </c>
      <c r="D8" s="168">
        <v>120000</v>
      </c>
      <c r="E8" s="168">
        <f>D68</f>
        <v>106895</v>
      </c>
      <c r="F8" s="168">
        <f>D8-E8</f>
        <v>13105</v>
      </c>
      <c r="G8" s="160" t="s">
        <v>126</v>
      </c>
    </row>
    <row r="9" spans="2:8" ht="22.05" customHeight="1" x14ac:dyDescent="0.3">
      <c r="B9" s="169" t="s">
        <v>127</v>
      </c>
      <c r="C9" s="177">
        <f>SUM(C6:C8)</f>
        <v>1</v>
      </c>
      <c r="D9" s="177">
        <f>SUM(D6:D8)</f>
        <v>600000</v>
      </c>
      <c r="E9" s="177">
        <f>SUM(E6:E8)</f>
        <v>277410.33999999997</v>
      </c>
      <c r="F9" s="177">
        <f>SUM(F6:F8)</f>
        <v>322589.66000000003</v>
      </c>
      <c r="G9" s="167"/>
    </row>
    <row r="11" spans="2:8" ht="25.95" customHeight="1" x14ac:dyDescent="0.3">
      <c r="B11" s="262" t="s">
        <v>128</v>
      </c>
      <c r="C11" s="260"/>
      <c r="D11" s="260"/>
      <c r="E11" s="260"/>
      <c r="F11" s="260"/>
      <c r="G11" s="261"/>
      <c r="H11" s="261"/>
    </row>
    <row r="12" spans="2:8" ht="22.05" customHeight="1" x14ac:dyDescent="0.3">
      <c r="B12" s="167" t="s">
        <v>79</v>
      </c>
      <c r="C12" s="169" t="s">
        <v>78</v>
      </c>
      <c r="D12" s="169" t="s">
        <v>129</v>
      </c>
      <c r="E12" s="169" t="s">
        <v>130</v>
      </c>
      <c r="F12" s="169" t="s">
        <v>84</v>
      </c>
      <c r="G12" s="167" t="s">
        <v>31</v>
      </c>
    </row>
    <row r="13" spans="2:8" ht="19.95" customHeight="1" x14ac:dyDescent="0.3">
      <c r="B13" s="160" t="s">
        <v>131</v>
      </c>
      <c r="C13" s="160"/>
      <c r="D13" s="168">
        <v>390000</v>
      </c>
      <c r="E13" s="160" t="s">
        <v>132</v>
      </c>
      <c r="F13" s="160" t="s">
        <v>133</v>
      </c>
      <c r="G13" s="160" t="s">
        <v>134</v>
      </c>
    </row>
    <row r="14" spans="2:8" ht="19.95" customHeight="1" x14ac:dyDescent="0.3">
      <c r="B14" s="170" t="s">
        <v>135</v>
      </c>
      <c r="C14" s="170"/>
      <c r="D14" s="178">
        <v>5000</v>
      </c>
      <c r="E14" s="170" t="s">
        <v>121</v>
      </c>
      <c r="F14" s="170" t="s">
        <v>136</v>
      </c>
      <c r="G14" s="170" t="s">
        <v>137</v>
      </c>
    </row>
    <row r="15" spans="2:8" ht="19.95" customHeight="1" x14ac:dyDescent="0.3">
      <c r="B15" s="171" t="s">
        <v>138</v>
      </c>
      <c r="C15" s="203">
        <v>46176</v>
      </c>
      <c r="D15" s="179">
        <v>95000</v>
      </c>
      <c r="E15" s="195" t="s">
        <v>121</v>
      </c>
      <c r="F15" s="195" t="s">
        <v>136</v>
      </c>
      <c r="G15" s="171" t="s">
        <v>139</v>
      </c>
    </row>
    <row r="16" spans="2:8" x14ac:dyDescent="0.3">
      <c r="B16" s="171" t="s">
        <v>140</v>
      </c>
      <c r="C16" s="203">
        <v>46177</v>
      </c>
      <c r="D16" s="179">
        <v>8000</v>
      </c>
      <c r="E16" s="195" t="s">
        <v>121</v>
      </c>
      <c r="F16" s="195" t="s">
        <v>136</v>
      </c>
      <c r="G16" s="171" t="s">
        <v>141</v>
      </c>
    </row>
    <row r="17" spans="2:8" ht="19.95" customHeight="1" x14ac:dyDescent="0.3">
      <c r="B17" s="171" t="s">
        <v>142</v>
      </c>
      <c r="C17" s="203">
        <v>46177</v>
      </c>
      <c r="D17" s="179">
        <v>4500</v>
      </c>
      <c r="E17" s="195" t="s">
        <v>121</v>
      </c>
      <c r="F17" s="195" t="s">
        <v>136</v>
      </c>
      <c r="G17" s="171" t="s">
        <v>143</v>
      </c>
    </row>
    <row r="18" spans="2:8" ht="22.05" customHeight="1" x14ac:dyDescent="0.3">
      <c r="B18" s="171" t="s">
        <v>144</v>
      </c>
      <c r="C18" s="203">
        <v>46177</v>
      </c>
      <c r="D18" s="179">
        <v>15000</v>
      </c>
      <c r="E18" s="195" t="s">
        <v>121</v>
      </c>
      <c r="F18" s="195" t="s">
        <v>136</v>
      </c>
      <c r="G18" s="171" t="s">
        <v>141</v>
      </c>
    </row>
    <row r="19" spans="2:8" ht="19.95" customHeight="1" x14ac:dyDescent="0.3">
      <c r="B19" s="171" t="s">
        <v>145</v>
      </c>
      <c r="C19" s="203">
        <v>46177</v>
      </c>
      <c r="D19" s="179">
        <v>10000</v>
      </c>
      <c r="E19" s="195" t="s">
        <v>121</v>
      </c>
      <c r="F19" s="195" t="s">
        <v>136</v>
      </c>
      <c r="G19" s="171" t="s">
        <v>141</v>
      </c>
    </row>
    <row r="20" spans="2:8" ht="19.95" customHeight="1" x14ac:dyDescent="0.3">
      <c r="B20" s="171" t="s">
        <v>146</v>
      </c>
      <c r="C20" s="203">
        <v>46177</v>
      </c>
      <c r="D20" s="179">
        <v>44000</v>
      </c>
      <c r="E20" s="195" t="s">
        <v>121</v>
      </c>
      <c r="F20" s="195" t="s">
        <v>136</v>
      </c>
      <c r="G20" s="171" t="s">
        <v>141</v>
      </c>
    </row>
    <row r="21" spans="2:8" ht="19.95" customHeight="1" x14ac:dyDescent="0.3">
      <c r="B21" s="171" t="s">
        <v>147</v>
      </c>
      <c r="C21" s="203">
        <v>46177</v>
      </c>
      <c r="D21" s="179">
        <v>44000</v>
      </c>
      <c r="E21" s="195" t="s">
        <v>121</v>
      </c>
      <c r="F21" s="195" t="s">
        <v>136</v>
      </c>
      <c r="G21" s="171" t="s">
        <v>141</v>
      </c>
    </row>
    <row r="22" spans="2:8" ht="19.95" customHeight="1" x14ac:dyDescent="0.3">
      <c r="B22" s="171" t="s">
        <v>148</v>
      </c>
      <c r="C22" s="203">
        <v>46178</v>
      </c>
      <c r="D22" s="179">
        <v>30000</v>
      </c>
      <c r="E22" s="195" t="s">
        <v>121</v>
      </c>
      <c r="F22" s="195" t="s">
        <v>136</v>
      </c>
      <c r="G22" s="171" t="s">
        <v>149</v>
      </c>
    </row>
    <row r="23" spans="2:8" x14ac:dyDescent="0.3">
      <c r="B23" s="172" t="s">
        <v>150</v>
      </c>
      <c r="C23" s="172"/>
      <c r="D23" s="180">
        <f>D13-SUM(D14:D22)</f>
        <v>134500</v>
      </c>
      <c r="E23" s="172" t="s">
        <v>23</v>
      </c>
      <c r="F23" s="172" t="s">
        <v>151</v>
      </c>
      <c r="G23" s="172" t="s">
        <v>152</v>
      </c>
    </row>
    <row r="24" spans="2:8" ht="25.95" customHeight="1" x14ac:dyDescent="0.3">
      <c r="B24" s="261"/>
      <c r="C24" s="260"/>
      <c r="D24" s="260"/>
      <c r="E24" s="260"/>
      <c r="F24" s="260"/>
      <c r="G24" s="261"/>
      <c r="H24" s="261"/>
    </row>
    <row r="25" spans="2:8" ht="22.05" customHeight="1" x14ac:dyDescent="0.3">
      <c r="B25" s="173" t="s">
        <v>153</v>
      </c>
      <c r="C25" s="173"/>
      <c r="D25" s="173"/>
      <c r="E25" s="173"/>
      <c r="F25" s="173"/>
      <c r="G25" s="174"/>
      <c r="H25" s="174"/>
    </row>
    <row r="26" spans="2:8" ht="19.95" customHeight="1" x14ac:dyDescent="0.3">
      <c r="B26" s="167" t="s">
        <v>154</v>
      </c>
      <c r="C26" s="169" t="s">
        <v>155</v>
      </c>
      <c r="D26" s="169" t="s">
        <v>129</v>
      </c>
      <c r="E26" s="169" t="s">
        <v>156</v>
      </c>
      <c r="F26" s="169" t="s">
        <v>157</v>
      </c>
      <c r="G26" s="167" t="s">
        <v>31</v>
      </c>
    </row>
    <row r="27" spans="2:8" ht="19.95" customHeight="1" x14ac:dyDescent="0.3">
      <c r="B27" s="160" t="s">
        <v>158</v>
      </c>
      <c r="C27" s="160" t="s">
        <v>123</v>
      </c>
      <c r="D27" s="168">
        <v>125000</v>
      </c>
      <c r="E27" s="189">
        <f>D27/390000</f>
        <v>0.32051282051282054</v>
      </c>
      <c r="F27" s="168">
        <f>D27</f>
        <v>125000</v>
      </c>
      <c r="G27" s="160" t="s">
        <v>159</v>
      </c>
    </row>
    <row r="28" spans="2:8" ht="19.95" customHeight="1" x14ac:dyDescent="0.3">
      <c r="B28" s="162" t="s">
        <v>160</v>
      </c>
      <c r="C28" s="162" t="s">
        <v>161</v>
      </c>
      <c r="D28" s="181">
        <v>100000</v>
      </c>
      <c r="E28" s="190">
        <f>D28/390000</f>
        <v>0.25641025641025639</v>
      </c>
      <c r="F28" s="181">
        <f>D27+D28</f>
        <v>225000</v>
      </c>
      <c r="G28" s="162" t="s">
        <v>162</v>
      </c>
    </row>
    <row r="29" spans="2:8" ht="19.95" customHeight="1" x14ac:dyDescent="0.3">
      <c r="B29" s="160" t="s">
        <v>163</v>
      </c>
      <c r="C29" s="160" t="s">
        <v>121</v>
      </c>
      <c r="D29" s="168">
        <f>390000-D27-D28</f>
        <v>165000</v>
      </c>
      <c r="E29" s="189">
        <f>D29/390000</f>
        <v>0.42307692307692307</v>
      </c>
      <c r="F29" s="168">
        <f>D27+D28+D29</f>
        <v>390000</v>
      </c>
      <c r="G29" s="160" t="s">
        <v>164</v>
      </c>
    </row>
    <row r="30" spans="2:8" ht="19.95" customHeight="1" x14ac:dyDescent="0.3">
      <c r="B30" s="162" t="s">
        <v>165</v>
      </c>
      <c r="C30" s="162" t="s">
        <v>121</v>
      </c>
      <c r="D30" s="181">
        <v>5000</v>
      </c>
      <c r="E30" s="190">
        <f>D30/390000</f>
        <v>1.282051282051282E-2</v>
      </c>
      <c r="F30" s="181" t="s">
        <v>166</v>
      </c>
      <c r="G30" s="162" t="s">
        <v>167</v>
      </c>
    </row>
    <row r="31" spans="2:8" ht="19.95" customHeight="1" x14ac:dyDescent="0.3"/>
    <row r="32" spans="2:8" ht="19.95" customHeight="1" x14ac:dyDescent="0.3">
      <c r="B32" s="165" t="s">
        <v>168</v>
      </c>
      <c r="C32" s="165"/>
      <c r="D32" s="165"/>
      <c r="E32" s="165"/>
      <c r="F32" s="165"/>
      <c r="G32" s="166"/>
      <c r="H32" s="166"/>
    </row>
    <row r="33" spans="2:8" ht="19.95" customHeight="1" x14ac:dyDescent="0.3">
      <c r="B33" s="167" t="s">
        <v>79</v>
      </c>
      <c r="C33" s="169" t="s">
        <v>78</v>
      </c>
      <c r="D33" s="169" t="s">
        <v>129</v>
      </c>
      <c r="E33" s="169" t="s">
        <v>169</v>
      </c>
      <c r="F33" s="169" t="s">
        <v>170</v>
      </c>
      <c r="G33" s="167" t="s">
        <v>31</v>
      </c>
    </row>
    <row r="34" spans="2:8" ht="22.05" customHeight="1" x14ac:dyDescent="0.3">
      <c r="B34" s="160" t="s">
        <v>171</v>
      </c>
      <c r="C34" s="160"/>
      <c r="D34" s="168">
        <v>125000</v>
      </c>
      <c r="E34" s="160" t="s">
        <v>172</v>
      </c>
      <c r="F34" s="160" t="s">
        <v>173</v>
      </c>
      <c r="G34" s="160" t="s">
        <v>174</v>
      </c>
    </row>
    <row r="35" spans="2:8" x14ac:dyDescent="0.3">
      <c r="B35" s="162" t="s">
        <v>175</v>
      </c>
      <c r="C35" s="162"/>
      <c r="D35" s="181">
        <v>15195</v>
      </c>
      <c r="E35" s="162" t="s">
        <v>176</v>
      </c>
      <c r="F35" s="162" t="s">
        <v>177</v>
      </c>
      <c r="G35" s="162" t="s">
        <v>178</v>
      </c>
    </row>
    <row r="36" spans="2:8" ht="25.95" customHeight="1" x14ac:dyDescent="0.3">
      <c r="B36" s="160" t="s">
        <v>179</v>
      </c>
      <c r="C36" s="196"/>
      <c r="D36" s="183">
        <v>500</v>
      </c>
      <c r="E36" s="196" t="s">
        <v>180</v>
      </c>
      <c r="F36" s="196" t="s">
        <v>181</v>
      </c>
      <c r="G36" s="161" t="s">
        <v>182</v>
      </c>
    </row>
    <row r="37" spans="2:8" ht="22.05" customHeight="1" x14ac:dyDescent="0.3">
      <c r="B37" s="160" t="s">
        <v>183</v>
      </c>
      <c r="C37" s="204">
        <v>46170</v>
      </c>
      <c r="D37" s="205">
        <v>436.12</v>
      </c>
      <c r="E37" s="206" t="s">
        <v>184</v>
      </c>
      <c r="F37" s="206" t="s">
        <v>185</v>
      </c>
      <c r="G37" s="207" t="s">
        <v>186</v>
      </c>
      <c r="H37" s="156"/>
    </row>
    <row r="38" spans="2:8" ht="19.95" customHeight="1" x14ac:dyDescent="0.3">
      <c r="B38" s="162" t="s">
        <v>187</v>
      </c>
      <c r="C38" s="208">
        <v>46171</v>
      </c>
      <c r="D38" s="209">
        <v>437.22</v>
      </c>
      <c r="E38" s="162" t="s">
        <v>184</v>
      </c>
      <c r="F38" s="162" t="s">
        <v>185</v>
      </c>
      <c r="G38" s="162" t="s">
        <v>188</v>
      </c>
    </row>
    <row r="39" spans="2:8" ht="19.95" customHeight="1" x14ac:dyDescent="0.3">
      <c r="B39" s="159"/>
      <c r="C39" s="159"/>
      <c r="D39" s="185"/>
      <c r="E39" s="159"/>
      <c r="F39" s="159"/>
      <c r="G39" s="159"/>
    </row>
    <row r="40" spans="2:8" ht="19.95" customHeight="1" x14ac:dyDescent="0.3">
      <c r="B40" s="159"/>
      <c r="C40" s="159"/>
      <c r="D40" s="185"/>
      <c r="E40" s="159"/>
      <c r="F40" s="159"/>
      <c r="G40" s="159"/>
    </row>
    <row r="41" spans="2:8" ht="19.95" customHeight="1" x14ac:dyDescent="0.3">
      <c r="B41" s="159"/>
      <c r="C41" s="159"/>
      <c r="D41" s="185"/>
      <c r="E41" s="159"/>
      <c r="F41" s="159"/>
      <c r="G41" s="159"/>
    </row>
    <row r="42" spans="2:8" ht="19.95" customHeight="1" x14ac:dyDescent="0.3">
      <c r="B42" s="169" t="s">
        <v>189</v>
      </c>
      <c r="C42" s="169"/>
      <c r="D42" s="177">
        <f>SUM(D34:D41)</f>
        <v>141568.34</v>
      </c>
      <c r="E42" s="169"/>
      <c r="F42" s="169"/>
      <c r="G42" s="167"/>
    </row>
    <row r="43" spans="2:8" ht="19.95" customHeight="1" x14ac:dyDescent="0.3"/>
    <row r="44" spans="2:8" ht="19.95" customHeight="1" x14ac:dyDescent="0.3">
      <c r="B44" s="165" t="s">
        <v>190</v>
      </c>
      <c r="C44" s="165"/>
      <c r="D44" s="165"/>
      <c r="E44" s="165"/>
      <c r="F44" s="165"/>
      <c r="G44" s="166"/>
      <c r="H44" s="166"/>
    </row>
    <row r="45" spans="2:8" ht="19.95" customHeight="1" x14ac:dyDescent="0.3">
      <c r="B45" s="167" t="s">
        <v>79</v>
      </c>
      <c r="C45" s="169" t="s">
        <v>78</v>
      </c>
      <c r="D45" s="169" t="s">
        <v>129</v>
      </c>
      <c r="E45" s="169" t="s">
        <v>169</v>
      </c>
      <c r="F45" s="169" t="s">
        <v>170</v>
      </c>
      <c r="G45" s="167" t="s">
        <v>31</v>
      </c>
    </row>
    <row r="46" spans="2:8" ht="19.95" customHeight="1" x14ac:dyDescent="0.3">
      <c r="B46" s="160" t="s">
        <v>191</v>
      </c>
      <c r="C46" s="160"/>
      <c r="D46" s="168">
        <v>5000</v>
      </c>
      <c r="E46" s="160" t="s">
        <v>192</v>
      </c>
      <c r="F46" s="160" t="s">
        <v>193</v>
      </c>
      <c r="G46" s="160" t="s">
        <v>194</v>
      </c>
    </row>
    <row r="47" spans="2:8" ht="22.05" customHeight="1" x14ac:dyDescent="0.3">
      <c r="B47" s="162" t="s">
        <v>195</v>
      </c>
      <c r="C47" s="162"/>
      <c r="D47" s="181">
        <v>15797</v>
      </c>
      <c r="E47" s="162" t="s">
        <v>196</v>
      </c>
      <c r="F47" s="162" t="s">
        <v>197</v>
      </c>
      <c r="G47" s="162" t="s">
        <v>198</v>
      </c>
    </row>
    <row r="48" spans="2:8" x14ac:dyDescent="0.3">
      <c r="B48" s="160" t="s">
        <v>199</v>
      </c>
      <c r="C48" s="160"/>
      <c r="D48" s="168">
        <v>5150</v>
      </c>
      <c r="E48" s="160" t="s">
        <v>200</v>
      </c>
      <c r="F48" s="160" t="s">
        <v>197</v>
      </c>
      <c r="G48" s="160" t="s">
        <v>201</v>
      </c>
    </row>
    <row r="49" spans="2:8" ht="25.95" customHeight="1" x14ac:dyDescent="0.3">
      <c r="B49" s="162" t="s">
        <v>202</v>
      </c>
      <c r="C49" s="197"/>
      <c r="D49" s="186">
        <v>3000</v>
      </c>
      <c r="E49" s="197" t="s">
        <v>203</v>
      </c>
      <c r="F49" s="197" t="s">
        <v>204</v>
      </c>
      <c r="G49" s="163" t="s">
        <v>205</v>
      </c>
    </row>
    <row r="50" spans="2:8" ht="22.05" customHeight="1" x14ac:dyDescent="0.3">
      <c r="B50" s="159"/>
      <c r="C50" s="184"/>
      <c r="D50" s="184"/>
      <c r="E50" s="184"/>
      <c r="F50" s="184"/>
      <c r="G50" s="155"/>
      <c r="H50" s="156"/>
    </row>
    <row r="51" spans="2:8" ht="19.95" customHeight="1" x14ac:dyDescent="0.3">
      <c r="B51" s="159"/>
      <c r="C51" s="159"/>
      <c r="D51" s="185"/>
      <c r="E51" s="159"/>
      <c r="F51" s="159"/>
      <c r="G51" s="159"/>
    </row>
    <row r="52" spans="2:8" ht="19.95" customHeight="1" x14ac:dyDescent="0.3">
      <c r="B52" s="159"/>
      <c r="C52" s="159"/>
      <c r="D52" s="185"/>
      <c r="E52" s="159"/>
      <c r="F52" s="159"/>
      <c r="G52" s="159"/>
    </row>
    <row r="53" spans="2:8" ht="19.95" customHeight="1" x14ac:dyDescent="0.3">
      <c r="B53" s="159"/>
      <c r="C53" s="159"/>
      <c r="D53" s="185"/>
      <c r="E53" s="159"/>
      <c r="F53" s="159"/>
      <c r="G53" s="159"/>
    </row>
    <row r="54" spans="2:8" ht="19.95" customHeight="1" x14ac:dyDescent="0.3">
      <c r="B54" s="159"/>
      <c r="C54" s="159"/>
      <c r="D54" s="185"/>
      <c r="E54" s="159"/>
      <c r="F54" s="159"/>
      <c r="G54" s="159"/>
    </row>
    <row r="55" spans="2:8" ht="19.95" customHeight="1" x14ac:dyDescent="0.3">
      <c r="B55" s="169" t="s">
        <v>206</v>
      </c>
      <c r="C55" s="169"/>
      <c r="D55" s="177">
        <f>SUM(D46:D54)</f>
        <v>28947</v>
      </c>
      <c r="E55" s="169"/>
      <c r="F55" s="169"/>
      <c r="G55" s="167"/>
    </row>
    <row r="56" spans="2:8" ht="19.95" customHeight="1" x14ac:dyDescent="0.3"/>
    <row r="57" spans="2:8" ht="19.95" customHeight="1" x14ac:dyDescent="0.3">
      <c r="B57" s="165" t="s">
        <v>207</v>
      </c>
      <c r="C57" s="165"/>
      <c r="D57" s="165"/>
      <c r="E57" s="165"/>
      <c r="F57" s="165"/>
      <c r="G57" s="166"/>
      <c r="H57" s="166"/>
    </row>
    <row r="58" spans="2:8" ht="19.95" customHeight="1" x14ac:dyDescent="0.3">
      <c r="B58" s="167" t="s">
        <v>79</v>
      </c>
      <c r="C58" s="169" t="s">
        <v>78</v>
      </c>
      <c r="D58" s="169" t="s">
        <v>129</v>
      </c>
      <c r="E58" s="169" t="s">
        <v>169</v>
      </c>
      <c r="F58" s="169" t="s">
        <v>170</v>
      </c>
      <c r="G58" s="167" t="s">
        <v>31</v>
      </c>
    </row>
    <row r="59" spans="2:8" ht="22.05" customHeight="1" x14ac:dyDescent="0.3">
      <c r="B59" s="160" t="s">
        <v>171</v>
      </c>
      <c r="C59" s="160"/>
      <c r="D59" s="168">
        <v>100000</v>
      </c>
      <c r="E59" s="160" t="s">
        <v>172</v>
      </c>
      <c r="F59" s="160" t="s">
        <v>173</v>
      </c>
      <c r="G59" s="160" t="s">
        <v>174</v>
      </c>
    </row>
    <row r="60" spans="2:8" x14ac:dyDescent="0.3">
      <c r="B60" s="162" t="s">
        <v>208</v>
      </c>
      <c r="C60" s="162"/>
      <c r="D60" s="181">
        <v>2646</v>
      </c>
      <c r="E60" s="162" t="s">
        <v>209</v>
      </c>
      <c r="F60" s="162" t="s">
        <v>210</v>
      </c>
      <c r="G60" s="162" t="s">
        <v>211</v>
      </c>
    </row>
    <row r="61" spans="2:8" ht="25.95" customHeight="1" x14ac:dyDescent="0.3">
      <c r="B61" s="160" t="s">
        <v>212</v>
      </c>
      <c r="C61" s="196"/>
      <c r="D61" s="183">
        <v>745</v>
      </c>
      <c r="E61" s="196" t="s">
        <v>213</v>
      </c>
      <c r="F61" s="196" t="s">
        <v>214</v>
      </c>
      <c r="G61" s="161" t="s">
        <v>212</v>
      </c>
    </row>
    <row r="62" spans="2:8" ht="22.05" customHeight="1" x14ac:dyDescent="0.3">
      <c r="B62" s="162" t="s">
        <v>215</v>
      </c>
      <c r="C62" s="198"/>
      <c r="D62" s="187">
        <v>204</v>
      </c>
      <c r="E62" s="198" t="s">
        <v>216</v>
      </c>
      <c r="F62" s="198" t="s">
        <v>217</v>
      </c>
      <c r="G62" s="164" t="s">
        <v>215</v>
      </c>
      <c r="H62" s="156"/>
    </row>
    <row r="63" spans="2:8" ht="19.95" customHeight="1" x14ac:dyDescent="0.3">
      <c r="B63" s="160" t="s">
        <v>218</v>
      </c>
      <c r="C63" s="160"/>
      <c r="D63" s="168">
        <v>845</v>
      </c>
      <c r="E63" s="160" t="s">
        <v>219</v>
      </c>
      <c r="F63" s="160" t="s">
        <v>217</v>
      </c>
      <c r="G63" s="160" t="s">
        <v>218</v>
      </c>
    </row>
    <row r="64" spans="2:8" ht="19.95" customHeight="1" x14ac:dyDescent="0.3">
      <c r="B64" s="162" t="s">
        <v>220</v>
      </c>
      <c r="C64" s="162"/>
      <c r="D64" s="181">
        <v>1555</v>
      </c>
      <c r="E64" s="162" t="s">
        <v>221</v>
      </c>
      <c r="F64" s="162" t="s">
        <v>222</v>
      </c>
      <c r="G64" s="162" t="s">
        <v>220</v>
      </c>
    </row>
    <row r="65" spans="2:8" ht="19.95" customHeight="1" x14ac:dyDescent="0.3">
      <c r="B65" s="160" t="s">
        <v>223</v>
      </c>
      <c r="C65" s="210">
        <v>46176</v>
      </c>
      <c r="D65" s="211">
        <v>900</v>
      </c>
      <c r="E65" s="160" t="s">
        <v>224</v>
      </c>
      <c r="F65" s="160" t="s">
        <v>217</v>
      </c>
      <c r="G65" s="160" t="s">
        <v>225</v>
      </c>
    </row>
    <row r="66" spans="2:8" ht="19.95" customHeight="1" x14ac:dyDescent="0.3">
      <c r="B66" s="159"/>
      <c r="C66" s="159"/>
      <c r="D66" s="185"/>
      <c r="E66" s="159"/>
      <c r="F66" s="159"/>
      <c r="G66" s="159"/>
    </row>
    <row r="67" spans="2:8" ht="19.95" customHeight="1" x14ac:dyDescent="0.3">
      <c r="B67" s="212"/>
      <c r="C67" s="213"/>
      <c r="D67" s="214"/>
      <c r="E67" s="213"/>
      <c r="F67" s="213"/>
      <c r="G67" s="212"/>
    </row>
    <row r="68" spans="2:8" ht="19.95" customHeight="1" x14ac:dyDescent="0.3">
      <c r="B68" s="169" t="s">
        <v>226</v>
      </c>
      <c r="C68" s="199"/>
      <c r="D68" s="188">
        <f>SUM(D59:D67)</f>
        <v>106895</v>
      </c>
      <c r="E68" s="199"/>
      <c r="F68" s="199"/>
      <c r="G68" s="175"/>
      <c r="H68" s="156"/>
    </row>
    <row r="69" spans="2:8" ht="19.95" customHeight="1" x14ac:dyDescent="0.3"/>
    <row r="70" spans="2:8" ht="19.95" customHeight="1" x14ac:dyDescent="0.3">
      <c r="B70" s="165" t="s">
        <v>227</v>
      </c>
      <c r="C70" s="165"/>
      <c r="D70" s="165"/>
      <c r="E70" s="165"/>
      <c r="F70" s="165"/>
      <c r="G70" s="166"/>
      <c r="H70" s="166"/>
    </row>
    <row r="71" spans="2:8" ht="19.95" customHeight="1" x14ac:dyDescent="0.3">
      <c r="B71" s="167" t="s">
        <v>228</v>
      </c>
      <c r="C71" s="169"/>
      <c r="D71" s="169"/>
      <c r="E71" s="169"/>
      <c r="F71" s="169"/>
      <c r="G71" s="167"/>
    </row>
    <row r="72" spans="2:8" ht="19.95" customHeight="1" x14ac:dyDescent="0.3">
      <c r="B72" s="160" t="s">
        <v>229</v>
      </c>
      <c r="C72" s="168">
        <f>SUM(D6:D8)</f>
        <v>600000</v>
      </c>
      <c r="D72" s="189"/>
      <c r="E72" s="160" t="s">
        <v>230</v>
      </c>
    </row>
    <row r="73" spans="2:8" ht="19.95" customHeight="1" x14ac:dyDescent="0.3">
      <c r="B73" s="162" t="s">
        <v>231</v>
      </c>
      <c r="C73" s="181">
        <f>D13</f>
        <v>390000</v>
      </c>
      <c r="D73" s="190">
        <f>C73/C72</f>
        <v>0.65</v>
      </c>
      <c r="E73" s="162" t="s">
        <v>232</v>
      </c>
    </row>
    <row r="74" spans="2:8" x14ac:dyDescent="0.3">
      <c r="B74" s="160" t="s">
        <v>233</v>
      </c>
      <c r="C74" s="168">
        <f>D14</f>
        <v>5000</v>
      </c>
      <c r="D74" s="189">
        <f>C74/C72</f>
        <v>8.3333333333333332E-3</v>
      </c>
      <c r="E74" s="160" t="s">
        <v>234</v>
      </c>
    </row>
    <row r="75" spans="2:8" x14ac:dyDescent="0.3">
      <c r="B75" s="172" t="s">
        <v>150</v>
      </c>
      <c r="C75" s="180">
        <f>D23</f>
        <v>134500</v>
      </c>
      <c r="D75" s="191">
        <f>C75/C72</f>
        <v>0.22416666666666665</v>
      </c>
      <c r="E75" s="172" t="s">
        <v>235</v>
      </c>
    </row>
    <row r="76" spans="2:8" x14ac:dyDescent="0.3">
      <c r="B76" s="162" t="s">
        <v>236</v>
      </c>
      <c r="C76" s="181">
        <f>SUM(D35:D36)</f>
        <v>15695</v>
      </c>
      <c r="D76" s="190">
        <f>C76/C72</f>
        <v>2.6158333333333332E-2</v>
      </c>
      <c r="E76" s="162" t="s">
        <v>237</v>
      </c>
    </row>
    <row r="77" spans="2:8" x14ac:dyDescent="0.3">
      <c r="B77" s="160" t="s">
        <v>238</v>
      </c>
      <c r="C77" s="168">
        <f>D34</f>
        <v>125000</v>
      </c>
      <c r="D77" s="189">
        <f>C77/C72</f>
        <v>0.20833333333333334</v>
      </c>
      <c r="E77" s="160"/>
    </row>
    <row r="78" spans="2:8" x14ac:dyDescent="0.3">
      <c r="B78" s="162" t="s">
        <v>239</v>
      </c>
      <c r="C78" s="181">
        <f>D55</f>
        <v>28947</v>
      </c>
      <c r="D78" s="190">
        <f>C78/C72</f>
        <v>4.8245000000000003E-2</v>
      </c>
      <c r="E78" s="162" t="s">
        <v>240</v>
      </c>
    </row>
    <row r="79" spans="2:8" x14ac:dyDescent="0.3">
      <c r="B79" s="160" t="s">
        <v>241</v>
      </c>
      <c r="C79" s="168">
        <f>D59</f>
        <v>100000</v>
      </c>
      <c r="D79" s="189">
        <f>C79/C72</f>
        <v>0.16666666666666666</v>
      </c>
      <c r="E79" s="160"/>
    </row>
    <row r="80" spans="2:8" x14ac:dyDescent="0.3">
      <c r="B80" s="162" t="s">
        <v>242</v>
      </c>
      <c r="C80" s="181">
        <f>SUM(D60:D67)</f>
        <v>6895</v>
      </c>
      <c r="D80" s="190">
        <f>C80/C72</f>
        <v>1.1491666666666667E-2</v>
      </c>
      <c r="E80" s="162" t="s">
        <v>243</v>
      </c>
    </row>
    <row r="81" spans="2:8" x14ac:dyDescent="0.3">
      <c r="B81" s="169" t="s">
        <v>244</v>
      </c>
      <c r="C81" s="177">
        <f>C73+C76+C78+C80</f>
        <v>441537</v>
      </c>
      <c r="D81" s="192">
        <f>C81/C72</f>
        <v>0.73589499999999997</v>
      </c>
      <c r="E81" s="169" t="s">
        <v>245</v>
      </c>
      <c r="F81" s="193"/>
      <c r="G81" s="176"/>
    </row>
    <row r="82" spans="2:8" x14ac:dyDescent="0.3">
      <c r="B82" s="169" t="s">
        <v>246</v>
      </c>
      <c r="C82" s="177">
        <f>C72-C81</f>
        <v>158463</v>
      </c>
      <c r="D82" s="192">
        <f>C82/C72</f>
        <v>0.26410499999999998</v>
      </c>
      <c r="E82" s="169"/>
      <c r="F82" s="193"/>
      <c r="G82" s="176"/>
    </row>
    <row r="84" spans="2:8" ht="15.6" customHeight="1" x14ac:dyDescent="0.3">
      <c r="B84" s="166" t="s">
        <v>247</v>
      </c>
      <c r="C84" s="165"/>
      <c r="D84" s="165"/>
      <c r="E84" s="165"/>
      <c r="F84" s="165"/>
      <c r="G84" s="166"/>
      <c r="H84" s="166"/>
    </row>
    <row r="85" spans="2:8" x14ac:dyDescent="0.3">
      <c r="B85" s="176" t="s">
        <v>248</v>
      </c>
      <c r="C85" s="193" t="s">
        <v>249</v>
      </c>
      <c r="D85" s="193" t="s">
        <v>250</v>
      </c>
      <c r="E85" s="193" t="s">
        <v>251</v>
      </c>
      <c r="F85" s="193" t="s">
        <v>252</v>
      </c>
      <c r="G85" s="176" t="s">
        <v>84</v>
      </c>
    </row>
    <row r="86" spans="2:8" x14ac:dyDescent="0.3">
      <c r="B86" s="161" t="s">
        <v>123</v>
      </c>
      <c r="C86" s="183">
        <f>D7</f>
        <v>180000</v>
      </c>
      <c r="D86" s="183">
        <f>D34</f>
        <v>125000</v>
      </c>
      <c r="E86" s="183">
        <f>SUM(D35:D41)</f>
        <v>16568.34</v>
      </c>
      <c r="F86" s="183">
        <f>C86-D86-E86</f>
        <v>38431.660000000003</v>
      </c>
      <c r="G86" s="161" t="s">
        <v>151</v>
      </c>
    </row>
    <row r="87" spans="2:8" x14ac:dyDescent="0.3">
      <c r="B87" s="163" t="s">
        <v>125</v>
      </c>
      <c r="C87" s="186">
        <f>D8</f>
        <v>120000</v>
      </c>
      <c r="D87" s="186">
        <f>D59</f>
        <v>100000</v>
      </c>
      <c r="E87" s="186">
        <f>SUM(D60:D67)</f>
        <v>6895</v>
      </c>
      <c r="F87" s="186">
        <f>C87-D87-E87</f>
        <v>13105</v>
      </c>
      <c r="G87" s="163" t="s">
        <v>151</v>
      </c>
    </row>
    <row r="88" spans="2:8" x14ac:dyDescent="0.3">
      <c r="B88" s="176" t="s">
        <v>127</v>
      </c>
      <c r="C88" s="194">
        <f>C86+C87</f>
        <v>300000</v>
      </c>
      <c r="D88" s="194">
        <f>D86+D87</f>
        <v>225000</v>
      </c>
      <c r="E88" s="194">
        <f>E86+E87</f>
        <v>23463.34</v>
      </c>
      <c r="F88" s="194">
        <f>F86+F87</f>
        <v>51536.66</v>
      </c>
      <c r="G88" s="176"/>
    </row>
    <row r="90" spans="2:8" ht="15.6" customHeight="1" x14ac:dyDescent="0.3">
      <c r="B90" s="166" t="s">
        <v>253</v>
      </c>
      <c r="C90" s="165"/>
      <c r="D90" s="165"/>
      <c r="E90" s="165"/>
      <c r="F90" s="165"/>
      <c r="G90" s="166"/>
      <c r="H90" s="166"/>
    </row>
    <row r="91" spans="2:8" x14ac:dyDescent="0.3">
      <c r="B91" s="176" t="s">
        <v>248</v>
      </c>
      <c r="C91" s="193" t="s">
        <v>116</v>
      </c>
      <c r="D91" s="193" t="s">
        <v>254</v>
      </c>
      <c r="E91" s="193" t="s">
        <v>255</v>
      </c>
      <c r="F91" s="193" t="s">
        <v>256</v>
      </c>
      <c r="G91" s="176" t="s">
        <v>84</v>
      </c>
    </row>
    <row r="92" spans="2:8" x14ac:dyDescent="0.3">
      <c r="B92" s="161" t="s">
        <v>121</v>
      </c>
      <c r="C92" s="200">
        <f>C6</f>
        <v>0.5</v>
      </c>
      <c r="D92" s="183">
        <f>C92*D13</f>
        <v>195000</v>
      </c>
      <c r="E92" s="183">
        <f>D14</f>
        <v>5000</v>
      </c>
      <c r="F92" s="183">
        <f>D92-E92</f>
        <v>190000</v>
      </c>
      <c r="G92" s="161" t="s">
        <v>257</v>
      </c>
    </row>
    <row r="93" spans="2:8" x14ac:dyDescent="0.3">
      <c r="B93" s="163" t="s">
        <v>123</v>
      </c>
      <c r="C93" s="201">
        <f>C7</f>
        <v>0.3</v>
      </c>
      <c r="D93" s="186">
        <f>C93*D13</f>
        <v>117000</v>
      </c>
      <c r="E93" s="186">
        <v>0</v>
      </c>
      <c r="F93" s="186">
        <f>D93-E93</f>
        <v>117000</v>
      </c>
      <c r="G93" s="163" t="s">
        <v>257</v>
      </c>
    </row>
    <row r="94" spans="2:8" x14ac:dyDescent="0.3">
      <c r="B94" s="161" t="s">
        <v>125</v>
      </c>
      <c r="C94" s="200">
        <f>C8</f>
        <v>0.2</v>
      </c>
      <c r="D94" s="183">
        <f>C94*D13</f>
        <v>78000</v>
      </c>
      <c r="E94" s="183">
        <v>0</v>
      </c>
      <c r="F94" s="183">
        <f>D94-E94</f>
        <v>78000</v>
      </c>
      <c r="G94" s="161" t="s">
        <v>257</v>
      </c>
    </row>
    <row r="95" spans="2:8" x14ac:dyDescent="0.3">
      <c r="B95" s="176" t="s">
        <v>127</v>
      </c>
      <c r="C95" s="202">
        <v>1</v>
      </c>
      <c r="D95" s="194">
        <f>D92+D93+D94</f>
        <v>390000</v>
      </c>
      <c r="E95" s="194">
        <f>E92+E93+E94</f>
        <v>5000</v>
      </c>
      <c r="F95" s="194">
        <f>F92+F93+F94</f>
        <v>385000</v>
      </c>
      <c r="G95" s="176" t="str">
        <f>IF(F95=0,"✅ Fully Paid","⏳ Balance: $"&amp;TEXT(F95,"#,##0"))</f>
        <v>⏳ Balance: $385,000</v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27" t="s">
        <v>258</v>
      </c>
      <c r="B2" s="261"/>
      <c r="C2" s="261"/>
      <c r="D2" s="261"/>
      <c r="E2" s="261"/>
      <c r="F2" s="261"/>
      <c r="G2" s="261"/>
      <c r="H2" s="300" t="s">
        <v>259</v>
      </c>
      <c r="I2" s="261"/>
      <c r="J2" s="261"/>
      <c r="K2" s="261"/>
      <c r="L2" s="261"/>
      <c r="M2" s="261"/>
      <c r="N2" s="261"/>
    </row>
    <row r="3" spans="1:14" ht="3.75" customHeight="1" x14ac:dyDescent="0.3">
      <c r="A3" s="310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</row>
    <row r="4" spans="1:14" ht="7.5" customHeight="1" x14ac:dyDescent="0.3"/>
    <row r="5" spans="1:14" ht="36" customHeight="1" x14ac:dyDescent="0.3">
      <c r="B5" s="312" t="s">
        <v>260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</row>
    <row r="6" spans="1:14" ht="9.75" customHeight="1" x14ac:dyDescent="0.3"/>
    <row r="7" spans="1:14" ht="19.5" customHeight="1" x14ac:dyDescent="0.3">
      <c r="B7" s="285" t="s">
        <v>261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</row>
    <row r="8" spans="1:14" ht="6" customHeight="1" x14ac:dyDescent="0.3"/>
    <row r="9" spans="1:14" ht="18" customHeight="1" x14ac:dyDescent="0.3">
      <c r="B9" s="273" t="s">
        <v>262</v>
      </c>
      <c r="C9" s="271"/>
      <c r="D9" s="273" t="s">
        <v>263</v>
      </c>
      <c r="E9" s="271"/>
      <c r="F9" s="273" t="s">
        <v>264</v>
      </c>
      <c r="G9" s="271"/>
      <c r="H9" s="273" t="s">
        <v>265</v>
      </c>
      <c r="I9" s="271"/>
      <c r="J9" s="273" t="s">
        <v>266</v>
      </c>
      <c r="K9" s="271"/>
      <c r="L9" s="273" t="s">
        <v>267</v>
      </c>
      <c r="M9" s="271"/>
    </row>
    <row r="10" spans="1:14" ht="19.5" customHeight="1" x14ac:dyDescent="0.3">
      <c r="B10" s="306">
        <f ca="1">'📅 Daily Log'!F6</f>
        <v>3727</v>
      </c>
      <c r="C10" s="276"/>
      <c r="D10" s="275">
        <f ca="1">'📅 Daily Log'!N6</f>
        <v>0</v>
      </c>
      <c r="E10" s="276"/>
      <c r="F10" s="302">
        <f ca="1">'📅 Daily Log'!O6</f>
        <v>0</v>
      </c>
      <c r="G10" s="276"/>
      <c r="H10" s="280">
        <f ca="1">'📅 Daily Log'!H6</f>
        <v>3187.11</v>
      </c>
      <c r="I10" s="276"/>
      <c r="J10" s="306">
        <f ca="1">'📅 Daily Log'!I6</f>
        <v>539.88999999999987</v>
      </c>
      <c r="K10" s="276"/>
      <c r="L10" s="325">
        <f ca="1">IFERROR('📅 Daily Log'!F6/'📅 Daily Log'!G6,0)</f>
        <v>37.646464646464644</v>
      </c>
      <c r="M10" s="276"/>
    </row>
    <row r="11" spans="1:14" ht="19.5" customHeight="1" x14ac:dyDescent="0.3">
      <c r="B11" s="277"/>
      <c r="C11" s="261"/>
      <c r="D11" s="277"/>
      <c r="E11" s="261"/>
      <c r="F11" s="277"/>
      <c r="G11" s="261"/>
      <c r="H11" s="277"/>
      <c r="I11" s="261"/>
      <c r="J11" s="277"/>
      <c r="K11" s="261"/>
      <c r="L11" s="277"/>
      <c r="M11" s="261"/>
    </row>
    <row r="12" spans="1:14" ht="19.5" customHeight="1" x14ac:dyDescent="0.3">
      <c r="B12" s="277"/>
      <c r="C12" s="261"/>
      <c r="D12" s="277"/>
      <c r="E12" s="261"/>
      <c r="F12" s="277"/>
      <c r="G12" s="261"/>
      <c r="H12" s="277"/>
      <c r="I12" s="261"/>
      <c r="J12" s="277"/>
      <c r="K12" s="261"/>
      <c r="L12" s="277"/>
      <c r="M12" s="261"/>
    </row>
    <row r="13" spans="1:14" ht="9.75" customHeight="1" x14ac:dyDescent="0.3"/>
    <row r="14" spans="1:14" ht="19.5" customHeight="1" x14ac:dyDescent="0.3">
      <c r="B14" s="285" t="s">
        <v>268</v>
      </c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</row>
    <row r="15" spans="1:14" ht="6" customHeight="1" x14ac:dyDescent="0.3"/>
    <row r="16" spans="1:14" ht="18" customHeight="1" x14ac:dyDescent="0.3">
      <c r="B16" s="273" t="s">
        <v>269</v>
      </c>
      <c r="C16" s="271"/>
      <c r="D16" s="273" t="s">
        <v>270</v>
      </c>
      <c r="E16" s="271"/>
      <c r="F16" s="273" t="s">
        <v>271</v>
      </c>
      <c r="G16" s="271"/>
      <c r="H16" s="273" t="s">
        <v>272</v>
      </c>
      <c r="I16" s="271"/>
      <c r="J16" s="273" t="s">
        <v>273</v>
      </c>
      <c r="K16" s="271"/>
      <c r="L16" s="273" t="s">
        <v>274</v>
      </c>
      <c r="M16" s="271"/>
    </row>
    <row r="17" spans="2:13" ht="19.5" customHeight="1" x14ac:dyDescent="0.3">
      <c r="B17" s="308">
        <f ca="1">'📅 Daily Log'!G6</f>
        <v>99</v>
      </c>
      <c r="C17" s="276"/>
      <c r="D17" s="308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276"/>
      <c r="F17" s="314">
        <f ca="1">IFERROR('📅 Daily Log'!J6,0)</f>
        <v>0.14485913603434394</v>
      </c>
      <c r="G17" s="276"/>
      <c r="H17" s="315" t="str">
        <f>'📦 Inventory'!H5</f>
        <v>ALERT COUNT</v>
      </c>
      <c r="I17" s="276"/>
      <c r="J17" s="280">
        <f ca="1">'📅 Daily Log'!P6</f>
        <v>0</v>
      </c>
      <c r="K17" s="276"/>
      <c r="L17" s="282" t="str">
        <f>'🚚 Suppliers'!H5</f>
        <v>PENDING COUNT</v>
      </c>
      <c r="M17" s="276"/>
    </row>
    <row r="18" spans="2:13" ht="19.5" customHeight="1" x14ac:dyDescent="0.3">
      <c r="B18" s="277"/>
      <c r="C18" s="261"/>
      <c r="D18" s="277"/>
      <c r="E18" s="261"/>
      <c r="F18" s="277"/>
      <c r="G18" s="261"/>
      <c r="H18" s="277"/>
      <c r="I18" s="261"/>
      <c r="J18" s="277"/>
      <c r="K18" s="261"/>
      <c r="L18" s="277"/>
      <c r="M18" s="261"/>
    </row>
    <row r="19" spans="2:13" ht="19.5" customHeight="1" x14ac:dyDescent="0.3">
      <c r="B19" s="277"/>
      <c r="C19" s="261"/>
      <c r="D19" s="277"/>
      <c r="E19" s="261"/>
      <c r="F19" s="277"/>
      <c r="G19" s="261"/>
      <c r="H19" s="277"/>
      <c r="I19" s="261"/>
      <c r="J19" s="277"/>
      <c r="K19" s="261"/>
      <c r="L19" s="277"/>
      <c r="M19" s="261"/>
    </row>
    <row r="20" spans="2:13" ht="9.75" customHeight="1" x14ac:dyDescent="0.3"/>
    <row r="21" spans="2:13" ht="19.5" customHeight="1" x14ac:dyDescent="0.3">
      <c r="B21" s="285" t="s">
        <v>275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</row>
    <row r="22" spans="2:13" ht="27.75" customHeight="1" x14ac:dyDescent="0.3">
      <c r="B22" s="6" t="s">
        <v>78</v>
      </c>
      <c r="C22" s="6" t="s">
        <v>276</v>
      </c>
      <c r="D22" s="6" t="s">
        <v>277</v>
      </c>
      <c r="E22" s="6" t="s">
        <v>278</v>
      </c>
      <c r="F22" s="6" t="s">
        <v>279</v>
      </c>
      <c r="G22" s="6" t="s">
        <v>118</v>
      </c>
      <c r="H22" s="6" t="s">
        <v>280</v>
      </c>
      <c r="I22" s="6" t="s">
        <v>281</v>
      </c>
      <c r="J22" s="6" t="s">
        <v>31</v>
      </c>
      <c r="K22" s="303" t="s">
        <v>282</v>
      </c>
      <c r="L22" s="271"/>
      <c r="M22" s="267"/>
    </row>
    <row r="23" spans="2:13" ht="16.5" customHeight="1" x14ac:dyDescent="0.3">
      <c r="B23" s="7" t="str">
        <f>'📅 Daily Log'!B8</f>
        <v>18-May-2026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288" t="s">
        <v>23</v>
      </c>
      <c r="L23" s="271"/>
      <c r="M23" s="267"/>
    </row>
    <row r="24" spans="2:13" ht="16.5" customHeight="1" x14ac:dyDescent="0.3">
      <c r="B24" s="16" t="str">
        <f>'📅 Daily Log'!B9</f>
        <v>19-May-2026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270" t="str">
        <f t="shared" ref="K24:K32" si="0">IFERROR(IF(D24&gt;D23,"▲ +"&amp;TEXT(D24-D23,"$#,##0"),IF(D24&lt;D23,"▼ "&amp;TEXT(D24-D23,"$#,##0"),"— same")),"")</f>
        <v>— same</v>
      </c>
      <c r="L24" s="271"/>
      <c r="M24" s="267"/>
    </row>
    <row r="25" spans="2:13" ht="16.5" customHeight="1" x14ac:dyDescent="0.3">
      <c r="B25" s="7" t="str">
        <f>'📅 Daily Log'!B10</f>
        <v>20-May-2026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288" t="str">
        <f t="shared" si="0"/>
        <v>— same</v>
      </c>
      <c r="L25" s="271"/>
      <c r="M25" s="267"/>
    </row>
    <row r="26" spans="2:13" ht="16.5" customHeight="1" x14ac:dyDescent="0.3">
      <c r="B26" s="16" t="str">
        <f>'📅 Daily Log'!B11</f>
        <v>21-May-2026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270" t="str">
        <f t="shared" si="0"/>
        <v>— same</v>
      </c>
      <c r="L26" s="271"/>
      <c r="M26" s="267"/>
    </row>
    <row r="27" spans="2:13" ht="16.5" customHeight="1" x14ac:dyDescent="0.3">
      <c r="B27" s="7" t="str">
        <f>'📅 Daily Log'!B12</f>
        <v>22-May-2026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288" t="str">
        <f t="shared" si="0"/>
        <v>— same</v>
      </c>
      <c r="L27" s="271"/>
      <c r="M27" s="267"/>
    </row>
    <row r="28" spans="2:13" ht="16.5" customHeight="1" x14ac:dyDescent="0.3">
      <c r="B28" s="16" t="str">
        <f>'📅 Daily Log'!B13</f>
        <v>23-May-2026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8953.43</v>
      </c>
      <c r="G28" s="21">
        <f>'📅 Daily Log'!I13</f>
        <v>-5151.43</v>
      </c>
      <c r="H28" s="18">
        <f>'📅 Daily Log'!J13</f>
        <v>-1.3549263545502368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270" t="str">
        <f t="shared" si="0"/>
        <v>— same</v>
      </c>
      <c r="L28" s="271"/>
      <c r="M28" s="267"/>
    </row>
    <row r="29" spans="2:13" ht="16.5" customHeight="1" x14ac:dyDescent="0.3">
      <c r="B29" s="7" t="str">
        <f>'📅 Daily Log'!B14</f>
        <v>24-May-2026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288" t="str">
        <f t="shared" si="0"/>
        <v>— same</v>
      </c>
      <c r="L29" s="271"/>
      <c r="M29" s="267"/>
    </row>
    <row r="30" spans="2:13" ht="16.5" customHeight="1" x14ac:dyDescent="0.3">
      <c r="B30" s="16" t="str">
        <f>'📅 Daily Log'!B15</f>
        <v>25-May-2026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270" t="str">
        <f t="shared" si="0"/>
        <v>— same</v>
      </c>
      <c r="L30" s="271"/>
      <c r="M30" s="267"/>
    </row>
    <row r="31" spans="2:13" ht="16.5" customHeight="1" x14ac:dyDescent="0.3">
      <c r="B31" s="7" t="str">
        <f>'📅 Daily Log'!B16</f>
        <v>26-May-2026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288" t="str">
        <f t="shared" si="0"/>
        <v>— same</v>
      </c>
      <c r="L31" s="271"/>
      <c r="M31" s="267"/>
    </row>
    <row r="32" spans="2:13" ht="16.5" customHeight="1" x14ac:dyDescent="0.3">
      <c r="B32" s="16" t="str">
        <f>'📅 Daily Log'!B17</f>
        <v>27-May-2026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270" t="str">
        <f t="shared" si="0"/>
        <v>— same</v>
      </c>
      <c r="L32" s="271"/>
      <c r="M32" s="267"/>
    </row>
    <row r="33" spans="2:13" ht="9.75" customHeight="1" x14ac:dyDescent="0.3"/>
    <row r="34" spans="2:13" ht="19.5" customHeight="1" x14ac:dyDescent="0.3">
      <c r="B34" s="285" t="s">
        <v>283</v>
      </c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</row>
    <row r="35" spans="2:13" ht="27.75" customHeight="1" x14ac:dyDescent="0.3">
      <c r="B35" s="266" t="s">
        <v>284</v>
      </c>
      <c r="C35" s="271"/>
      <c r="D35" s="267"/>
      <c r="E35" s="6"/>
      <c r="F35" s="266" t="s">
        <v>285</v>
      </c>
      <c r="G35" s="267"/>
      <c r="H35" s="266" t="s">
        <v>84</v>
      </c>
      <c r="I35" s="267"/>
      <c r="J35" s="266" t="s">
        <v>286</v>
      </c>
      <c r="K35" s="271"/>
      <c r="L35" s="271"/>
      <c r="M35" s="267"/>
    </row>
    <row r="36" spans="2:13" ht="16.5" customHeight="1" x14ac:dyDescent="0.3">
      <c r="B36" s="311" t="str">
        <f>'📦 Inventory'!B9</f>
        <v>Carne de Res</v>
      </c>
      <c r="C36" s="271"/>
      <c r="D36" s="271"/>
      <c r="E36" s="296">
        <f>'📦 Inventory'!E9</f>
        <v>0</v>
      </c>
      <c r="F36" s="271"/>
      <c r="G36" s="305">
        <f>'📦 Inventory'!F9</f>
        <v>0</v>
      </c>
      <c r="H36" s="271"/>
      <c r="I36" s="278" t="str">
        <f>'📦 Inventory'!J9</f>
        <v>—</v>
      </c>
      <c r="J36" s="271"/>
      <c r="K36" s="278" t="str">
        <f>IF('📦 Inventory'!E9=0,"🚫 Order immediately",IF('📦 Inventory'!E9&lt;='📦 Inventory'!F9,"⚠️ Reorder soon","✅ OK"))</f>
        <v>🚫 Order immediately</v>
      </c>
      <c r="L36" s="271"/>
      <c r="M36" s="271"/>
    </row>
    <row r="37" spans="2:13" ht="16.5" customHeight="1" x14ac:dyDescent="0.3">
      <c r="B37" s="287" t="str">
        <f>'📦 Inventory'!B10</f>
        <v>Jamon Mexicano</v>
      </c>
      <c r="C37" s="271"/>
      <c r="D37" s="271"/>
      <c r="E37" s="321">
        <f>'📦 Inventory'!E10</f>
        <v>0</v>
      </c>
      <c r="F37" s="271"/>
      <c r="G37" s="322">
        <f>'📦 Inventory'!F10</f>
        <v>0</v>
      </c>
      <c r="H37" s="271"/>
      <c r="I37" s="323" t="str">
        <f>'📦 Inventory'!J10</f>
        <v>—</v>
      </c>
      <c r="J37" s="271"/>
      <c r="K37" s="323" t="str">
        <f>IF('📦 Inventory'!E10=0,"🚫 Order immediately",IF('📦 Inventory'!E10&lt;='📦 Inventory'!F10,"⚠️ Reorder soon","✅ OK"))</f>
        <v>🚫 Order immediately</v>
      </c>
      <c r="L37" s="271"/>
      <c r="M37" s="271"/>
    </row>
    <row r="38" spans="2:13" ht="16.5" customHeight="1" x14ac:dyDescent="0.3">
      <c r="B38" s="311" t="str">
        <f>'📦 Inventory'!B11</f>
        <v>Pollo</v>
      </c>
      <c r="C38" s="271"/>
      <c r="D38" s="271"/>
      <c r="E38" s="296">
        <f>'📦 Inventory'!E11</f>
        <v>0</v>
      </c>
      <c r="F38" s="271"/>
      <c r="G38" s="305">
        <f>'📦 Inventory'!F11</f>
        <v>0</v>
      </c>
      <c r="H38" s="271"/>
      <c r="I38" s="278" t="str">
        <f>'📦 Inventory'!J11</f>
        <v>—</v>
      </c>
      <c r="J38" s="271"/>
      <c r="K38" s="278" t="str">
        <f>IF('📦 Inventory'!E11=0,"🚫 Order immediately",IF('📦 Inventory'!E11&lt;='📦 Inventory'!F11,"⚠️ Reorder soon","✅ OK"))</f>
        <v>🚫 Order immediately</v>
      </c>
      <c r="L38" s="271"/>
      <c r="M38" s="271"/>
    </row>
    <row r="39" spans="2:13" ht="16.5" customHeight="1" x14ac:dyDescent="0.3">
      <c r="B39" s="287" t="str">
        <f>'📦 Inventory'!B12</f>
        <v>Chuletas de Carne</v>
      </c>
      <c r="C39" s="271"/>
      <c r="D39" s="271"/>
      <c r="E39" s="321">
        <f>'📦 Inventory'!E12</f>
        <v>0</v>
      </c>
      <c r="F39" s="271"/>
      <c r="G39" s="322">
        <f>'📦 Inventory'!F12</f>
        <v>0</v>
      </c>
      <c r="H39" s="271"/>
      <c r="I39" s="323" t="str">
        <f>'📦 Inventory'!J12</f>
        <v>—</v>
      </c>
      <c r="J39" s="271"/>
      <c r="K39" s="323" t="str">
        <f>IF('📦 Inventory'!E12=0,"🚫 Order immediately",IF('📦 Inventory'!E12&lt;='📦 Inventory'!F12,"⚠️ Reorder soon","✅ OK"))</f>
        <v>🚫 Order immediately</v>
      </c>
      <c r="L39" s="271"/>
      <c r="M39" s="271"/>
    </row>
    <row r="40" spans="2:13" ht="16.5" customHeight="1" x14ac:dyDescent="0.3">
      <c r="B40" s="311" t="str">
        <f>'📦 Inventory'!B13</f>
        <v>Costillas de Cerdo</v>
      </c>
      <c r="C40" s="271"/>
      <c r="D40" s="271"/>
      <c r="E40" s="296">
        <f>'📦 Inventory'!E13</f>
        <v>0</v>
      </c>
      <c r="F40" s="271"/>
      <c r="G40" s="305">
        <f>'📦 Inventory'!F13</f>
        <v>0</v>
      </c>
      <c r="H40" s="271"/>
      <c r="I40" s="278" t="str">
        <f>'📦 Inventory'!J13</f>
        <v>—</v>
      </c>
      <c r="J40" s="271"/>
      <c r="K40" s="278" t="str">
        <f>IF('📦 Inventory'!E13=0,"🚫 Order immediately",IF('📦 Inventory'!E13&lt;='📦 Inventory'!F13,"⚠️ Reorder soon","✅ OK"))</f>
        <v>🚫 Order immediately</v>
      </c>
      <c r="L40" s="271"/>
      <c r="M40" s="271"/>
    </row>
    <row r="41" spans="2:13" ht="7.5" customHeight="1" x14ac:dyDescent="0.3"/>
    <row r="42" spans="2:13" ht="30" customHeight="1" x14ac:dyDescent="0.3">
      <c r="B42" s="272" t="s">
        <v>287</v>
      </c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</row>
    <row r="43" spans="2:13" ht="6" customHeight="1" x14ac:dyDescent="0.3"/>
    <row r="44" spans="2:13" ht="16.05" customHeight="1" x14ac:dyDescent="0.3">
      <c r="B44" s="324" t="s">
        <v>288</v>
      </c>
      <c r="C44" s="265"/>
      <c r="D44" s="334" t="s">
        <v>289</v>
      </c>
      <c r="E44" s="265"/>
      <c r="F44" s="335" t="s">
        <v>290</v>
      </c>
      <c r="G44" s="265"/>
      <c r="H44" s="331" t="s">
        <v>291</v>
      </c>
      <c r="I44" s="265"/>
      <c r="J44" s="328" t="s">
        <v>292</v>
      </c>
      <c r="K44" s="265"/>
      <c r="L44" s="316" t="s">
        <v>293</v>
      </c>
      <c r="M44" s="265"/>
    </row>
    <row r="45" spans="2:13" ht="22.05" customHeight="1" x14ac:dyDescent="0.3">
      <c r="B45" s="326">
        <f>'Capital &amp; Ownership'!C63</f>
        <v>0</v>
      </c>
      <c r="C45" s="265"/>
      <c r="D45" s="284">
        <f>'Capital &amp; Ownership'!C72</f>
        <v>600000</v>
      </c>
      <c r="E45" s="265"/>
      <c r="F45" s="307">
        <f>'Capital &amp; Ownership'!C73</f>
        <v>390000</v>
      </c>
      <c r="G45" s="265"/>
      <c r="H45" s="294">
        <f>'Capital &amp; Ownership'!C64</f>
        <v>0</v>
      </c>
      <c r="I45" s="265"/>
      <c r="J45" s="290">
        <f>'Capital &amp; Ownership'!C65</f>
        <v>46176</v>
      </c>
      <c r="K45" s="265"/>
      <c r="L45" s="291">
        <f>'Capital &amp; Ownership'!C66</f>
        <v>0</v>
      </c>
      <c r="M45" s="265"/>
    </row>
    <row r="46" spans="2:13" ht="16.05" customHeight="1" x14ac:dyDescent="0.3">
      <c r="B46" s="329" t="s">
        <v>294</v>
      </c>
      <c r="C46" s="265"/>
      <c r="D46" s="330" t="s">
        <v>295</v>
      </c>
      <c r="E46" s="265"/>
      <c r="F46" s="313" t="s">
        <v>296</v>
      </c>
      <c r="G46" s="265"/>
      <c r="H46" s="332" t="s">
        <v>297</v>
      </c>
      <c r="I46" s="265"/>
      <c r="J46" s="317" t="s">
        <v>298</v>
      </c>
      <c r="K46" s="265"/>
      <c r="L46" s="318" t="s">
        <v>299</v>
      </c>
      <c r="M46" s="265"/>
    </row>
    <row r="47" spans="2:13" ht="7.95" customHeight="1" x14ac:dyDescent="0.3"/>
    <row r="48" spans="2:13" ht="22.05" customHeight="1" x14ac:dyDescent="0.3">
      <c r="B48" s="320" t="s">
        <v>300</v>
      </c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</row>
    <row r="49" spans="2:13" ht="19.95" customHeight="1" x14ac:dyDescent="0.3">
      <c r="B49" s="298" t="s">
        <v>301</v>
      </c>
      <c r="C49" s="265"/>
      <c r="D49" s="298" t="s">
        <v>302</v>
      </c>
      <c r="E49" s="265"/>
      <c r="F49" s="1" t="s">
        <v>303</v>
      </c>
      <c r="G49" s="1" t="s">
        <v>304</v>
      </c>
      <c r="H49" s="298" t="s">
        <v>305</v>
      </c>
      <c r="I49" s="265"/>
      <c r="J49" s="298" t="s">
        <v>306</v>
      </c>
      <c r="K49" s="265"/>
      <c r="L49" s="298" t="s">
        <v>307</v>
      </c>
      <c r="M49" s="265"/>
    </row>
    <row r="50" spans="2:13" ht="19.95" customHeight="1" x14ac:dyDescent="0.3">
      <c r="B50" s="297" t="str">
        <f>'Capital &amp; Ownership'!B6</f>
        <v>Lohith Reddy</v>
      </c>
      <c r="C50" s="265"/>
      <c r="D50" s="283">
        <f>'Capital &amp; Ownership'!C6</f>
        <v>0.5</v>
      </c>
      <c r="E50" s="265"/>
      <c r="F50" s="3">
        <f>'Capital &amp; Ownership'!D6</f>
        <v>300000</v>
      </c>
      <c r="G50" s="25" t="s">
        <v>122</v>
      </c>
      <c r="H50" s="292">
        <f>'Capital &amp; Ownership'!E6</f>
        <v>28947</v>
      </c>
      <c r="I50" s="265"/>
      <c r="J50" s="292">
        <f>'Capital &amp; Ownership'!F6</f>
        <v>271053</v>
      </c>
      <c r="K50" s="265"/>
      <c r="L50" s="283">
        <f>IFERROR('Capital &amp; Ownership'!E6/'Capital &amp; Ownership'!D6,0)</f>
        <v>9.6490000000000006E-2</v>
      </c>
      <c r="M50" s="265"/>
    </row>
    <row r="51" spans="2:13" ht="19.95" customHeight="1" x14ac:dyDescent="0.3">
      <c r="B51" s="299" t="str">
        <f>'Capital &amp; Ownership'!B7</f>
        <v>Kashigoud Patil</v>
      </c>
      <c r="C51" s="265"/>
      <c r="D51" s="301">
        <f>'Capital &amp; Ownership'!C7</f>
        <v>0.3</v>
      </c>
      <c r="E51" s="265"/>
      <c r="F51" s="4">
        <f>'Capital &amp; Ownership'!D7</f>
        <v>180000</v>
      </c>
      <c r="G51" s="26" t="s">
        <v>124</v>
      </c>
      <c r="H51" s="319">
        <f>'Capital &amp; Ownership'!E7</f>
        <v>141568.34</v>
      </c>
      <c r="I51" s="265"/>
      <c r="J51" s="319">
        <f>'Capital &amp; Ownership'!F7</f>
        <v>38431.660000000003</v>
      </c>
      <c r="K51" s="265"/>
      <c r="L51" s="301">
        <f>IFERROR('Capital &amp; Ownership'!E7/'Capital &amp; Ownership'!D7,0)</f>
        <v>0.78649077777777776</v>
      </c>
      <c r="M51" s="265"/>
    </row>
    <row r="52" spans="2:13" ht="19.95" customHeight="1" x14ac:dyDescent="0.3">
      <c r="B52" s="297" t="str">
        <f>'Capital &amp; Ownership'!B8</f>
        <v>Shashirekha Basavaraju</v>
      </c>
      <c r="C52" s="265"/>
      <c r="D52" s="283">
        <f>'Capital &amp; Ownership'!C8</f>
        <v>0.2</v>
      </c>
      <c r="E52" s="265"/>
      <c r="F52" s="3">
        <f>'Capital &amp; Ownership'!D8</f>
        <v>120000</v>
      </c>
      <c r="G52" s="25" t="s">
        <v>126</v>
      </c>
      <c r="H52" s="292">
        <f>'Capital &amp; Ownership'!E8</f>
        <v>106895</v>
      </c>
      <c r="I52" s="265"/>
      <c r="J52" s="292">
        <f>'Capital &amp; Ownership'!F8</f>
        <v>13105</v>
      </c>
      <c r="K52" s="265"/>
      <c r="L52" s="283">
        <f>IFERROR('Capital &amp; Ownership'!E8/'Capital &amp; Ownership'!D8,0)</f>
        <v>0.89079166666666665</v>
      </c>
      <c r="M52" s="265"/>
    </row>
    <row r="53" spans="2:13" ht="22.05" customHeight="1" x14ac:dyDescent="0.3">
      <c r="B53" s="309" t="s">
        <v>127</v>
      </c>
      <c r="C53" s="265"/>
      <c r="D53" s="281">
        <f>'Capital &amp; Ownership'!C9</f>
        <v>1</v>
      </c>
      <c r="E53" s="265"/>
      <c r="F53" s="2">
        <f>'Capital &amp; Ownership'!D9</f>
        <v>600000</v>
      </c>
      <c r="G53" s="1"/>
      <c r="H53" s="264">
        <f>'Capital &amp; Ownership'!E9</f>
        <v>277410.33999999997</v>
      </c>
      <c r="I53" s="265"/>
      <c r="J53" s="264">
        <f>'Capital &amp; Ownership'!F9</f>
        <v>322589.66000000003</v>
      </c>
      <c r="K53" s="265"/>
      <c r="L53" s="281">
        <f>IFERROR('Capital &amp; Ownership'!E9/'Capital &amp; Ownership'!D9,0)</f>
        <v>0.46235056666666663</v>
      </c>
      <c r="M53" s="265"/>
    </row>
    <row r="54" spans="2:13" ht="7.95" customHeight="1" x14ac:dyDescent="0.3"/>
    <row r="55" spans="2:13" ht="22.05" customHeight="1" x14ac:dyDescent="0.3">
      <c r="B55" s="320" t="s">
        <v>308</v>
      </c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</row>
    <row r="56" spans="2:13" ht="19.95" customHeight="1" x14ac:dyDescent="0.3">
      <c r="B56" s="298" t="s">
        <v>309</v>
      </c>
      <c r="C56" s="269"/>
      <c r="D56" s="265"/>
      <c r="E56" s="298" t="s">
        <v>310</v>
      </c>
      <c r="F56" s="265"/>
      <c r="G56" s="298" t="s">
        <v>311</v>
      </c>
      <c r="H56" s="265"/>
      <c r="I56" s="298" t="s">
        <v>312</v>
      </c>
      <c r="J56" s="265"/>
      <c r="K56" s="298" t="s">
        <v>65</v>
      </c>
      <c r="L56" s="265"/>
    </row>
    <row r="57" spans="2:13" ht="19.95" customHeight="1" x14ac:dyDescent="0.3">
      <c r="B57" s="279" t="str">
        <f>'Capital &amp; Ownership'!B13</f>
        <v>TOTAL Purchase Price — Previous Owners</v>
      </c>
      <c r="C57" s="269"/>
      <c r="D57" s="265"/>
      <c r="E57" s="304" t="s">
        <v>132</v>
      </c>
      <c r="F57" s="265"/>
      <c r="G57" s="289">
        <f>'Capital &amp; Ownership'!D13</f>
        <v>390000</v>
      </c>
      <c r="H57" s="265"/>
      <c r="I57" s="304" t="s">
        <v>193</v>
      </c>
      <c r="J57" s="265"/>
      <c r="K57" s="304" t="s">
        <v>313</v>
      </c>
      <c r="L57" s="265"/>
    </row>
    <row r="58" spans="2:13" ht="19.95" customHeight="1" x14ac:dyDescent="0.3">
      <c r="B58" s="268" t="str">
        <f>'Capital &amp; Ownership'!B14</f>
        <v>Advance Payment (paid by Lohith)</v>
      </c>
      <c r="C58" s="269"/>
      <c r="D58" s="265"/>
      <c r="E58" s="293" t="s">
        <v>121</v>
      </c>
      <c r="F58" s="265"/>
      <c r="G58" s="295">
        <f>'Capital &amp; Ownership'!D14</f>
        <v>5000</v>
      </c>
      <c r="H58" s="265"/>
      <c r="I58" s="293" t="s">
        <v>314</v>
      </c>
      <c r="J58" s="265"/>
      <c r="K58" s="293" t="s">
        <v>315</v>
      </c>
      <c r="L58" s="265"/>
    </row>
    <row r="59" spans="2:13" ht="19.95" customHeight="1" x14ac:dyDescent="0.3">
      <c r="B59" s="268" t="str">
        <f>'Capital &amp; Ownership'!B27</f>
        <v>Kashigoud Transfer to Lohith</v>
      </c>
      <c r="C59" s="269"/>
      <c r="D59" s="265"/>
      <c r="E59" s="293" t="s">
        <v>123</v>
      </c>
      <c r="F59" s="265"/>
      <c r="G59" s="295">
        <f>'Capital &amp; Ownership'!D27</f>
        <v>125000</v>
      </c>
      <c r="H59" s="265"/>
      <c r="I59" s="293" t="s">
        <v>177</v>
      </c>
      <c r="J59" s="265"/>
      <c r="K59" s="293" t="s">
        <v>315</v>
      </c>
      <c r="L59" s="265"/>
    </row>
    <row r="60" spans="2:13" ht="19.95" customHeight="1" x14ac:dyDescent="0.3">
      <c r="B60" s="268" t="str">
        <f>'Capital &amp; Ownership'!B28</f>
        <v>Shashirekha Transfer to Lohith</v>
      </c>
      <c r="C60" s="269"/>
      <c r="D60" s="265"/>
      <c r="E60" s="293" t="s">
        <v>123</v>
      </c>
      <c r="F60" s="265"/>
      <c r="G60" s="295">
        <f>'Capital &amp; Ownership'!D28</f>
        <v>100000</v>
      </c>
      <c r="H60" s="265"/>
      <c r="I60" s="293" t="s">
        <v>316</v>
      </c>
      <c r="J60" s="265"/>
      <c r="K60" s="293" t="s">
        <v>315</v>
      </c>
      <c r="L60" s="265"/>
    </row>
    <row r="61" spans="2:13" ht="19.95" customHeight="1" x14ac:dyDescent="0.3">
      <c r="B61" s="297">
        <f>'Capital &amp; Ownership'!B39</f>
        <v>0</v>
      </c>
      <c r="C61" s="269"/>
      <c r="D61" s="265"/>
      <c r="E61" s="274" t="s">
        <v>121</v>
      </c>
      <c r="F61" s="265"/>
      <c r="G61" s="292">
        <f>'Capital &amp; Ownership'!D39</f>
        <v>0</v>
      </c>
      <c r="H61" s="265"/>
      <c r="I61" s="274" t="s">
        <v>317</v>
      </c>
      <c r="J61" s="265"/>
      <c r="K61" s="274" t="s">
        <v>315</v>
      </c>
      <c r="L61" s="265"/>
    </row>
    <row r="62" spans="2:13" ht="19.95" customHeight="1" x14ac:dyDescent="0.3">
      <c r="B62" s="297">
        <f>'Capital &amp; Ownership'!B40</f>
        <v>0</v>
      </c>
      <c r="C62" s="269"/>
      <c r="D62" s="265"/>
      <c r="E62" s="274" t="s">
        <v>121</v>
      </c>
      <c r="F62" s="265"/>
      <c r="G62" s="292">
        <f>'Capital &amp; Ownership'!D40</f>
        <v>0</v>
      </c>
      <c r="H62" s="265"/>
      <c r="I62" s="274" t="s">
        <v>200</v>
      </c>
      <c r="J62" s="265"/>
      <c r="K62" s="274" t="s">
        <v>315</v>
      </c>
      <c r="L62" s="265"/>
    </row>
    <row r="63" spans="2:13" ht="19.95" customHeight="1" x14ac:dyDescent="0.3">
      <c r="B63" s="297">
        <f>'Capital &amp; Ownership'!B41</f>
        <v>0</v>
      </c>
      <c r="C63" s="269"/>
      <c r="D63" s="265"/>
      <c r="E63" s="274" t="s">
        <v>121</v>
      </c>
      <c r="F63" s="265"/>
      <c r="G63" s="292">
        <f>'Capital &amp; Ownership'!D41</f>
        <v>0</v>
      </c>
      <c r="H63" s="265"/>
      <c r="I63" s="274" t="s">
        <v>204</v>
      </c>
      <c r="J63" s="265"/>
      <c r="K63" s="274" t="s">
        <v>315</v>
      </c>
      <c r="L63" s="265"/>
    </row>
    <row r="64" spans="2:13" ht="19.95" customHeight="1" x14ac:dyDescent="0.3">
      <c r="B64" s="333" t="s">
        <v>318</v>
      </c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5"/>
    </row>
  </sheetData>
  <mergeCells count="159"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327" t="s">
        <v>319</v>
      </c>
      <c r="B2" s="261"/>
      <c r="C2" s="261"/>
      <c r="D2" s="261"/>
      <c r="E2" s="261"/>
      <c r="F2" s="261"/>
      <c r="G2" s="261"/>
      <c r="H2" s="261"/>
      <c r="I2" s="300" t="s">
        <v>320</v>
      </c>
      <c r="J2" s="261"/>
      <c r="K2" s="261"/>
      <c r="L2" s="261"/>
      <c r="M2" s="261"/>
      <c r="N2" s="261"/>
      <c r="O2" s="261"/>
      <c r="P2" s="261"/>
    </row>
    <row r="3" spans="1:17" ht="3.75" customHeight="1" x14ac:dyDescent="0.3">
      <c r="A3" s="310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</row>
    <row r="4" spans="1:17" ht="7.5" customHeight="1" x14ac:dyDescent="0.3"/>
    <row r="5" spans="1:17" ht="49.5" customHeight="1" x14ac:dyDescent="0.3">
      <c r="B5" s="312" t="s">
        <v>321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3727</v>
      </c>
      <c r="G6" s="31">
        <f ca="1">SUMIFS($G$8:$G$500,$B$8:$B$500,TODAY())</f>
        <v>99</v>
      </c>
      <c r="H6" s="28">
        <f ca="1">SUMIFS($H$8:$H$500,$B$8:$B$500,TODAY())</f>
        <v>3187.11</v>
      </c>
      <c r="I6" s="32">
        <f ca="1">F6-H6</f>
        <v>539.88999999999987</v>
      </c>
      <c r="J6">
        <f ca="1">IFERROR(I6/F6,0)</f>
        <v>0.14485913603434394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78</v>
      </c>
      <c r="C7" s="6" t="s">
        <v>276</v>
      </c>
      <c r="D7" s="6" t="s">
        <v>322</v>
      </c>
      <c r="E7" s="6" t="s">
        <v>323</v>
      </c>
      <c r="F7" s="6" t="s">
        <v>324</v>
      </c>
      <c r="G7" s="6" t="s">
        <v>325</v>
      </c>
      <c r="H7" s="6" t="s">
        <v>326</v>
      </c>
      <c r="I7" s="6" t="s">
        <v>327</v>
      </c>
      <c r="J7" s="6" t="s">
        <v>281</v>
      </c>
      <c r="K7" s="6" t="s">
        <v>31</v>
      </c>
      <c r="L7" s="6" t="s">
        <v>154</v>
      </c>
      <c r="M7" s="6" t="s">
        <v>328</v>
      </c>
      <c r="N7" s="6" t="s">
        <v>329</v>
      </c>
      <c r="O7" s="6" t="s">
        <v>264</v>
      </c>
      <c r="P7" s="6" t="s">
        <v>330</v>
      </c>
      <c r="Q7" s="6" t="s">
        <v>331</v>
      </c>
    </row>
    <row r="8" spans="1:17" ht="16.5" customHeight="1" x14ac:dyDescent="0.3">
      <c r="B8" s="34" t="s">
        <v>332</v>
      </c>
      <c r="C8" s="35" t="s">
        <v>6</v>
      </c>
      <c r="D8" s="36">
        <v>2229</v>
      </c>
      <c r="E8" s="37">
        <v>1460</v>
      </c>
      <c r="F8" s="38">
        <f t="shared" ref="F8:F27" si="0">IFERROR(D8+E8+G8,0)</f>
        <v>3689</v>
      </c>
      <c r="G8" s="39"/>
      <c r="H8" s="40">
        <v>2629</v>
      </c>
      <c r="I8" s="41">
        <f t="shared" ref="I8:I29" si="1">IFERROR(F8-H8,0)</f>
        <v>1060</v>
      </c>
      <c r="J8" s="42">
        <f t="shared" ref="J8:J27" si="2">IFERROR(I8/F8,0)</f>
        <v>0.28734074274871241</v>
      </c>
      <c r="K8" s="43"/>
      <c r="L8" s="9" t="s">
        <v>333</v>
      </c>
      <c r="M8" s="12"/>
      <c r="N8" s="44"/>
      <c r="O8" s="45"/>
      <c r="P8" s="46"/>
      <c r="Q8" s="44"/>
    </row>
    <row r="9" spans="1:17" ht="16.5" customHeight="1" x14ac:dyDescent="0.3">
      <c r="B9" s="34" t="s">
        <v>334</v>
      </c>
      <c r="C9" s="47" t="s">
        <v>7</v>
      </c>
      <c r="D9" s="48">
        <v>2125</v>
      </c>
      <c r="E9" s="49">
        <v>1729</v>
      </c>
      <c r="F9" s="50">
        <f t="shared" si="0"/>
        <v>3854</v>
      </c>
      <c r="G9" s="51"/>
      <c r="H9" s="52"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333</v>
      </c>
      <c r="M9" s="21"/>
      <c r="N9" s="56"/>
      <c r="O9" s="57"/>
      <c r="P9" s="58"/>
      <c r="Q9" s="56"/>
    </row>
    <row r="10" spans="1:17" ht="16.5" customHeight="1" x14ac:dyDescent="0.3">
      <c r="B10" s="34" t="s">
        <v>335</v>
      </c>
      <c r="C10" s="35" t="s">
        <v>8</v>
      </c>
      <c r="D10" s="36">
        <v>1459</v>
      </c>
      <c r="E10" s="37">
        <v>2665</v>
      </c>
      <c r="F10" s="38">
        <f t="shared" si="0"/>
        <v>4124</v>
      </c>
      <c r="G10" s="39"/>
      <c r="H10" s="40"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333</v>
      </c>
      <c r="M10" s="12"/>
      <c r="N10" s="44"/>
      <c r="O10" s="45"/>
      <c r="P10" s="46"/>
      <c r="Q10" s="44"/>
    </row>
    <row r="11" spans="1:17" ht="16.5" customHeight="1" x14ac:dyDescent="0.3">
      <c r="B11" s="34" t="s">
        <v>336</v>
      </c>
      <c r="C11" s="47" t="s">
        <v>9</v>
      </c>
      <c r="D11" s="48">
        <v>2570</v>
      </c>
      <c r="E11" s="49">
        <v>2163</v>
      </c>
      <c r="F11" s="50">
        <f t="shared" si="0"/>
        <v>4733</v>
      </c>
      <c r="G11" s="51"/>
      <c r="H11" s="52"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333</v>
      </c>
      <c r="M11" s="21"/>
      <c r="N11" s="56"/>
      <c r="O11" s="57"/>
      <c r="P11" s="58"/>
      <c r="Q11" s="56"/>
    </row>
    <row r="12" spans="1:17" ht="16.5" customHeight="1" x14ac:dyDescent="0.3">
      <c r="B12" s="34" t="s">
        <v>337</v>
      </c>
      <c r="C12" s="35" t="s">
        <v>10</v>
      </c>
      <c r="D12" s="36">
        <v>1959</v>
      </c>
      <c r="E12" s="37">
        <v>2323</v>
      </c>
      <c r="F12" s="38">
        <f t="shared" si="0"/>
        <v>4282</v>
      </c>
      <c r="G12" s="39"/>
      <c r="H12" s="40"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333</v>
      </c>
      <c r="M12" s="12"/>
      <c r="N12" s="44"/>
      <c r="O12" s="45"/>
      <c r="P12" s="46"/>
      <c r="Q12" s="44"/>
    </row>
    <row r="13" spans="1:17" ht="16.5" customHeight="1" x14ac:dyDescent="0.3">
      <c r="B13" s="34" t="s">
        <v>338</v>
      </c>
      <c r="C13" s="47" t="s">
        <v>11</v>
      </c>
      <c r="D13" s="48">
        <v>2044</v>
      </c>
      <c r="E13" s="49">
        <v>1758</v>
      </c>
      <c r="F13" s="50">
        <f t="shared" si="0"/>
        <v>3802</v>
      </c>
      <c r="G13" s="51"/>
      <c r="H13" s="52">
        <v>8953.43</v>
      </c>
      <c r="I13" s="53">
        <f t="shared" si="1"/>
        <v>-5151.43</v>
      </c>
      <c r="J13" s="54">
        <f t="shared" si="2"/>
        <v>-1.3549263545502368</v>
      </c>
      <c r="K13" s="55" t="s">
        <v>339</v>
      </c>
      <c r="L13" s="18" t="s">
        <v>333</v>
      </c>
      <c r="M13" s="21"/>
      <c r="N13" s="56"/>
      <c r="O13" s="57"/>
      <c r="P13" s="58"/>
      <c r="Q13" s="56"/>
    </row>
    <row r="14" spans="1:17" ht="16.5" customHeight="1" x14ac:dyDescent="0.3">
      <c r="B14" s="34" t="s">
        <v>340</v>
      </c>
      <c r="C14" s="35" t="s">
        <v>12</v>
      </c>
      <c r="D14" s="36"/>
      <c r="E14" s="37">
        <v>1198</v>
      </c>
      <c r="F14" s="38">
        <f t="shared" si="0"/>
        <v>1198</v>
      </c>
      <c r="G14" s="39"/>
      <c r="H14" s="40">
        <v>1076</v>
      </c>
      <c r="I14" s="41">
        <f t="shared" si="1"/>
        <v>122</v>
      </c>
      <c r="J14" s="42">
        <f t="shared" si="2"/>
        <v>0.1018363939899833</v>
      </c>
      <c r="K14" s="43" t="s">
        <v>341</v>
      </c>
      <c r="L14" s="9" t="s">
        <v>333</v>
      </c>
      <c r="M14" s="12"/>
      <c r="N14" s="44"/>
      <c r="O14" s="45"/>
      <c r="P14" s="46"/>
      <c r="Q14" s="44"/>
    </row>
    <row r="15" spans="1:17" ht="16.5" customHeight="1" x14ac:dyDescent="0.3">
      <c r="B15" s="34" t="s">
        <v>342</v>
      </c>
      <c r="C15" s="47" t="s">
        <v>6</v>
      </c>
      <c r="D15" s="48">
        <v>2106</v>
      </c>
      <c r="E15" s="49">
        <v>1624</v>
      </c>
      <c r="F15" s="50">
        <f t="shared" si="0"/>
        <v>3730</v>
      </c>
      <c r="G15" s="51"/>
      <c r="H15" s="52"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333</v>
      </c>
      <c r="M15" s="21"/>
      <c r="N15" s="56"/>
      <c r="O15" s="57"/>
      <c r="P15" s="58"/>
      <c r="Q15" s="56"/>
    </row>
    <row r="16" spans="1:17" ht="16.5" customHeight="1" x14ac:dyDescent="0.3">
      <c r="B16" s="34" t="s">
        <v>343</v>
      </c>
      <c r="C16" s="35" t="s">
        <v>7</v>
      </c>
      <c r="D16" s="36">
        <v>1909</v>
      </c>
      <c r="E16" s="37">
        <v>2355</v>
      </c>
      <c r="F16" s="38">
        <f t="shared" si="0"/>
        <v>4264</v>
      </c>
      <c r="G16" s="39"/>
      <c r="H16" s="40"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333</v>
      </c>
      <c r="M16" s="12"/>
      <c r="N16" s="44"/>
      <c r="O16" s="45"/>
      <c r="P16" s="46"/>
      <c r="Q16" s="44"/>
    </row>
    <row r="17" spans="2:17" ht="16.5" customHeight="1" x14ac:dyDescent="0.3">
      <c r="B17" s="34" t="s">
        <v>344</v>
      </c>
      <c r="C17" s="47" t="s">
        <v>8</v>
      </c>
      <c r="D17" s="48">
        <v>1956</v>
      </c>
      <c r="E17" s="49">
        <v>1665</v>
      </c>
      <c r="F17" s="50">
        <f t="shared" si="0"/>
        <v>3621</v>
      </c>
      <c r="G17" s="51"/>
      <c r="H17" s="52"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333</v>
      </c>
      <c r="M17" s="21"/>
      <c r="N17" s="56"/>
      <c r="O17" s="57"/>
      <c r="P17" s="58"/>
      <c r="Q17" s="56"/>
    </row>
    <row r="18" spans="2:17" ht="16.5" customHeight="1" x14ac:dyDescent="0.3">
      <c r="B18" s="34" t="s">
        <v>345</v>
      </c>
      <c r="C18" s="35" t="s">
        <v>9</v>
      </c>
      <c r="D18" s="36">
        <v>1501</v>
      </c>
      <c r="E18" s="37">
        <v>2569</v>
      </c>
      <c r="F18" s="38">
        <f t="shared" si="0"/>
        <v>4070</v>
      </c>
      <c r="G18" s="39"/>
      <c r="H18" s="40">
        <v>1931.34</v>
      </c>
      <c r="I18" s="41">
        <f t="shared" si="1"/>
        <v>2138.66</v>
      </c>
      <c r="J18" s="42">
        <f t="shared" si="2"/>
        <v>0.52546928746928745</v>
      </c>
      <c r="K18" s="43"/>
      <c r="L18" s="9" t="s">
        <v>333</v>
      </c>
      <c r="M18" s="12"/>
      <c r="N18" s="44"/>
      <c r="O18" s="45"/>
      <c r="P18" s="46"/>
      <c r="Q18" s="44"/>
    </row>
    <row r="19" spans="2:17" ht="16.5" customHeight="1" x14ac:dyDescent="0.3">
      <c r="B19" s="34" t="s">
        <v>346</v>
      </c>
      <c r="C19" s="47" t="s">
        <v>10</v>
      </c>
      <c r="D19" s="48">
        <v>3369</v>
      </c>
      <c r="E19" s="49">
        <v>2717</v>
      </c>
      <c r="F19" s="50">
        <f t="shared" si="0"/>
        <v>6086</v>
      </c>
      <c r="G19" s="51"/>
      <c r="H19" s="52">
        <v>257.29000000000002</v>
      </c>
      <c r="I19" s="53">
        <f t="shared" si="1"/>
        <v>5828.71</v>
      </c>
      <c r="J19" s="54">
        <f t="shared" si="2"/>
        <v>0.95772428524482422</v>
      </c>
      <c r="K19" s="55"/>
      <c r="L19" s="18" t="s">
        <v>333</v>
      </c>
      <c r="M19" s="21"/>
      <c r="N19" s="56"/>
      <c r="O19" s="57"/>
      <c r="P19" s="58"/>
      <c r="Q19" s="56"/>
    </row>
    <row r="20" spans="2:17" ht="16.5" customHeight="1" x14ac:dyDescent="0.3">
      <c r="B20" s="34" t="s">
        <v>347</v>
      </c>
      <c r="C20" s="35" t="s">
        <v>11</v>
      </c>
      <c r="D20" s="36">
        <v>3457</v>
      </c>
      <c r="E20" s="37">
        <v>1146</v>
      </c>
      <c r="F20" s="38">
        <f t="shared" si="0"/>
        <v>4603</v>
      </c>
      <c r="G20" s="39"/>
      <c r="H20" s="40"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333</v>
      </c>
      <c r="M20" s="12"/>
      <c r="N20" s="44"/>
      <c r="O20" s="45"/>
      <c r="P20" s="46"/>
      <c r="Q20" s="44"/>
    </row>
    <row r="21" spans="2:17" ht="16.5" customHeight="1" x14ac:dyDescent="0.3">
      <c r="B21" s="34" t="s">
        <v>348</v>
      </c>
      <c r="C21" s="47" t="s">
        <v>12</v>
      </c>
      <c r="D21" s="48"/>
      <c r="E21" s="49">
        <v>893</v>
      </c>
      <c r="F21" s="50">
        <f t="shared" si="0"/>
        <v>893</v>
      </c>
      <c r="G21" s="51"/>
      <c r="H21" s="52"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333</v>
      </c>
      <c r="M21" s="21"/>
      <c r="N21" s="56"/>
      <c r="O21" s="57"/>
      <c r="P21" s="58"/>
      <c r="Q21" s="56"/>
    </row>
    <row r="22" spans="2:17" ht="16.5" customHeight="1" x14ac:dyDescent="0.3">
      <c r="B22" s="34" t="s">
        <v>349</v>
      </c>
      <c r="C22" s="35" t="s">
        <v>6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v>6029.64</v>
      </c>
      <c r="I22" s="41">
        <f t="shared" si="1"/>
        <v>-1010.6400000000003</v>
      </c>
      <c r="J22" s="42">
        <f t="shared" si="2"/>
        <v>-0.20136282127913935</v>
      </c>
      <c r="K22" s="43"/>
      <c r="L22" s="9" t="s">
        <v>333</v>
      </c>
      <c r="M22" s="12"/>
      <c r="N22" s="44"/>
      <c r="O22" s="45"/>
      <c r="P22" s="46"/>
      <c r="Q22" s="44"/>
    </row>
    <row r="23" spans="2:17" ht="16.5" customHeight="1" x14ac:dyDescent="0.3">
      <c r="B23" s="34" t="s">
        <v>350</v>
      </c>
      <c r="C23" s="47" t="s">
        <v>7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333</v>
      </c>
      <c r="M23" s="21"/>
      <c r="N23" s="56"/>
      <c r="O23" s="57"/>
      <c r="P23" s="58"/>
      <c r="Q23" s="56"/>
    </row>
    <row r="24" spans="2:17" ht="16.5" customHeight="1" x14ac:dyDescent="0.3">
      <c r="B24" s="34" t="s">
        <v>351</v>
      </c>
      <c r="C24" s="35" t="s">
        <v>8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333</v>
      </c>
      <c r="M24" s="12"/>
      <c r="N24" s="44"/>
      <c r="O24" s="45"/>
      <c r="P24" s="46"/>
      <c r="Q24" s="44"/>
    </row>
    <row r="25" spans="2:17" ht="16.5" customHeight="1" x14ac:dyDescent="0.3">
      <c r="B25" s="34" t="s">
        <v>352</v>
      </c>
      <c r="C25" s="47" t="s">
        <v>9</v>
      </c>
      <c r="D25" s="48">
        <v>2712</v>
      </c>
      <c r="E25" s="49">
        <v>1045</v>
      </c>
      <c r="F25" s="50">
        <f t="shared" si="0"/>
        <v>3757</v>
      </c>
      <c r="G25" s="51"/>
      <c r="H25" s="52"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333</v>
      </c>
      <c r="M25" s="21"/>
      <c r="N25" s="56"/>
      <c r="O25" s="57"/>
      <c r="P25" s="58"/>
      <c r="Q25" s="56"/>
    </row>
    <row r="26" spans="2:17" ht="16.5" customHeight="1" x14ac:dyDescent="0.3">
      <c r="B26" s="34" t="s">
        <v>353</v>
      </c>
      <c r="C26" s="35" t="s">
        <v>10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333</v>
      </c>
      <c r="M26" s="12"/>
      <c r="N26" s="44"/>
      <c r="O26" s="45"/>
      <c r="P26" s="46"/>
      <c r="Q26" s="44"/>
    </row>
    <row r="27" spans="2:17" ht="16.5" customHeight="1" x14ac:dyDescent="0.3">
      <c r="B27" s="34" t="s">
        <v>354</v>
      </c>
      <c r="C27" s="47" t="s">
        <v>11</v>
      </c>
      <c r="D27" s="48">
        <v>580</v>
      </c>
      <c r="E27" s="49">
        <v>1754</v>
      </c>
      <c r="F27" s="50">
        <f t="shared" si="0"/>
        <v>2334</v>
      </c>
      <c r="G27" s="51"/>
      <c r="H27" s="52"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333</v>
      </c>
      <c r="M27" s="21"/>
      <c r="N27" s="56"/>
      <c r="O27" s="57"/>
      <c r="P27" s="58"/>
      <c r="Q27" s="56"/>
    </row>
    <row r="28" spans="2:17" ht="16.5" customHeight="1" x14ac:dyDescent="0.3">
      <c r="B28" s="34" t="s">
        <v>355</v>
      </c>
      <c r="C28" s="35" t="s">
        <v>12</v>
      </c>
      <c r="D28" s="36"/>
      <c r="E28" s="37"/>
      <c r="F28" s="38">
        <v>0</v>
      </c>
      <c r="G28" s="39"/>
      <c r="H28" s="40">
        <v>1671</v>
      </c>
      <c r="I28" s="41">
        <f t="shared" si="1"/>
        <v>-1671</v>
      </c>
      <c r="J28" s="42"/>
      <c r="K28" s="43"/>
      <c r="L28" s="9" t="s">
        <v>333</v>
      </c>
      <c r="M28" s="12"/>
      <c r="N28" s="44"/>
      <c r="O28" s="45"/>
      <c r="P28" s="46"/>
      <c r="Q28" s="44"/>
    </row>
    <row r="29" spans="2:17" ht="16.5" customHeight="1" x14ac:dyDescent="0.3">
      <c r="B29" s="34" t="s">
        <v>356</v>
      </c>
      <c r="C29" s="47" t="s">
        <v>6</v>
      </c>
      <c r="D29" s="48">
        <v>1778</v>
      </c>
      <c r="E29" s="49">
        <v>1850</v>
      </c>
      <c r="F29" s="50">
        <f>IFERROR(D29+E29+G29,0)</f>
        <v>3727</v>
      </c>
      <c r="G29" s="51">
        <v>99</v>
      </c>
      <c r="H29" s="52">
        <v>3187.11</v>
      </c>
      <c r="I29" s="53">
        <f t="shared" si="1"/>
        <v>539.88999999999987</v>
      </c>
      <c r="J29" s="54">
        <f>IFERROR(I29/F29,0)</f>
        <v>0.14485913603434394</v>
      </c>
      <c r="K29" s="55"/>
      <c r="L29" s="18" t="s">
        <v>333</v>
      </c>
      <c r="M29" s="21"/>
      <c r="N29" s="56"/>
      <c r="O29" s="57"/>
      <c r="P29" s="58"/>
      <c r="Q29" s="56"/>
    </row>
    <row r="30" spans="2:17" ht="16.5" customHeight="1" x14ac:dyDescent="0.3">
      <c r="B30" s="34"/>
      <c r="C30" s="35"/>
      <c r="D30" s="36"/>
      <c r="E30" s="37"/>
      <c r="F30" s="38"/>
      <c r="G30" s="39"/>
      <c r="H30" s="40"/>
      <c r="I30" s="41"/>
      <c r="J30" s="42"/>
      <c r="K30" s="43"/>
      <c r="L30" s="9"/>
      <c r="M30" s="12"/>
      <c r="N30" s="44"/>
      <c r="O30" s="45"/>
      <c r="P30" s="46"/>
      <c r="Q30" s="44"/>
    </row>
    <row r="31" spans="2:17" ht="16.5" customHeight="1" x14ac:dyDescent="0.3">
      <c r="B31" s="34"/>
      <c r="C31" s="47"/>
      <c r="D31" s="48"/>
      <c r="E31" s="49"/>
      <c r="F31" s="50"/>
      <c r="G31" s="51"/>
      <c r="H31" s="52"/>
      <c r="I31" s="53"/>
      <c r="J31" s="54"/>
      <c r="K31" s="55"/>
      <c r="L31" s="18"/>
      <c r="M31" s="21"/>
      <c r="N31" s="56"/>
      <c r="O31" s="57"/>
      <c r="P31" s="58"/>
      <c r="Q31" s="56"/>
    </row>
    <row r="32" spans="2:17" ht="16.5" customHeight="1" x14ac:dyDescent="0.3">
      <c r="B32" s="34"/>
      <c r="C32" s="35"/>
      <c r="D32" s="36"/>
      <c r="E32" s="37"/>
      <c r="F32" s="38"/>
      <c r="G32" s="39"/>
      <c r="H32" s="40"/>
      <c r="I32" s="41"/>
      <c r="J32" s="42"/>
      <c r="K32" s="43"/>
      <c r="L32" s="9"/>
      <c r="M32" s="12"/>
      <c r="N32" s="44"/>
      <c r="O32" s="45"/>
      <c r="P32" s="46"/>
      <c r="Q32" s="44"/>
    </row>
    <row r="33" spans="2:17" ht="16.5" customHeight="1" x14ac:dyDescent="0.3">
      <c r="B33" s="34"/>
      <c r="C33" s="47"/>
      <c r="D33" s="48"/>
      <c r="E33" s="49"/>
      <c r="F33" s="50"/>
      <c r="G33" s="51"/>
      <c r="H33" s="52"/>
      <c r="I33" s="53"/>
      <c r="J33" s="54"/>
      <c r="K33" s="55"/>
      <c r="L33" s="18"/>
      <c r="M33" s="21"/>
      <c r="N33" s="56"/>
      <c r="O33" s="57"/>
      <c r="P33" s="58"/>
      <c r="Q33" s="56"/>
    </row>
    <row r="34" spans="2:17" ht="16.5" customHeight="1" x14ac:dyDescent="0.3">
      <c r="B34" s="34"/>
      <c r="C34" s="35"/>
      <c r="D34" s="36"/>
      <c r="E34" s="37"/>
      <c r="F34" s="38"/>
      <c r="G34" s="39"/>
      <c r="H34" s="40"/>
      <c r="I34" s="41"/>
      <c r="J34" s="42"/>
      <c r="K34" s="43"/>
      <c r="L34" s="9"/>
      <c r="M34" s="12"/>
      <c r="N34" s="44"/>
      <c r="O34" s="45"/>
      <c r="P34" s="46"/>
      <c r="Q34" s="44"/>
    </row>
    <row r="35" spans="2:17" ht="16.5" customHeight="1" x14ac:dyDescent="0.3">
      <c r="B35" s="34"/>
      <c r="C35" s="47"/>
      <c r="D35" s="48"/>
      <c r="E35" s="49"/>
      <c r="F35" s="50"/>
      <c r="G35" s="51"/>
      <c r="H35" s="52"/>
      <c r="I35" s="53"/>
      <c r="J35" s="54"/>
      <c r="K35" s="55"/>
      <c r="L35" s="18"/>
      <c r="M35" s="21"/>
      <c r="N35" s="56"/>
      <c r="O35" s="57"/>
      <c r="P35" s="58"/>
      <c r="Q35" s="56"/>
    </row>
    <row r="36" spans="2:17" ht="16.5" customHeight="1" x14ac:dyDescent="0.3">
      <c r="B36" s="34"/>
      <c r="C36" s="35"/>
      <c r="D36" s="36"/>
      <c r="E36" s="37"/>
      <c r="F36" s="38"/>
      <c r="G36" s="39"/>
      <c r="H36" s="40"/>
      <c r="I36" s="41"/>
      <c r="J36" s="42"/>
      <c r="K36" s="43"/>
      <c r="L36" s="9"/>
      <c r="M36" s="12"/>
      <c r="N36" s="44"/>
      <c r="O36" s="45"/>
      <c r="P36" s="46"/>
      <c r="Q36" s="44"/>
    </row>
    <row r="37" spans="2:17" ht="16.5" customHeight="1" x14ac:dyDescent="0.3">
      <c r="B37" s="34"/>
      <c r="C37" s="47"/>
      <c r="D37" s="48"/>
      <c r="E37" s="49"/>
      <c r="F37" s="50"/>
      <c r="G37" s="51"/>
      <c r="H37" s="52"/>
      <c r="I37" s="53"/>
      <c r="J37" s="54"/>
      <c r="K37" s="55"/>
      <c r="L37" s="18"/>
      <c r="M37" s="21"/>
      <c r="N37" s="56"/>
      <c r="O37" s="57"/>
      <c r="P37" s="58"/>
      <c r="Q37" s="56"/>
    </row>
    <row r="38" spans="2:17" ht="16.5" customHeight="1" x14ac:dyDescent="0.3">
      <c r="B38" s="34"/>
      <c r="C38" s="35"/>
      <c r="D38" s="36"/>
      <c r="E38" s="37"/>
      <c r="F38" s="38"/>
      <c r="G38" s="39"/>
      <c r="H38" s="40"/>
      <c r="I38" s="41"/>
      <c r="J38" s="42"/>
      <c r="K38" s="43"/>
      <c r="L38" s="9"/>
      <c r="M38" s="12"/>
      <c r="N38" s="44"/>
      <c r="O38" s="45"/>
      <c r="P38" s="46"/>
      <c r="Q38" s="44"/>
    </row>
    <row r="39" spans="2:17" ht="16.5" customHeight="1" x14ac:dyDescent="0.3">
      <c r="B39" s="34"/>
      <c r="C39" s="47"/>
      <c r="D39" s="48"/>
      <c r="E39" s="49"/>
      <c r="F39" s="50"/>
      <c r="G39" s="51"/>
      <c r="H39" s="52"/>
      <c r="I39" s="53"/>
      <c r="J39" s="54"/>
      <c r="K39" s="55"/>
      <c r="L39" s="18"/>
      <c r="M39" s="21"/>
      <c r="N39" s="56"/>
      <c r="O39" s="57"/>
      <c r="P39" s="58"/>
      <c r="Q39" s="56"/>
    </row>
    <row r="40" spans="2:17" ht="16.5" customHeight="1" x14ac:dyDescent="0.3">
      <c r="B40" s="34"/>
      <c r="C40" s="35"/>
      <c r="D40" s="36"/>
      <c r="E40" s="37"/>
      <c r="F40" s="38"/>
      <c r="G40" s="39"/>
      <c r="H40" s="40"/>
      <c r="I40" s="41"/>
      <c r="J40" s="42"/>
      <c r="K40" s="43"/>
      <c r="L40" s="9"/>
      <c r="M40" s="12"/>
      <c r="N40" s="44"/>
      <c r="O40" s="45"/>
      <c r="P40" s="46"/>
      <c r="Q40" s="44"/>
    </row>
    <row r="41" spans="2:17" ht="16.5" customHeight="1" x14ac:dyDescent="0.3">
      <c r="B41" s="34"/>
      <c r="C41" s="47"/>
      <c r="D41" s="48"/>
      <c r="E41" s="49"/>
      <c r="F41" s="50"/>
      <c r="G41" s="51"/>
      <c r="H41" s="52"/>
      <c r="I41" s="53"/>
      <c r="J41" s="54"/>
      <c r="K41" s="55"/>
      <c r="L41" s="18"/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B5:P5"/>
    <mergeCell ref="A2:H2"/>
    <mergeCell ref="I2:P2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27" t="s">
        <v>357</v>
      </c>
      <c r="B2" s="261"/>
      <c r="C2" s="261"/>
      <c r="D2" s="261"/>
      <c r="E2" s="300" t="s">
        <v>358</v>
      </c>
      <c r="F2" s="261"/>
      <c r="G2" s="261"/>
      <c r="H2" s="261"/>
      <c r="I2" s="261"/>
    </row>
    <row r="3" spans="1:10" x14ac:dyDescent="0.3">
      <c r="A3" s="310"/>
      <c r="B3" s="261"/>
      <c r="C3" s="261"/>
      <c r="D3" s="261"/>
      <c r="E3" s="261"/>
      <c r="F3" s="261"/>
      <c r="G3" s="261"/>
      <c r="H3" s="261"/>
      <c r="I3" s="261"/>
    </row>
    <row r="5" spans="1:10" x14ac:dyDescent="0.3">
      <c r="B5" s="59" t="s">
        <v>359</v>
      </c>
      <c r="C5" s="59" t="s">
        <v>360</v>
      </c>
      <c r="D5" s="59" t="s">
        <v>361</v>
      </c>
      <c r="E5" s="59" t="s">
        <v>362</v>
      </c>
      <c r="F5" s="59" t="s">
        <v>363</v>
      </c>
      <c r="G5" s="59" t="s">
        <v>364</v>
      </c>
      <c r="H5" s="59" t="s">
        <v>365</v>
      </c>
      <c r="I5" s="59" t="s">
        <v>366</v>
      </c>
    </row>
    <row r="6" spans="1:10" ht="15.6" customHeight="1" x14ac:dyDescent="0.3">
      <c r="B6" s="60">
        <f ca="1">SUMIFS($F$8:$F$500,$B$8:$B$500,TODAY())</f>
        <v>3187.11</v>
      </c>
      <c r="C6" s="61">
        <f ca="1">SUMIFS($F$8:$F$500,$B$8:$B$500,"&gt;="&amp;(TODAY()-WEEKDAY(TODAY(),2)+1),$B$8:$B$500,"&lt;="&amp;(TODAY()-WEEKDAY(TODAY(),2)+7))</f>
        <v>3187.11</v>
      </c>
      <c r="D6" s="62">
        <f ca="1">SUMIFS($F$8:$F$500,$B$8:$B$500,"&gt;="&amp;DATE(YEAR(TODAY()),MONTH(TODAY()),1),$B$8:$B$500,"&lt;"&amp;DATE(YEAR(TODAY()),MONTH(TODAY())+1,1))</f>
        <v>44552.74</v>
      </c>
      <c r="E6" s="61">
        <f>SUMIF($E$8:$E$500,"Ingredients*",$F$8:$F$500)</f>
        <v>33818.760000000009</v>
      </c>
      <c r="F6" s="63">
        <f>SUMIF($E$8:$E$500,"Staff*",$F$8:$F$500)</f>
        <v>20714.650000000001</v>
      </c>
      <c r="G6" s="62">
        <f>SUMIF($E$8:$E$500,"Supplies*",$F$8:$F$500)+SUMIF($E$8:$E$500,"Utilities*",$F$8:$F$500)</f>
        <v>3438.96</v>
      </c>
      <c r="H6" s="60">
        <f ca="1">SUMIFS($F$8:$F$500,$B$8:$B$500,TODAY())</f>
        <v>3187.11</v>
      </c>
      <c r="I6" s="60">
        <f ca="1">SUMIFS($F$8:$F$500,$B$8:$B$500,"&gt;="&amp;(TODAY()-WEEKDAY(TODAY(),2)+1),$B$8:$B$500,"&lt;="&amp;(TODAY()-WEEKDAY(TODAY(),2)+7))</f>
        <v>3187.11</v>
      </c>
    </row>
    <row r="7" spans="1:10" x14ac:dyDescent="0.3">
      <c r="B7" t="s">
        <v>78</v>
      </c>
      <c r="C7" t="s">
        <v>79</v>
      </c>
      <c r="D7" t="s">
        <v>224</v>
      </c>
      <c r="E7" t="s">
        <v>170</v>
      </c>
      <c r="F7" t="s">
        <v>129</v>
      </c>
      <c r="G7" t="s">
        <v>130</v>
      </c>
      <c r="H7" t="s">
        <v>367</v>
      </c>
      <c r="I7" t="s">
        <v>84</v>
      </c>
      <c r="J7" t="s">
        <v>31</v>
      </c>
    </row>
    <row r="8" spans="1:10" x14ac:dyDescent="0.3">
      <c r="B8" s="64">
        <v>46160</v>
      </c>
      <c r="C8" s="65" t="s">
        <v>368</v>
      </c>
      <c r="D8" s="66" t="s">
        <v>23</v>
      </c>
      <c r="E8" s="65" t="s">
        <v>369</v>
      </c>
      <c r="F8" s="67">
        <v>420</v>
      </c>
      <c r="G8" s="14" t="s">
        <v>370</v>
      </c>
      <c r="H8" s="14" t="s">
        <v>371</v>
      </c>
      <c r="I8" s="43" t="s">
        <v>315</v>
      </c>
    </row>
    <row r="9" spans="1:10" x14ac:dyDescent="0.3">
      <c r="B9" s="64">
        <v>46160</v>
      </c>
      <c r="C9" s="65" t="s">
        <v>372</v>
      </c>
      <c r="D9" s="66" t="s">
        <v>23</v>
      </c>
      <c r="E9" s="65" t="s">
        <v>373</v>
      </c>
      <c r="F9" s="67">
        <v>1068</v>
      </c>
      <c r="G9" s="14" t="s">
        <v>370</v>
      </c>
      <c r="H9" s="14" t="s">
        <v>371</v>
      </c>
      <c r="I9" s="43" t="s">
        <v>315</v>
      </c>
    </row>
    <row r="10" spans="1:10" x14ac:dyDescent="0.3">
      <c r="B10" s="64">
        <v>46160</v>
      </c>
      <c r="C10" s="65" t="s">
        <v>374</v>
      </c>
      <c r="D10" s="68" t="s">
        <v>375</v>
      </c>
      <c r="E10" s="69" t="s">
        <v>376</v>
      </c>
      <c r="F10" s="70">
        <v>522</v>
      </c>
      <c r="G10" s="23" t="s">
        <v>370</v>
      </c>
      <c r="H10" s="23" t="s">
        <v>371</v>
      </c>
      <c r="I10" s="55" t="s">
        <v>315</v>
      </c>
    </row>
    <row r="11" spans="1:10" x14ac:dyDescent="0.3">
      <c r="B11" s="64">
        <v>46160</v>
      </c>
      <c r="C11" s="65" t="s">
        <v>377</v>
      </c>
      <c r="D11" s="66" t="s">
        <v>378</v>
      </c>
      <c r="E11" s="65" t="s">
        <v>379</v>
      </c>
      <c r="F11" s="67">
        <v>129</v>
      </c>
      <c r="G11" s="14" t="s">
        <v>370</v>
      </c>
      <c r="H11" s="14" t="s">
        <v>371</v>
      </c>
      <c r="I11" s="43" t="s">
        <v>315</v>
      </c>
    </row>
    <row r="12" spans="1:10" x14ac:dyDescent="0.3">
      <c r="B12" s="64">
        <v>46160</v>
      </c>
      <c r="C12" s="69" t="s">
        <v>380</v>
      </c>
      <c r="D12" s="68" t="s">
        <v>381</v>
      </c>
      <c r="E12" s="69" t="s">
        <v>382</v>
      </c>
      <c r="F12" s="70">
        <v>400</v>
      </c>
      <c r="G12" s="23" t="s">
        <v>370</v>
      </c>
      <c r="H12" s="23" t="s">
        <v>371</v>
      </c>
      <c r="I12" s="55" t="s">
        <v>315</v>
      </c>
    </row>
    <row r="13" spans="1:10" x14ac:dyDescent="0.3">
      <c r="B13" s="64">
        <v>46160</v>
      </c>
      <c r="C13" s="65" t="s">
        <v>380</v>
      </c>
      <c r="D13" s="66" t="s">
        <v>23</v>
      </c>
      <c r="E13" s="65" t="s">
        <v>382</v>
      </c>
      <c r="F13" s="67">
        <v>90</v>
      </c>
      <c r="G13" s="14" t="s">
        <v>370</v>
      </c>
      <c r="H13" s="14" t="s">
        <v>371</v>
      </c>
      <c r="I13" s="43" t="s">
        <v>315</v>
      </c>
    </row>
    <row r="14" spans="1:10" x14ac:dyDescent="0.3">
      <c r="B14" s="64">
        <v>46161</v>
      </c>
      <c r="C14" s="69" t="s">
        <v>383</v>
      </c>
      <c r="D14" s="68" t="s">
        <v>23</v>
      </c>
      <c r="E14" s="69" t="s">
        <v>373</v>
      </c>
      <c r="F14" s="70">
        <v>30</v>
      </c>
      <c r="G14" s="23" t="s">
        <v>370</v>
      </c>
      <c r="H14" s="23" t="s">
        <v>371</v>
      </c>
      <c r="I14" s="55" t="s">
        <v>315</v>
      </c>
    </row>
    <row r="15" spans="1:10" x14ac:dyDescent="0.3">
      <c r="B15" s="64">
        <v>46162</v>
      </c>
      <c r="C15" s="65" t="s">
        <v>384</v>
      </c>
      <c r="D15" s="68" t="s">
        <v>23</v>
      </c>
      <c r="E15" s="65" t="s">
        <v>382</v>
      </c>
      <c r="F15" s="67">
        <v>65</v>
      </c>
      <c r="G15" s="14" t="s">
        <v>370</v>
      </c>
      <c r="H15" s="14" t="s">
        <v>371</v>
      </c>
      <c r="I15" s="43" t="s">
        <v>315</v>
      </c>
    </row>
    <row r="16" spans="1:10" x14ac:dyDescent="0.3">
      <c r="B16" s="64">
        <v>46162</v>
      </c>
      <c r="C16" s="65" t="s">
        <v>385</v>
      </c>
      <c r="D16" s="68" t="s">
        <v>23</v>
      </c>
      <c r="E16" s="65" t="s">
        <v>373</v>
      </c>
      <c r="F16" s="70">
        <v>26</v>
      </c>
      <c r="G16" s="23" t="s">
        <v>370</v>
      </c>
      <c r="H16" s="23" t="s">
        <v>371</v>
      </c>
      <c r="I16" s="55" t="s">
        <v>315</v>
      </c>
    </row>
    <row r="17" spans="2:9" x14ac:dyDescent="0.3">
      <c r="B17" s="64">
        <v>46162</v>
      </c>
      <c r="C17" s="65" t="s">
        <v>386</v>
      </c>
      <c r="D17" s="66" t="s">
        <v>23</v>
      </c>
      <c r="E17" s="69" t="s">
        <v>369</v>
      </c>
      <c r="F17" s="67">
        <v>88</v>
      </c>
      <c r="G17" s="14" t="s">
        <v>370</v>
      </c>
      <c r="H17" s="14" t="s">
        <v>371</v>
      </c>
      <c r="I17" s="43" t="s">
        <v>315</v>
      </c>
    </row>
    <row r="18" spans="2:9" x14ac:dyDescent="0.3">
      <c r="B18" s="64">
        <v>46162</v>
      </c>
      <c r="C18" s="65" t="s">
        <v>368</v>
      </c>
      <c r="D18" s="68" t="s">
        <v>23</v>
      </c>
      <c r="E18" s="69" t="s">
        <v>369</v>
      </c>
      <c r="F18" s="70">
        <v>1104</v>
      </c>
      <c r="G18" s="23" t="s">
        <v>370</v>
      </c>
      <c r="H18" s="23" t="s">
        <v>371</v>
      </c>
      <c r="I18" s="55" t="s">
        <v>315</v>
      </c>
    </row>
    <row r="19" spans="2:9" x14ac:dyDescent="0.3">
      <c r="B19" s="64">
        <v>46162</v>
      </c>
      <c r="C19" s="65" t="s">
        <v>387</v>
      </c>
      <c r="D19" s="66" t="s">
        <v>23</v>
      </c>
      <c r="E19" s="65" t="s">
        <v>388</v>
      </c>
      <c r="F19" s="67">
        <v>397</v>
      </c>
      <c r="G19" s="14" t="s">
        <v>370</v>
      </c>
      <c r="H19" s="14" t="s">
        <v>371</v>
      </c>
      <c r="I19" s="43" t="s">
        <v>315</v>
      </c>
    </row>
    <row r="20" spans="2:9" x14ac:dyDescent="0.3">
      <c r="B20" s="64">
        <v>46162</v>
      </c>
      <c r="C20" s="65" t="s">
        <v>389</v>
      </c>
      <c r="D20" s="68" t="s">
        <v>23</v>
      </c>
      <c r="E20" s="69" t="s">
        <v>369</v>
      </c>
      <c r="F20" s="70">
        <v>935</v>
      </c>
      <c r="G20" s="23" t="s">
        <v>370</v>
      </c>
      <c r="H20" s="23" t="s">
        <v>371</v>
      </c>
      <c r="I20" s="55" t="s">
        <v>315</v>
      </c>
    </row>
    <row r="21" spans="2:9" x14ac:dyDescent="0.3">
      <c r="B21" s="64">
        <v>46162</v>
      </c>
      <c r="C21" s="65" t="s">
        <v>383</v>
      </c>
      <c r="D21" s="66" t="s">
        <v>23</v>
      </c>
      <c r="E21" s="65" t="s">
        <v>373</v>
      </c>
      <c r="F21" s="67">
        <v>90</v>
      </c>
      <c r="G21" s="14" t="s">
        <v>370</v>
      </c>
      <c r="H21" s="14" t="s">
        <v>371</v>
      </c>
      <c r="I21" s="43" t="s">
        <v>315</v>
      </c>
    </row>
    <row r="22" spans="2:9" x14ac:dyDescent="0.3">
      <c r="B22" s="64">
        <v>46162</v>
      </c>
      <c r="C22" s="65" t="s">
        <v>390</v>
      </c>
      <c r="D22" s="68" t="s">
        <v>23</v>
      </c>
      <c r="E22" s="69" t="s">
        <v>391</v>
      </c>
      <c r="F22" s="70">
        <v>272</v>
      </c>
      <c r="G22" s="23" t="s">
        <v>370</v>
      </c>
      <c r="H22" s="23" t="s">
        <v>371</v>
      </c>
      <c r="I22" s="55" t="s">
        <v>315</v>
      </c>
    </row>
    <row r="23" spans="2:9" x14ac:dyDescent="0.3">
      <c r="B23" s="64">
        <v>46162</v>
      </c>
      <c r="C23" s="65" t="s">
        <v>392</v>
      </c>
      <c r="D23" s="66" t="s">
        <v>23</v>
      </c>
      <c r="E23" s="65" t="s">
        <v>393</v>
      </c>
      <c r="F23" s="67">
        <v>300</v>
      </c>
      <c r="G23" s="14" t="s">
        <v>370</v>
      </c>
      <c r="H23" s="14" t="s">
        <v>371</v>
      </c>
      <c r="I23" s="43" t="s">
        <v>315</v>
      </c>
    </row>
    <row r="24" spans="2:9" x14ac:dyDescent="0.3">
      <c r="B24" s="64">
        <v>46162</v>
      </c>
      <c r="C24" s="65" t="s">
        <v>394</v>
      </c>
      <c r="D24" s="68" t="s">
        <v>23</v>
      </c>
      <c r="E24" s="69" t="s">
        <v>395</v>
      </c>
      <c r="F24" s="70">
        <v>500</v>
      </c>
      <c r="G24" s="23" t="s">
        <v>370</v>
      </c>
      <c r="H24" s="23" t="s">
        <v>371</v>
      </c>
      <c r="I24" s="55" t="s">
        <v>315</v>
      </c>
    </row>
    <row r="25" spans="2:9" x14ac:dyDescent="0.3">
      <c r="B25" s="64">
        <v>46163</v>
      </c>
      <c r="C25" s="65" t="s">
        <v>396</v>
      </c>
      <c r="D25" s="66" t="s">
        <v>397</v>
      </c>
      <c r="E25" s="65" t="s">
        <v>369</v>
      </c>
      <c r="F25" s="67">
        <v>213</v>
      </c>
      <c r="G25" s="14" t="s">
        <v>370</v>
      </c>
      <c r="H25" s="14" t="s">
        <v>371</v>
      </c>
      <c r="I25" s="43" t="s">
        <v>315</v>
      </c>
    </row>
    <row r="26" spans="2:9" x14ac:dyDescent="0.3">
      <c r="B26" s="71">
        <v>46163</v>
      </c>
      <c r="C26" s="69" t="s">
        <v>377</v>
      </c>
      <c r="D26" s="68" t="s">
        <v>378</v>
      </c>
      <c r="E26" s="72" t="s">
        <v>379</v>
      </c>
      <c r="F26" s="70">
        <v>232</v>
      </c>
      <c r="G26" s="23" t="s">
        <v>370</v>
      </c>
      <c r="H26" s="23" t="s">
        <v>371</v>
      </c>
      <c r="I26" s="55" t="s">
        <v>315</v>
      </c>
    </row>
    <row r="27" spans="2:9" x14ac:dyDescent="0.3">
      <c r="B27" s="71">
        <v>46163</v>
      </c>
      <c r="C27" s="69" t="s">
        <v>398</v>
      </c>
      <c r="D27" s="66" t="s">
        <v>399</v>
      </c>
      <c r="E27" s="69" t="s">
        <v>391</v>
      </c>
      <c r="F27" s="67">
        <v>24</v>
      </c>
      <c r="G27" s="14" t="s">
        <v>370</v>
      </c>
      <c r="H27" s="14" t="s">
        <v>371</v>
      </c>
      <c r="I27" s="43" t="s">
        <v>315</v>
      </c>
    </row>
    <row r="28" spans="2:9" x14ac:dyDescent="0.3">
      <c r="B28" s="71">
        <v>46163</v>
      </c>
      <c r="C28" s="69" t="s">
        <v>400</v>
      </c>
      <c r="D28" s="68" t="s">
        <v>401</v>
      </c>
      <c r="E28" s="69" t="s">
        <v>391</v>
      </c>
      <c r="F28" s="70">
        <v>572</v>
      </c>
      <c r="G28" s="23" t="s">
        <v>370</v>
      </c>
      <c r="H28" s="23" t="s">
        <v>371</v>
      </c>
      <c r="I28" s="55" t="s">
        <v>315</v>
      </c>
    </row>
    <row r="29" spans="2:9" x14ac:dyDescent="0.3">
      <c r="B29" s="71">
        <v>46163</v>
      </c>
      <c r="C29" s="69" t="s">
        <v>402</v>
      </c>
      <c r="D29" s="66" t="s">
        <v>23</v>
      </c>
      <c r="E29" s="65" t="s">
        <v>373</v>
      </c>
      <c r="F29" s="67">
        <v>82</v>
      </c>
      <c r="G29" s="14" t="s">
        <v>370</v>
      </c>
      <c r="H29" s="14" t="s">
        <v>371</v>
      </c>
      <c r="I29" s="43" t="s">
        <v>315</v>
      </c>
    </row>
    <row r="30" spans="2:9" x14ac:dyDescent="0.3">
      <c r="B30" s="71">
        <v>46163</v>
      </c>
      <c r="C30" s="69" t="s">
        <v>380</v>
      </c>
      <c r="D30" s="68" t="s">
        <v>381</v>
      </c>
      <c r="E30" s="69" t="s">
        <v>382</v>
      </c>
      <c r="F30" s="70">
        <v>148</v>
      </c>
      <c r="G30" s="23" t="s">
        <v>370</v>
      </c>
      <c r="H30" s="23" t="s">
        <v>371</v>
      </c>
      <c r="I30" s="55" t="s">
        <v>315</v>
      </c>
    </row>
    <row r="31" spans="2:9" x14ac:dyDescent="0.3">
      <c r="B31" s="71">
        <v>46163</v>
      </c>
      <c r="C31" s="69" t="s">
        <v>403</v>
      </c>
      <c r="D31" s="66" t="s">
        <v>381</v>
      </c>
      <c r="E31" s="65" t="s">
        <v>382</v>
      </c>
      <c r="F31" s="67">
        <v>130</v>
      </c>
      <c r="G31" s="14" t="s">
        <v>370</v>
      </c>
      <c r="H31" s="14" t="s">
        <v>371</v>
      </c>
      <c r="I31" s="43" t="s">
        <v>315</v>
      </c>
    </row>
    <row r="32" spans="2:9" x14ac:dyDescent="0.3">
      <c r="B32" s="71">
        <v>46163</v>
      </c>
      <c r="C32" s="69" t="s">
        <v>380</v>
      </c>
      <c r="D32" s="68" t="s">
        <v>381</v>
      </c>
      <c r="E32" s="65" t="s">
        <v>382</v>
      </c>
      <c r="F32" s="70">
        <v>207</v>
      </c>
      <c r="G32" s="23" t="s">
        <v>370</v>
      </c>
      <c r="H32" s="23" t="s">
        <v>371</v>
      </c>
      <c r="I32" s="55" t="s">
        <v>315</v>
      </c>
    </row>
    <row r="33" spans="2:10" x14ac:dyDescent="0.3">
      <c r="B33" s="71">
        <v>46163</v>
      </c>
      <c r="C33" s="69" t="s">
        <v>380</v>
      </c>
      <c r="D33" s="66" t="s">
        <v>381</v>
      </c>
      <c r="E33" s="65" t="s">
        <v>382</v>
      </c>
      <c r="F33" s="67">
        <v>185</v>
      </c>
      <c r="G33" s="14" t="s">
        <v>370</v>
      </c>
      <c r="H33" s="14" t="s">
        <v>371</v>
      </c>
      <c r="I33" s="43" t="s">
        <v>315</v>
      </c>
    </row>
    <row r="34" spans="2:10" x14ac:dyDescent="0.3">
      <c r="B34" s="71">
        <v>46163</v>
      </c>
      <c r="C34" s="69" t="s">
        <v>404</v>
      </c>
      <c r="D34" s="66" t="s">
        <v>381</v>
      </c>
      <c r="E34" s="65" t="s">
        <v>405</v>
      </c>
      <c r="F34" s="70">
        <v>108</v>
      </c>
      <c r="G34" s="23" t="s">
        <v>370</v>
      </c>
      <c r="H34" s="23" t="s">
        <v>371</v>
      </c>
      <c r="I34" s="55" t="s">
        <v>315</v>
      </c>
    </row>
    <row r="35" spans="2:10" x14ac:dyDescent="0.3">
      <c r="B35" s="71">
        <v>46163</v>
      </c>
      <c r="C35" s="69" t="s">
        <v>406</v>
      </c>
      <c r="D35" s="66" t="s">
        <v>407</v>
      </c>
      <c r="E35" s="65" t="s">
        <v>376</v>
      </c>
      <c r="F35" s="67">
        <v>196</v>
      </c>
      <c r="G35" s="14" t="s">
        <v>370</v>
      </c>
      <c r="H35" s="14" t="s">
        <v>371</v>
      </c>
      <c r="I35" s="43" t="s">
        <v>315</v>
      </c>
    </row>
    <row r="36" spans="2:10" x14ac:dyDescent="0.3">
      <c r="B36" s="71">
        <v>46163</v>
      </c>
      <c r="C36" s="69" t="s">
        <v>408</v>
      </c>
      <c r="D36" s="68" t="s">
        <v>409</v>
      </c>
      <c r="E36" s="69" t="s">
        <v>379</v>
      </c>
      <c r="F36" s="70">
        <v>337</v>
      </c>
      <c r="G36" s="23" t="s">
        <v>370</v>
      </c>
      <c r="H36" s="23" t="s">
        <v>371</v>
      </c>
      <c r="I36" s="55" t="s">
        <v>315</v>
      </c>
    </row>
    <row r="37" spans="2:10" ht="15" customHeight="1" thickBot="1" x14ac:dyDescent="0.35">
      <c r="B37" s="73">
        <v>46164</v>
      </c>
      <c r="C37" s="74" t="s">
        <v>410</v>
      </c>
      <c r="D37" s="75" t="s">
        <v>23</v>
      </c>
      <c r="E37" s="74" t="s">
        <v>393</v>
      </c>
      <c r="F37" s="76">
        <v>30</v>
      </c>
      <c r="G37" s="77" t="s">
        <v>370</v>
      </c>
      <c r="H37" s="77" t="s">
        <v>371</v>
      </c>
      <c r="I37" s="78" t="s">
        <v>315</v>
      </c>
    </row>
    <row r="38" spans="2:10" ht="15" customHeight="1" thickBot="1" x14ac:dyDescent="0.35">
      <c r="B38" s="71">
        <v>46164</v>
      </c>
      <c r="C38" s="69" t="s">
        <v>398</v>
      </c>
      <c r="D38" s="66" t="s">
        <v>399</v>
      </c>
      <c r="E38" s="65" t="s">
        <v>391</v>
      </c>
      <c r="F38" s="67">
        <v>24</v>
      </c>
      <c r="G38" s="14" t="s">
        <v>370</v>
      </c>
      <c r="H38" s="14" t="s">
        <v>371</v>
      </c>
      <c r="I38" s="43" t="s">
        <v>315</v>
      </c>
    </row>
    <row r="39" spans="2:10" ht="15" customHeight="1" thickBot="1" x14ac:dyDescent="0.35">
      <c r="B39" s="71">
        <v>46164</v>
      </c>
      <c r="C39" s="69" t="s">
        <v>411</v>
      </c>
      <c r="D39" s="68" t="s">
        <v>412</v>
      </c>
      <c r="E39" s="69" t="s">
        <v>388</v>
      </c>
      <c r="F39" s="70">
        <v>405</v>
      </c>
      <c r="G39" s="23" t="s">
        <v>370</v>
      </c>
      <c r="H39" s="23" t="s">
        <v>371</v>
      </c>
      <c r="I39" s="55" t="s">
        <v>315</v>
      </c>
    </row>
    <row r="40" spans="2:10" ht="15" customHeight="1" thickBot="1" x14ac:dyDescent="0.35">
      <c r="B40" s="73">
        <v>46164</v>
      </c>
      <c r="C40" s="74" t="s">
        <v>413</v>
      </c>
      <c r="D40" s="75" t="s">
        <v>399</v>
      </c>
      <c r="E40" s="74" t="s">
        <v>373</v>
      </c>
      <c r="F40" s="76">
        <v>312</v>
      </c>
      <c r="G40" s="77" t="s">
        <v>370</v>
      </c>
      <c r="H40" s="77" t="s">
        <v>371</v>
      </c>
      <c r="I40" s="78" t="s">
        <v>315</v>
      </c>
    </row>
    <row r="41" spans="2:10" ht="15" customHeight="1" thickBot="1" x14ac:dyDescent="0.35">
      <c r="B41" s="71">
        <v>46164</v>
      </c>
      <c r="C41" s="69" t="s">
        <v>413</v>
      </c>
      <c r="D41" s="66" t="s">
        <v>399</v>
      </c>
      <c r="E41" s="65" t="s">
        <v>373</v>
      </c>
      <c r="F41" s="67">
        <v>52</v>
      </c>
      <c r="G41" s="14" t="s">
        <v>370</v>
      </c>
      <c r="H41" s="14" t="s">
        <v>371</v>
      </c>
      <c r="I41" s="43" t="s">
        <v>315</v>
      </c>
    </row>
    <row r="42" spans="2:10" ht="15" customHeight="1" thickBot="1" x14ac:dyDescent="0.35">
      <c r="B42" s="71">
        <v>46164</v>
      </c>
      <c r="C42" s="69" t="s">
        <v>414</v>
      </c>
      <c r="D42" s="68" t="s">
        <v>399</v>
      </c>
      <c r="E42" s="69" t="s">
        <v>391</v>
      </c>
      <c r="F42" s="70">
        <v>44</v>
      </c>
      <c r="G42" s="23" t="s">
        <v>370</v>
      </c>
      <c r="H42" s="23" t="s">
        <v>371</v>
      </c>
      <c r="I42" s="55" t="s">
        <v>315</v>
      </c>
    </row>
    <row r="43" spans="2:10" ht="15" customHeight="1" thickBot="1" x14ac:dyDescent="0.35">
      <c r="B43" s="73">
        <v>46164</v>
      </c>
      <c r="C43" s="74" t="s">
        <v>415</v>
      </c>
      <c r="D43" s="75" t="s">
        <v>416</v>
      </c>
      <c r="E43" s="74" t="s">
        <v>376</v>
      </c>
      <c r="F43" s="76">
        <v>490</v>
      </c>
      <c r="G43" s="77" t="s">
        <v>370</v>
      </c>
      <c r="H43" s="77" t="s">
        <v>371</v>
      </c>
      <c r="I43" s="78" t="s">
        <v>315</v>
      </c>
    </row>
    <row r="44" spans="2:10" ht="15" customHeight="1" thickBot="1" x14ac:dyDescent="0.35">
      <c r="B44" s="71">
        <v>46164</v>
      </c>
      <c r="C44" s="69" t="s">
        <v>417</v>
      </c>
      <c r="D44" s="66" t="s">
        <v>23</v>
      </c>
      <c r="E44" s="65" t="s">
        <v>393</v>
      </c>
      <c r="F44" s="67">
        <v>100</v>
      </c>
      <c r="G44" s="14" t="s">
        <v>370</v>
      </c>
      <c r="H44" s="14" t="s">
        <v>371</v>
      </c>
      <c r="I44" s="43" t="s">
        <v>315</v>
      </c>
    </row>
    <row r="45" spans="2:10" ht="15" customHeight="1" thickBot="1" x14ac:dyDescent="0.35">
      <c r="B45" s="64">
        <v>46165</v>
      </c>
      <c r="C45" s="69" t="s">
        <v>418</v>
      </c>
      <c r="D45" s="68" t="s">
        <v>419</v>
      </c>
      <c r="E45" s="69" t="s">
        <v>382</v>
      </c>
      <c r="F45" s="70">
        <v>110</v>
      </c>
      <c r="G45" s="23" t="s">
        <v>370</v>
      </c>
      <c r="H45" s="23" t="s">
        <v>371</v>
      </c>
      <c r="I45" s="55" t="s">
        <v>315</v>
      </c>
    </row>
    <row r="46" spans="2:10" x14ac:dyDescent="0.3">
      <c r="B46" s="64">
        <v>46165</v>
      </c>
      <c r="C46" s="65" t="s">
        <v>410</v>
      </c>
      <c r="D46" s="66" t="s">
        <v>23</v>
      </c>
      <c r="E46" s="65" t="s">
        <v>393</v>
      </c>
      <c r="F46" s="67">
        <v>30</v>
      </c>
      <c r="G46" s="14" t="s">
        <v>370</v>
      </c>
      <c r="H46" s="14" t="s">
        <v>371</v>
      </c>
      <c r="I46" s="43" t="s">
        <v>315</v>
      </c>
    </row>
    <row r="47" spans="2:10" x14ac:dyDescent="0.3">
      <c r="B47" s="64">
        <v>46165</v>
      </c>
      <c r="C47" s="69" t="s">
        <v>420</v>
      </c>
      <c r="D47" s="68" t="s">
        <v>421</v>
      </c>
      <c r="E47" s="69" t="s">
        <v>422</v>
      </c>
      <c r="F47" s="70">
        <v>3250</v>
      </c>
      <c r="G47" s="23" t="s">
        <v>370</v>
      </c>
      <c r="H47" s="23" t="s">
        <v>371</v>
      </c>
      <c r="I47" s="55" t="s">
        <v>315</v>
      </c>
      <c r="J47" t="s">
        <v>423</v>
      </c>
    </row>
    <row r="48" spans="2:10" x14ac:dyDescent="0.3">
      <c r="B48" s="64">
        <v>46165</v>
      </c>
      <c r="C48" s="65" t="s">
        <v>424</v>
      </c>
      <c r="D48" s="66" t="s">
        <v>421</v>
      </c>
      <c r="E48" s="65" t="s">
        <v>422</v>
      </c>
      <c r="F48" s="67">
        <v>1500</v>
      </c>
      <c r="G48" s="14" t="s">
        <v>370</v>
      </c>
      <c r="H48" s="14" t="s">
        <v>371</v>
      </c>
      <c r="I48" s="43" t="s">
        <v>315</v>
      </c>
      <c r="J48" t="s">
        <v>425</v>
      </c>
    </row>
    <row r="49" spans="2:10" x14ac:dyDescent="0.3">
      <c r="B49" s="64">
        <v>46165</v>
      </c>
      <c r="C49" s="69" t="s">
        <v>426</v>
      </c>
      <c r="D49" s="68" t="s">
        <v>421</v>
      </c>
      <c r="E49" s="69" t="s">
        <v>422</v>
      </c>
      <c r="F49" s="70">
        <v>666</v>
      </c>
      <c r="G49" s="23" t="s">
        <v>370</v>
      </c>
      <c r="H49" s="23" t="s">
        <v>371</v>
      </c>
      <c r="I49" s="55" t="s">
        <v>315</v>
      </c>
      <c r="J49" t="s">
        <v>427</v>
      </c>
    </row>
    <row r="50" spans="2:10" x14ac:dyDescent="0.3">
      <c r="B50" s="64">
        <v>46165</v>
      </c>
      <c r="C50" s="65" t="s">
        <v>428</v>
      </c>
      <c r="D50" s="66" t="s">
        <v>429</v>
      </c>
      <c r="E50" s="65" t="s">
        <v>430</v>
      </c>
      <c r="F50" s="67">
        <v>515</v>
      </c>
      <c r="G50" s="14" t="s">
        <v>370</v>
      </c>
      <c r="H50" s="14" t="s">
        <v>371</v>
      </c>
      <c r="I50" s="43" t="s">
        <v>315</v>
      </c>
      <c r="J50" t="s">
        <v>431</v>
      </c>
    </row>
    <row r="51" spans="2:10" x14ac:dyDescent="0.3">
      <c r="B51" s="64">
        <v>46165</v>
      </c>
      <c r="C51" s="69" t="s">
        <v>432</v>
      </c>
      <c r="D51" s="68" t="s">
        <v>429</v>
      </c>
      <c r="E51" s="69" t="s">
        <v>430</v>
      </c>
      <c r="F51" s="70">
        <v>515</v>
      </c>
      <c r="G51" s="23" t="s">
        <v>370</v>
      </c>
      <c r="H51" s="23" t="s">
        <v>371</v>
      </c>
      <c r="I51" s="55" t="s">
        <v>315</v>
      </c>
      <c r="J51" t="s">
        <v>431</v>
      </c>
    </row>
    <row r="52" spans="2:10" x14ac:dyDescent="0.3">
      <c r="B52" s="64">
        <v>46165</v>
      </c>
      <c r="C52" s="65" t="s">
        <v>433</v>
      </c>
      <c r="D52" s="66" t="s">
        <v>429</v>
      </c>
      <c r="E52" s="65" t="s">
        <v>430</v>
      </c>
      <c r="F52" s="67">
        <v>168</v>
      </c>
      <c r="G52" s="14" t="s">
        <v>370</v>
      </c>
      <c r="H52" s="14" t="s">
        <v>371</v>
      </c>
      <c r="I52" s="43" t="s">
        <v>151</v>
      </c>
      <c r="J52" t="s">
        <v>434</v>
      </c>
    </row>
    <row r="53" spans="2:10" x14ac:dyDescent="0.3">
      <c r="B53" s="64">
        <v>46165</v>
      </c>
      <c r="C53" s="69" t="s">
        <v>435</v>
      </c>
      <c r="D53" s="68" t="s">
        <v>436</v>
      </c>
      <c r="E53" s="69" t="s">
        <v>373</v>
      </c>
      <c r="F53" s="70">
        <v>408.17</v>
      </c>
      <c r="G53" s="23" t="s">
        <v>370</v>
      </c>
      <c r="H53" s="23" t="s">
        <v>437</v>
      </c>
      <c r="I53" s="55" t="s">
        <v>315</v>
      </c>
      <c r="J53" t="s">
        <v>438</v>
      </c>
    </row>
    <row r="54" spans="2:10" x14ac:dyDescent="0.3">
      <c r="B54" s="64">
        <v>46165</v>
      </c>
      <c r="C54" s="65" t="s">
        <v>439</v>
      </c>
      <c r="D54" s="66" t="s">
        <v>436</v>
      </c>
      <c r="E54" s="65" t="s">
        <v>440</v>
      </c>
      <c r="F54" s="67">
        <v>455.23</v>
      </c>
      <c r="G54" s="14" t="s">
        <v>370</v>
      </c>
      <c r="H54" s="14" t="s">
        <v>437</v>
      </c>
      <c r="I54" s="43" t="s">
        <v>315</v>
      </c>
      <c r="J54" t="s">
        <v>441</v>
      </c>
    </row>
    <row r="55" spans="2:10" x14ac:dyDescent="0.3">
      <c r="B55" s="64">
        <v>46165</v>
      </c>
      <c r="C55" s="69" t="s">
        <v>442</v>
      </c>
      <c r="D55" s="68" t="s">
        <v>443</v>
      </c>
      <c r="E55" s="69" t="s">
        <v>391</v>
      </c>
      <c r="F55" s="70">
        <v>317.13</v>
      </c>
      <c r="G55" s="23" t="s">
        <v>370</v>
      </c>
      <c r="H55" s="23" t="s">
        <v>437</v>
      </c>
      <c r="I55" s="55" t="s">
        <v>315</v>
      </c>
      <c r="J55" t="s">
        <v>444</v>
      </c>
    </row>
    <row r="56" spans="2:10" x14ac:dyDescent="0.3">
      <c r="B56" s="64">
        <v>46165</v>
      </c>
      <c r="C56" s="65" t="s">
        <v>445</v>
      </c>
      <c r="D56" s="66" t="s">
        <v>443</v>
      </c>
      <c r="E56" s="65" t="s">
        <v>391</v>
      </c>
      <c r="F56" s="67">
        <v>317.13</v>
      </c>
      <c r="G56" s="14" t="s">
        <v>370</v>
      </c>
      <c r="H56" s="14" t="s">
        <v>437</v>
      </c>
      <c r="I56" s="43" t="s">
        <v>315</v>
      </c>
      <c r="J56" t="s">
        <v>444</v>
      </c>
    </row>
    <row r="57" spans="2:10" x14ac:dyDescent="0.3">
      <c r="B57" s="64">
        <v>46165</v>
      </c>
      <c r="C57" s="69" t="s">
        <v>446</v>
      </c>
      <c r="D57" s="68" t="s">
        <v>443</v>
      </c>
      <c r="E57" s="69" t="s">
        <v>391</v>
      </c>
      <c r="F57" s="70">
        <v>250.63</v>
      </c>
      <c r="G57" s="23" t="s">
        <v>370</v>
      </c>
      <c r="H57" s="23" t="s">
        <v>437</v>
      </c>
      <c r="I57" s="55" t="s">
        <v>315</v>
      </c>
      <c r="J57" t="s">
        <v>444</v>
      </c>
    </row>
    <row r="58" spans="2:10" x14ac:dyDescent="0.3">
      <c r="B58" s="64">
        <v>46165</v>
      </c>
      <c r="C58" s="65" t="s">
        <v>447</v>
      </c>
      <c r="D58" s="66" t="s">
        <v>443</v>
      </c>
      <c r="E58" s="65" t="s">
        <v>373</v>
      </c>
      <c r="F58" s="67">
        <v>232.22</v>
      </c>
      <c r="G58" s="14" t="s">
        <v>370</v>
      </c>
      <c r="H58" s="14" t="s">
        <v>437</v>
      </c>
      <c r="I58" s="43" t="s">
        <v>315</v>
      </c>
      <c r="J58" t="s">
        <v>444</v>
      </c>
    </row>
    <row r="59" spans="2:10" x14ac:dyDescent="0.3">
      <c r="B59" s="64">
        <v>46165</v>
      </c>
      <c r="C59" s="69" t="s">
        <v>448</v>
      </c>
      <c r="D59" s="68" t="s">
        <v>443</v>
      </c>
      <c r="E59" s="69" t="s">
        <v>382</v>
      </c>
      <c r="F59" s="70">
        <v>218.92</v>
      </c>
      <c r="G59" s="23" t="s">
        <v>370</v>
      </c>
      <c r="H59" s="23" t="s">
        <v>437</v>
      </c>
      <c r="I59" s="55" t="s">
        <v>315</v>
      </c>
      <c r="J59" t="s">
        <v>444</v>
      </c>
    </row>
    <row r="60" spans="2:10" x14ac:dyDescent="0.3">
      <c r="B60" s="64">
        <v>46166</v>
      </c>
      <c r="C60" s="65" t="s">
        <v>449</v>
      </c>
      <c r="D60" s="66" t="s">
        <v>450</v>
      </c>
      <c r="E60" s="65" t="s">
        <v>405</v>
      </c>
      <c r="F60" s="67">
        <v>120</v>
      </c>
      <c r="G60" s="14" t="s">
        <v>370</v>
      </c>
      <c r="H60" s="14" t="s">
        <v>371</v>
      </c>
      <c r="I60" s="43" t="s">
        <v>315</v>
      </c>
    </row>
    <row r="61" spans="2:10" x14ac:dyDescent="0.3">
      <c r="B61" s="64">
        <v>46166</v>
      </c>
      <c r="C61" s="69" t="s">
        <v>451</v>
      </c>
      <c r="D61" s="68" t="s">
        <v>452</v>
      </c>
      <c r="E61" s="69" t="s">
        <v>405</v>
      </c>
      <c r="F61" s="70">
        <v>147</v>
      </c>
      <c r="G61" s="23" t="s">
        <v>370</v>
      </c>
      <c r="H61" s="23" t="s">
        <v>371</v>
      </c>
      <c r="I61" s="55" t="s">
        <v>315</v>
      </c>
    </row>
    <row r="62" spans="2:10" x14ac:dyDescent="0.3">
      <c r="B62" s="64">
        <v>46166</v>
      </c>
      <c r="C62" s="65" t="s">
        <v>453</v>
      </c>
      <c r="D62" s="66" t="s">
        <v>454</v>
      </c>
      <c r="E62" s="65" t="s">
        <v>382</v>
      </c>
      <c r="F62" s="67">
        <v>100</v>
      </c>
      <c r="G62" s="14" t="s">
        <v>370</v>
      </c>
      <c r="H62" s="14" t="s">
        <v>371</v>
      </c>
      <c r="I62" s="43" t="s">
        <v>315</v>
      </c>
    </row>
    <row r="63" spans="2:10" x14ac:dyDescent="0.3">
      <c r="B63" s="64">
        <v>46166</v>
      </c>
      <c r="C63" s="69" t="s">
        <v>455</v>
      </c>
      <c r="D63" s="68" t="s">
        <v>419</v>
      </c>
      <c r="E63" s="69" t="s">
        <v>382</v>
      </c>
      <c r="F63" s="70">
        <v>90</v>
      </c>
      <c r="G63" s="23" t="s">
        <v>370</v>
      </c>
      <c r="H63" s="23" t="s">
        <v>371</v>
      </c>
      <c r="I63" s="55" t="s">
        <v>315</v>
      </c>
    </row>
    <row r="64" spans="2:10" x14ac:dyDescent="0.3">
      <c r="B64" s="64">
        <v>46166</v>
      </c>
      <c r="C64" s="65" t="s">
        <v>456</v>
      </c>
      <c r="D64" s="66" t="s">
        <v>457</v>
      </c>
      <c r="E64" s="65" t="s">
        <v>382</v>
      </c>
      <c r="F64" s="67">
        <v>78</v>
      </c>
      <c r="G64" s="14" t="s">
        <v>370</v>
      </c>
      <c r="H64" s="14" t="s">
        <v>371</v>
      </c>
      <c r="I64" s="43" t="s">
        <v>315</v>
      </c>
    </row>
    <row r="65" spans="2:10" x14ac:dyDescent="0.3">
      <c r="B65" s="64">
        <v>46166</v>
      </c>
      <c r="C65" s="69" t="s">
        <v>458</v>
      </c>
      <c r="D65" s="68" t="s">
        <v>459</v>
      </c>
      <c r="E65" s="69" t="s">
        <v>382</v>
      </c>
      <c r="F65" s="70">
        <v>178</v>
      </c>
      <c r="G65" s="23" t="s">
        <v>370</v>
      </c>
      <c r="H65" s="23" t="s">
        <v>371</v>
      </c>
      <c r="I65" s="55" t="s">
        <v>315</v>
      </c>
    </row>
    <row r="66" spans="2:10" x14ac:dyDescent="0.3">
      <c r="B66" s="64">
        <v>46166</v>
      </c>
      <c r="C66" s="65" t="s">
        <v>460</v>
      </c>
      <c r="D66" s="66" t="s">
        <v>461</v>
      </c>
      <c r="E66" s="65" t="s">
        <v>405</v>
      </c>
      <c r="F66" s="67">
        <v>116</v>
      </c>
      <c r="G66" s="14" t="s">
        <v>370</v>
      </c>
      <c r="H66" s="14" t="s">
        <v>371</v>
      </c>
      <c r="I66" s="43" t="s">
        <v>315</v>
      </c>
    </row>
    <row r="67" spans="2:10" x14ac:dyDescent="0.3">
      <c r="B67" s="64">
        <v>46166</v>
      </c>
      <c r="C67" s="69" t="s">
        <v>462</v>
      </c>
      <c r="D67" s="68" t="s">
        <v>463</v>
      </c>
      <c r="E67" s="69" t="s">
        <v>382</v>
      </c>
      <c r="F67" s="70">
        <v>224</v>
      </c>
      <c r="G67" s="23" t="s">
        <v>370</v>
      </c>
      <c r="H67" s="23" t="s">
        <v>371</v>
      </c>
      <c r="I67" s="55" t="s">
        <v>315</v>
      </c>
    </row>
    <row r="68" spans="2:10" x14ac:dyDescent="0.3">
      <c r="B68" s="64">
        <v>46166</v>
      </c>
      <c r="C68" s="65" t="s">
        <v>464</v>
      </c>
      <c r="D68" s="66" t="s">
        <v>465</v>
      </c>
      <c r="E68" s="65" t="s">
        <v>382</v>
      </c>
      <c r="F68" s="67">
        <v>23</v>
      </c>
      <c r="G68" s="14" t="s">
        <v>370</v>
      </c>
      <c r="H68" s="14" t="s">
        <v>371</v>
      </c>
      <c r="I68" s="43" t="s">
        <v>315</v>
      </c>
      <c r="J68" t="s">
        <v>466</v>
      </c>
    </row>
    <row r="69" spans="2:10" x14ac:dyDescent="0.3">
      <c r="B69" s="64">
        <v>46167</v>
      </c>
      <c r="C69" s="69" t="s">
        <v>467</v>
      </c>
      <c r="D69" s="68" t="s">
        <v>468</v>
      </c>
      <c r="E69" s="69" t="s">
        <v>376</v>
      </c>
      <c r="F69" s="70">
        <v>273</v>
      </c>
      <c r="G69" s="23" t="s">
        <v>370</v>
      </c>
      <c r="H69" s="23" t="s">
        <v>437</v>
      </c>
      <c r="I69" s="55" t="s">
        <v>315</v>
      </c>
      <c r="J69" t="s">
        <v>469</v>
      </c>
    </row>
    <row r="70" spans="2:10" x14ac:dyDescent="0.3">
      <c r="B70" s="64">
        <v>46167</v>
      </c>
      <c r="C70" s="65" t="s">
        <v>470</v>
      </c>
      <c r="D70" s="66" t="s">
        <v>471</v>
      </c>
      <c r="E70" s="65" t="s">
        <v>440</v>
      </c>
      <c r="F70" s="67">
        <v>450</v>
      </c>
      <c r="G70" s="14" t="s">
        <v>370</v>
      </c>
      <c r="H70" s="14" t="s">
        <v>437</v>
      </c>
      <c r="I70" s="43" t="s">
        <v>315</v>
      </c>
      <c r="J70" t="s">
        <v>472</v>
      </c>
    </row>
    <row r="71" spans="2:10" x14ac:dyDescent="0.3">
      <c r="B71" s="64">
        <v>46167</v>
      </c>
      <c r="C71" s="69" t="s">
        <v>473</v>
      </c>
      <c r="D71" s="68" t="s">
        <v>474</v>
      </c>
      <c r="E71" s="69" t="s">
        <v>391</v>
      </c>
      <c r="F71" s="70">
        <v>32</v>
      </c>
      <c r="G71" s="23" t="s">
        <v>370</v>
      </c>
      <c r="H71" s="23" t="s">
        <v>437</v>
      </c>
      <c r="I71" s="55" t="s">
        <v>315</v>
      </c>
    </row>
    <row r="72" spans="2:10" x14ac:dyDescent="0.3">
      <c r="B72" s="64">
        <v>46167</v>
      </c>
      <c r="C72" s="65" t="s">
        <v>475</v>
      </c>
      <c r="D72" s="66" t="s">
        <v>474</v>
      </c>
      <c r="E72" s="65" t="s">
        <v>373</v>
      </c>
      <c r="F72" s="67">
        <v>28.73</v>
      </c>
      <c r="G72" s="14" t="s">
        <v>370</v>
      </c>
      <c r="H72" s="14" t="s">
        <v>437</v>
      </c>
      <c r="I72" s="43" t="s">
        <v>315</v>
      </c>
    </row>
    <row r="73" spans="2:10" x14ac:dyDescent="0.3">
      <c r="B73" s="64">
        <v>46167</v>
      </c>
      <c r="C73" s="69" t="s">
        <v>476</v>
      </c>
      <c r="D73" s="68" t="s">
        <v>474</v>
      </c>
      <c r="E73" s="69" t="s">
        <v>376</v>
      </c>
      <c r="F73" s="70">
        <v>89</v>
      </c>
      <c r="G73" s="23" t="s">
        <v>370</v>
      </c>
      <c r="H73" s="23" t="s">
        <v>437</v>
      </c>
      <c r="I73" s="55" t="s">
        <v>315</v>
      </c>
    </row>
    <row r="74" spans="2:10" x14ac:dyDescent="0.3">
      <c r="B74" s="64">
        <v>46167</v>
      </c>
      <c r="C74" s="65" t="s">
        <v>477</v>
      </c>
      <c r="D74" s="66" t="s">
        <v>474</v>
      </c>
      <c r="E74" s="65" t="s">
        <v>376</v>
      </c>
      <c r="F74" s="67">
        <v>12.6</v>
      </c>
      <c r="G74" s="14" t="s">
        <v>370</v>
      </c>
      <c r="H74" s="14" t="s">
        <v>437</v>
      </c>
      <c r="I74" s="43" t="s">
        <v>315</v>
      </c>
    </row>
    <row r="75" spans="2:10" x14ac:dyDescent="0.3">
      <c r="B75" s="64">
        <v>46167</v>
      </c>
      <c r="C75" s="69" t="s">
        <v>478</v>
      </c>
      <c r="D75" s="68" t="s">
        <v>412</v>
      </c>
      <c r="E75" s="69" t="s">
        <v>388</v>
      </c>
      <c r="F75" s="70">
        <v>494.7</v>
      </c>
      <c r="G75" s="23" t="s">
        <v>370</v>
      </c>
      <c r="H75" s="23" t="s">
        <v>371</v>
      </c>
      <c r="I75" s="55" t="s">
        <v>315</v>
      </c>
      <c r="J75" t="s">
        <v>479</v>
      </c>
    </row>
    <row r="76" spans="2:10" x14ac:dyDescent="0.3">
      <c r="B76" s="64">
        <v>46167</v>
      </c>
      <c r="C76" s="65" t="s">
        <v>480</v>
      </c>
      <c r="D76" s="66" t="s">
        <v>23</v>
      </c>
      <c r="E76" s="65" t="s">
        <v>382</v>
      </c>
      <c r="F76" s="67">
        <v>440</v>
      </c>
      <c r="G76" s="14" t="s">
        <v>370</v>
      </c>
      <c r="H76" s="14" t="s">
        <v>371</v>
      </c>
      <c r="I76" s="43" t="s">
        <v>315</v>
      </c>
      <c r="J76" t="s">
        <v>481</v>
      </c>
    </row>
    <row r="77" spans="2:10" x14ac:dyDescent="0.3">
      <c r="B77" s="64">
        <v>46167</v>
      </c>
      <c r="C77" s="69" t="s">
        <v>482</v>
      </c>
      <c r="D77" s="68" t="s">
        <v>23</v>
      </c>
      <c r="E77" s="69" t="s">
        <v>369</v>
      </c>
      <c r="F77" s="70">
        <v>282</v>
      </c>
      <c r="G77" s="23" t="s">
        <v>370</v>
      </c>
      <c r="H77" s="23" t="s">
        <v>371</v>
      </c>
      <c r="I77" s="55" t="s">
        <v>315</v>
      </c>
      <c r="J77" t="s">
        <v>481</v>
      </c>
    </row>
    <row r="78" spans="2:10" x14ac:dyDescent="0.3">
      <c r="B78" s="64">
        <v>46167</v>
      </c>
      <c r="C78" s="65" t="s">
        <v>483</v>
      </c>
      <c r="D78" s="66" t="s">
        <v>399</v>
      </c>
      <c r="E78" s="65" t="s">
        <v>373</v>
      </c>
      <c r="F78" s="67">
        <v>25</v>
      </c>
      <c r="G78" s="14" t="s">
        <v>370</v>
      </c>
      <c r="H78" s="14" t="s">
        <v>437</v>
      </c>
      <c r="I78" s="43" t="s">
        <v>315</v>
      </c>
      <c r="J78" t="s">
        <v>484</v>
      </c>
    </row>
    <row r="79" spans="2:10" x14ac:dyDescent="0.3">
      <c r="B79" s="64">
        <v>46167</v>
      </c>
      <c r="C79" s="69" t="s">
        <v>485</v>
      </c>
      <c r="D79" s="68" t="s">
        <v>486</v>
      </c>
      <c r="E79" s="69" t="s">
        <v>369</v>
      </c>
      <c r="F79" s="70">
        <v>323.36</v>
      </c>
      <c r="G79" s="23" t="s">
        <v>370</v>
      </c>
      <c r="H79" s="23" t="s">
        <v>437</v>
      </c>
      <c r="I79" s="55" t="s">
        <v>315</v>
      </c>
      <c r="J79" t="s">
        <v>487</v>
      </c>
    </row>
    <row r="80" spans="2:10" x14ac:dyDescent="0.3">
      <c r="B80" s="64">
        <v>46167</v>
      </c>
      <c r="C80" s="65" t="s">
        <v>488</v>
      </c>
      <c r="D80" s="66" t="s">
        <v>486</v>
      </c>
      <c r="E80" s="65" t="s">
        <v>405</v>
      </c>
      <c r="F80" s="67">
        <v>37.82</v>
      </c>
      <c r="G80" s="14" t="s">
        <v>370</v>
      </c>
      <c r="H80" s="14" t="s">
        <v>437</v>
      </c>
      <c r="I80" s="43" t="s">
        <v>315</v>
      </c>
    </row>
    <row r="81" spans="2:10" x14ac:dyDescent="0.3">
      <c r="B81" s="64">
        <v>46167</v>
      </c>
      <c r="C81" s="69" t="s">
        <v>489</v>
      </c>
      <c r="D81" s="68" t="s">
        <v>486</v>
      </c>
      <c r="E81" s="69" t="s">
        <v>405</v>
      </c>
      <c r="F81" s="70">
        <v>45.24</v>
      </c>
      <c r="G81" s="23" t="s">
        <v>370</v>
      </c>
      <c r="H81" s="23" t="s">
        <v>437</v>
      </c>
      <c r="I81" s="55" t="s">
        <v>315</v>
      </c>
    </row>
    <row r="82" spans="2:10" x14ac:dyDescent="0.3">
      <c r="B82" s="64">
        <v>46167</v>
      </c>
      <c r="C82" s="65" t="s">
        <v>490</v>
      </c>
      <c r="D82" s="66" t="s">
        <v>436</v>
      </c>
      <c r="E82" s="65" t="s">
        <v>373</v>
      </c>
      <c r="F82" s="67">
        <v>488</v>
      </c>
      <c r="G82" s="14" t="s">
        <v>370</v>
      </c>
      <c r="H82" s="14" t="s">
        <v>437</v>
      </c>
      <c r="I82" s="43" t="s">
        <v>315</v>
      </c>
      <c r="J82" t="s">
        <v>491</v>
      </c>
    </row>
    <row r="83" spans="2:10" x14ac:dyDescent="0.3">
      <c r="B83" s="64">
        <v>46168</v>
      </c>
      <c r="C83" s="69" t="s">
        <v>492</v>
      </c>
      <c r="D83" s="68" t="s">
        <v>399</v>
      </c>
      <c r="E83" s="69" t="s">
        <v>373</v>
      </c>
      <c r="F83" s="70">
        <v>47.6</v>
      </c>
      <c r="G83" s="23" t="s">
        <v>370</v>
      </c>
      <c r="H83" s="23" t="s">
        <v>437</v>
      </c>
      <c r="I83" s="55" t="s">
        <v>315</v>
      </c>
      <c r="J83" t="s">
        <v>493</v>
      </c>
    </row>
    <row r="84" spans="2:10" x14ac:dyDescent="0.3">
      <c r="B84" s="64">
        <v>46168</v>
      </c>
      <c r="C84" s="65" t="s">
        <v>494</v>
      </c>
      <c r="D84" s="66" t="s">
        <v>468</v>
      </c>
      <c r="E84" s="65" t="s">
        <v>376</v>
      </c>
      <c r="F84" s="67">
        <v>288</v>
      </c>
      <c r="G84" s="14" t="s">
        <v>370</v>
      </c>
      <c r="H84" s="14" t="s">
        <v>437</v>
      </c>
      <c r="I84" s="43" t="s">
        <v>315</v>
      </c>
      <c r="J84" t="s">
        <v>495</v>
      </c>
    </row>
    <row r="85" spans="2:10" x14ac:dyDescent="0.3">
      <c r="B85" s="64">
        <v>46168</v>
      </c>
      <c r="C85" s="69" t="s">
        <v>496</v>
      </c>
      <c r="D85" s="68" t="s">
        <v>497</v>
      </c>
      <c r="E85" s="69" t="s">
        <v>388</v>
      </c>
      <c r="F85" s="70">
        <v>244</v>
      </c>
      <c r="G85" s="23" t="s">
        <v>370</v>
      </c>
      <c r="H85" s="23" t="s">
        <v>371</v>
      </c>
      <c r="I85" s="55" t="s">
        <v>315</v>
      </c>
      <c r="J85" t="s">
        <v>498</v>
      </c>
    </row>
    <row r="86" spans="2:10" x14ac:dyDescent="0.3">
      <c r="B86" s="64">
        <v>46168</v>
      </c>
      <c r="C86" s="65" t="s">
        <v>499</v>
      </c>
      <c r="D86" s="66" t="s">
        <v>500</v>
      </c>
      <c r="E86" s="65" t="s">
        <v>369</v>
      </c>
      <c r="F86" s="67">
        <v>586</v>
      </c>
      <c r="G86" s="14" t="s">
        <v>370</v>
      </c>
      <c r="H86" s="14" t="s">
        <v>437</v>
      </c>
      <c r="I86" s="43" t="s">
        <v>315</v>
      </c>
      <c r="J86" t="s">
        <v>501</v>
      </c>
    </row>
    <row r="87" spans="2:10" x14ac:dyDescent="0.3">
      <c r="B87" s="64">
        <v>46168</v>
      </c>
      <c r="C87" s="69" t="s">
        <v>502</v>
      </c>
      <c r="D87" s="68" t="s">
        <v>23</v>
      </c>
      <c r="E87" s="69" t="s">
        <v>373</v>
      </c>
      <c r="F87" s="70">
        <v>26</v>
      </c>
      <c r="G87" s="23" t="s">
        <v>370</v>
      </c>
      <c r="H87" s="23" t="s">
        <v>371</v>
      </c>
      <c r="I87" s="55" t="s">
        <v>315</v>
      </c>
      <c r="J87" t="s">
        <v>503</v>
      </c>
    </row>
    <row r="88" spans="2:10" x14ac:dyDescent="0.3">
      <c r="B88" s="64">
        <v>46169</v>
      </c>
      <c r="C88" s="65" t="s">
        <v>504</v>
      </c>
      <c r="D88" s="66" t="s">
        <v>505</v>
      </c>
      <c r="E88" s="65" t="s">
        <v>369</v>
      </c>
      <c r="F88" s="67">
        <v>170.22</v>
      </c>
      <c r="G88" s="14" t="s">
        <v>370</v>
      </c>
      <c r="H88" s="14" t="s">
        <v>437</v>
      </c>
      <c r="I88" s="43" t="s">
        <v>315</v>
      </c>
      <c r="J88" t="s">
        <v>506</v>
      </c>
    </row>
    <row r="89" spans="2:10" x14ac:dyDescent="0.3">
      <c r="B89" s="64">
        <v>46169</v>
      </c>
      <c r="C89" s="69" t="s">
        <v>507</v>
      </c>
      <c r="D89" s="68" t="s">
        <v>399</v>
      </c>
      <c r="E89" s="69" t="s">
        <v>373</v>
      </c>
      <c r="F89" s="70">
        <v>60</v>
      </c>
      <c r="G89" s="23" t="s">
        <v>370</v>
      </c>
      <c r="H89" s="23" t="s">
        <v>437</v>
      </c>
      <c r="I89" s="55" t="s">
        <v>315</v>
      </c>
      <c r="J89" t="s">
        <v>508</v>
      </c>
    </row>
    <row r="90" spans="2:10" x14ac:dyDescent="0.3">
      <c r="B90" s="64">
        <v>46169</v>
      </c>
      <c r="C90" s="65" t="s">
        <v>509</v>
      </c>
      <c r="D90" s="66" t="s">
        <v>510</v>
      </c>
      <c r="E90" s="65" t="s">
        <v>511</v>
      </c>
      <c r="F90" s="67">
        <v>260</v>
      </c>
      <c r="G90" s="14" t="s">
        <v>370</v>
      </c>
      <c r="H90" s="14" t="s">
        <v>437</v>
      </c>
      <c r="I90" s="43" t="s">
        <v>315</v>
      </c>
      <c r="J90" t="s">
        <v>512</v>
      </c>
    </row>
    <row r="91" spans="2:10" x14ac:dyDescent="0.3">
      <c r="B91" s="64">
        <v>46169</v>
      </c>
      <c r="C91" s="69" t="s">
        <v>513</v>
      </c>
      <c r="D91" s="68" t="s">
        <v>500</v>
      </c>
      <c r="E91" s="69" t="s">
        <v>369</v>
      </c>
      <c r="F91" s="70">
        <v>236</v>
      </c>
      <c r="G91" s="23" t="s">
        <v>370</v>
      </c>
      <c r="H91" s="23" t="s">
        <v>437</v>
      </c>
      <c r="I91" s="55" t="s">
        <v>315</v>
      </c>
      <c r="J91" t="s">
        <v>501</v>
      </c>
    </row>
    <row r="92" spans="2:10" x14ac:dyDescent="0.3">
      <c r="B92" s="64">
        <v>46169</v>
      </c>
      <c r="C92" s="65" t="s">
        <v>502</v>
      </c>
      <c r="D92" s="66" t="s">
        <v>23</v>
      </c>
      <c r="E92" s="65" t="s">
        <v>373</v>
      </c>
      <c r="F92" s="67">
        <v>52</v>
      </c>
      <c r="G92" s="14" t="s">
        <v>370</v>
      </c>
      <c r="H92" s="14" t="s">
        <v>371</v>
      </c>
      <c r="I92" s="43" t="s">
        <v>315</v>
      </c>
      <c r="J92" t="s">
        <v>503</v>
      </c>
    </row>
    <row r="93" spans="2:10" x14ac:dyDescent="0.3">
      <c r="B93" s="64">
        <v>46169</v>
      </c>
      <c r="C93" s="69" t="s">
        <v>380</v>
      </c>
      <c r="D93" s="68" t="s">
        <v>23</v>
      </c>
      <c r="E93" s="69" t="s">
        <v>382</v>
      </c>
      <c r="F93" s="70">
        <v>295</v>
      </c>
      <c r="G93" s="23" t="s">
        <v>370</v>
      </c>
      <c r="H93" s="23" t="s">
        <v>371</v>
      </c>
      <c r="I93" s="55" t="s">
        <v>315</v>
      </c>
      <c r="J93" t="s">
        <v>503</v>
      </c>
    </row>
    <row r="94" spans="2:10" x14ac:dyDescent="0.3">
      <c r="B94" s="64">
        <v>46170</v>
      </c>
      <c r="C94" s="65" t="s">
        <v>514</v>
      </c>
      <c r="D94" s="66" t="s">
        <v>500</v>
      </c>
      <c r="E94" s="65" t="s">
        <v>369</v>
      </c>
      <c r="F94" s="67">
        <v>530</v>
      </c>
      <c r="G94" s="14" t="s">
        <v>370</v>
      </c>
      <c r="H94" s="14" t="s">
        <v>437</v>
      </c>
      <c r="I94" s="43" t="s">
        <v>315</v>
      </c>
      <c r="J94" t="s">
        <v>515</v>
      </c>
    </row>
    <row r="95" spans="2:10" x14ac:dyDescent="0.3">
      <c r="B95" s="64">
        <v>46170</v>
      </c>
      <c r="C95" s="69" t="s">
        <v>516</v>
      </c>
      <c r="D95" s="68" t="s">
        <v>517</v>
      </c>
      <c r="E95" s="69" t="s">
        <v>369</v>
      </c>
      <c r="F95" s="70">
        <v>83.91</v>
      </c>
      <c r="G95" s="23" t="s">
        <v>370</v>
      </c>
      <c r="H95" s="23" t="s">
        <v>437</v>
      </c>
      <c r="I95" s="55" t="s">
        <v>315</v>
      </c>
      <c r="J95" t="s">
        <v>518</v>
      </c>
    </row>
    <row r="96" spans="2:10" x14ac:dyDescent="0.3">
      <c r="B96" s="64">
        <v>46170</v>
      </c>
      <c r="C96" s="65" t="s">
        <v>519</v>
      </c>
      <c r="D96" s="66" t="s">
        <v>474</v>
      </c>
      <c r="E96" s="65" t="s">
        <v>391</v>
      </c>
      <c r="F96" s="67">
        <v>56.11</v>
      </c>
      <c r="G96" s="14" t="s">
        <v>370</v>
      </c>
      <c r="H96" s="14" t="s">
        <v>437</v>
      </c>
      <c r="I96" s="43" t="s">
        <v>315</v>
      </c>
    </row>
    <row r="97" spans="2:10" x14ac:dyDescent="0.3">
      <c r="B97" s="64">
        <v>46170</v>
      </c>
      <c r="C97" s="69" t="s">
        <v>520</v>
      </c>
      <c r="D97" s="68" t="s">
        <v>474</v>
      </c>
      <c r="E97" s="69" t="s">
        <v>393</v>
      </c>
      <c r="F97" s="70">
        <v>23.2</v>
      </c>
      <c r="G97" s="23" t="s">
        <v>370</v>
      </c>
      <c r="H97" s="23" t="s">
        <v>437</v>
      </c>
      <c r="I97" s="55" t="s">
        <v>315</v>
      </c>
      <c r="J97" t="s">
        <v>521</v>
      </c>
    </row>
    <row r="98" spans="2:10" x14ac:dyDescent="0.3">
      <c r="B98" s="64">
        <v>46170</v>
      </c>
      <c r="C98" s="65" t="s">
        <v>522</v>
      </c>
      <c r="D98" s="66" t="s">
        <v>399</v>
      </c>
      <c r="E98" s="65" t="s">
        <v>391</v>
      </c>
      <c r="F98" s="67">
        <v>48</v>
      </c>
      <c r="G98" s="14" t="s">
        <v>370</v>
      </c>
      <c r="H98" s="14" t="s">
        <v>437</v>
      </c>
      <c r="I98" s="43" t="s">
        <v>315</v>
      </c>
      <c r="J98" t="s">
        <v>523</v>
      </c>
    </row>
    <row r="99" spans="2:10" x14ac:dyDescent="0.3">
      <c r="B99" s="64">
        <v>46170</v>
      </c>
      <c r="C99" s="69" t="s">
        <v>524</v>
      </c>
      <c r="D99" s="68" t="s">
        <v>525</v>
      </c>
      <c r="E99" s="69" t="s">
        <v>369</v>
      </c>
      <c r="F99" s="70">
        <v>336</v>
      </c>
      <c r="G99" s="23" t="s">
        <v>370</v>
      </c>
      <c r="H99" s="23" t="s">
        <v>371</v>
      </c>
      <c r="I99" s="55" t="s">
        <v>315</v>
      </c>
      <c r="J99" t="s">
        <v>526</v>
      </c>
    </row>
    <row r="100" spans="2:10" x14ac:dyDescent="0.3">
      <c r="B100" s="64">
        <v>46170</v>
      </c>
      <c r="C100" s="65" t="s">
        <v>527</v>
      </c>
      <c r="D100" s="66" t="s">
        <v>401</v>
      </c>
      <c r="E100" s="65" t="s">
        <v>391</v>
      </c>
      <c r="F100" s="67">
        <v>296.12</v>
      </c>
      <c r="G100" s="14" t="s">
        <v>370</v>
      </c>
      <c r="H100" s="14" t="s">
        <v>437</v>
      </c>
      <c r="I100" s="43" t="s">
        <v>315</v>
      </c>
      <c r="J100" t="s">
        <v>528</v>
      </c>
    </row>
    <row r="101" spans="2:10" x14ac:dyDescent="0.3">
      <c r="B101" s="64">
        <v>46170</v>
      </c>
      <c r="C101" s="69" t="s">
        <v>529</v>
      </c>
      <c r="D101" s="68" t="s">
        <v>530</v>
      </c>
      <c r="E101" s="69" t="s">
        <v>391</v>
      </c>
      <c r="F101" s="70">
        <v>135</v>
      </c>
      <c r="G101" s="23" t="s">
        <v>370</v>
      </c>
      <c r="H101" s="23" t="s">
        <v>371</v>
      </c>
      <c r="I101" s="55" t="s">
        <v>315</v>
      </c>
      <c r="J101" t="s">
        <v>531</v>
      </c>
    </row>
    <row r="102" spans="2:10" x14ac:dyDescent="0.3">
      <c r="B102" s="64">
        <v>46170</v>
      </c>
      <c r="C102" s="65" t="s">
        <v>532</v>
      </c>
      <c r="D102" s="66" t="s">
        <v>23</v>
      </c>
      <c r="E102" s="65" t="s">
        <v>382</v>
      </c>
      <c r="F102" s="67">
        <v>48</v>
      </c>
      <c r="G102" s="14" t="s">
        <v>370</v>
      </c>
      <c r="H102" s="14" t="s">
        <v>371</v>
      </c>
      <c r="I102" s="43" t="s">
        <v>315</v>
      </c>
      <c r="J102" t="s">
        <v>533</v>
      </c>
    </row>
    <row r="103" spans="2:10" x14ac:dyDescent="0.3">
      <c r="B103" s="64">
        <v>46170</v>
      </c>
      <c r="C103" s="69" t="s">
        <v>534</v>
      </c>
      <c r="D103" s="68" t="s">
        <v>23</v>
      </c>
      <c r="E103" s="69" t="s">
        <v>393</v>
      </c>
      <c r="F103" s="70">
        <v>100</v>
      </c>
      <c r="G103" s="23" t="s">
        <v>370</v>
      </c>
      <c r="H103" s="23" t="s">
        <v>371</v>
      </c>
      <c r="I103" s="55" t="s">
        <v>315</v>
      </c>
      <c r="J103" t="s">
        <v>533</v>
      </c>
    </row>
    <row r="104" spans="2:10" x14ac:dyDescent="0.3">
      <c r="B104" s="64">
        <v>46170</v>
      </c>
      <c r="C104" s="65" t="s">
        <v>410</v>
      </c>
      <c r="D104" s="66" t="s">
        <v>23</v>
      </c>
      <c r="E104" s="65" t="s">
        <v>393</v>
      </c>
      <c r="F104" s="67">
        <v>45</v>
      </c>
      <c r="G104" s="14" t="s">
        <v>370</v>
      </c>
      <c r="H104" s="14" t="s">
        <v>371</v>
      </c>
      <c r="I104" s="43" t="s">
        <v>315</v>
      </c>
      <c r="J104" t="s">
        <v>533</v>
      </c>
    </row>
    <row r="105" spans="2:10" x14ac:dyDescent="0.3">
      <c r="B105" s="64">
        <v>46170</v>
      </c>
      <c r="C105" s="69" t="s">
        <v>535</v>
      </c>
      <c r="D105" s="68" t="s">
        <v>23</v>
      </c>
      <c r="E105" s="69" t="s">
        <v>382</v>
      </c>
      <c r="F105" s="70">
        <v>200</v>
      </c>
      <c r="G105" s="23" t="s">
        <v>370</v>
      </c>
      <c r="H105" s="23" t="s">
        <v>371</v>
      </c>
      <c r="I105" s="55" t="s">
        <v>315</v>
      </c>
      <c r="J105" t="s">
        <v>533</v>
      </c>
    </row>
    <row r="106" spans="2:10" x14ac:dyDescent="0.3">
      <c r="B106" s="64">
        <v>46170</v>
      </c>
      <c r="C106" s="65" t="s">
        <v>532</v>
      </c>
      <c r="D106" s="66" t="s">
        <v>23</v>
      </c>
      <c r="E106" s="65" t="s">
        <v>382</v>
      </c>
      <c r="F106" s="67">
        <v>30</v>
      </c>
      <c r="G106" s="14" t="s">
        <v>370</v>
      </c>
      <c r="H106" s="14" t="s">
        <v>371</v>
      </c>
      <c r="I106" s="43" t="s">
        <v>315</v>
      </c>
      <c r="J106" t="s">
        <v>533</v>
      </c>
    </row>
    <row r="107" spans="2:10" x14ac:dyDescent="0.3">
      <c r="B107" s="64">
        <v>46171</v>
      </c>
      <c r="C107" s="69" t="s">
        <v>536</v>
      </c>
      <c r="D107" s="68" t="s">
        <v>537</v>
      </c>
      <c r="E107" s="69" t="s">
        <v>382</v>
      </c>
      <c r="F107" s="70">
        <v>99.47</v>
      </c>
      <c r="G107" s="23" t="s">
        <v>370</v>
      </c>
      <c r="H107" s="23" t="s">
        <v>371</v>
      </c>
      <c r="I107" s="55" t="s">
        <v>315</v>
      </c>
      <c r="J107" t="s">
        <v>538</v>
      </c>
    </row>
    <row r="108" spans="2:10" x14ac:dyDescent="0.3">
      <c r="B108" s="64">
        <v>46171</v>
      </c>
      <c r="C108" s="65" t="s">
        <v>539</v>
      </c>
      <c r="D108" s="66" t="s">
        <v>486</v>
      </c>
      <c r="E108" s="65" t="s">
        <v>373</v>
      </c>
      <c r="F108" s="67">
        <v>51.92</v>
      </c>
      <c r="G108" s="14" t="s">
        <v>370</v>
      </c>
      <c r="H108" s="14" t="s">
        <v>437</v>
      </c>
      <c r="I108" s="43" t="s">
        <v>315</v>
      </c>
    </row>
    <row r="109" spans="2:10" x14ac:dyDescent="0.3">
      <c r="B109" s="64">
        <v>46171</v>
      </c>
      <c r="C109" s="69" t="s">
        <v>540</v>
      </c>
      <c r="D109" s="68" t="s">
        <v>486</v>
      </c>
      <c r="E109" s="69" t="s">
        <v>376</v>
      </c>
      <c r="F109" s="70">
        <v>36</v>
      </c>
      <c r="G109" s="23" t="s">
        <v>370</v>
      </c>
      <c r="H109" s="23" t="s">
        <v>437</v>
      </c>
      <c r="I109" s="55" t="s">
        <v>315</v>
      </c>
    </row>
    <row r="110" spans="2:10" x14ac:dyDescent="0.3">
      <c r="B110" s="64">
        <v>46171</v>
      </c>
      <c r="C110" s="65" t="s">
        <v>541</v>
      </c>
      <c r="D110" s="66" t="s">
        <v>486</v>
      </c>
      <c r="E110" s="65" t="s">
        <v>376</v>
      </c>
      <c r="F110" s="67">
        <v>69.900000000000006</v>
      </c>
      <c r="G110" s="14" t="s">
        <v>370</v>
      </c>
      <c r="H110" s="14" t="s">
        <v>437</v>
      </c>
      <c r="I110" s="43" t="s">
        <v>315</v>
      </c>
    </row>
    <row r="111" spans="2:10" x14ac:dyDescent="0.3">
      <c r="B111" s="64">
        <v>46172</v>
      </c>
      <c r="C111" s="69" t="s">
        <v>542</v>
      </c>
      <c r="D111" s="68" t="s">
        <v>523</v>
      </c>
      <c r="E111" s="69" t="s">
        <v>373</v>
      </c>
      <c r="F111" s="70">
        <v>60</v>
      </c>
      <c r="G111" s="23" t="s">
        <v>370</v>
      </c>
      <c r="H111" s="23" t="s">
        <v>437</v>
      </c>
      <c r="I111" s="55" t="s">
        <v>315</v>
      </c>
      <c r="J111" t="s">
        <v>543</v>
      </c>
    </row>
    <row r="112" spans="2:10" x14ac:dyDescent="0.3">
      <c r="B112" s="64">
        <v>46172</v>
      </c>
      <c r="C112" s="65" t="s">
        <v>544</v>
      </c>
      <c r="D112" s="66" t="s">
        <v>523</v>
      </c>
      <c r="E112" s="65" t="s">
        <v>373</v>
      </c>
      <c r="F112" s="67">
        <v>17.899999999999999</v>
      </c>
      <c r="G112" s="14" t="s">
        <v>370</v>
      </c>
      <c r="H112" s="14" t="s">
        <v>437</v>
      </c>
      <c r="I112" s="43" t="s">
        <v>315</v>
      </c>
      <c r="J112" t="s">
        <v>545</v>
      </c>
    </row>
    <row r="113" spans="2:10" x14ac:dyDescent="0.3">
      <c r="B113" s="64">
        <v>46172</v>
      </c>
      <c r="C113" s="69" t="s">
        <v>546</v>
      </c>
      <c r="D113" s="68" t="s">
        <v>523</v>
      </c>
      <c r="E113" s="69" t="s">
        <v>373</v>
      </c>
      <c r="F113" s="70">
        <v>36</v>
      </c>
      <c r="G113" s="23" t="s">
        <v>370</v>
      </c>
      <c r="H113" s="23" t="s">
        <v>371</v>
      </c>
      <c r="I113" s="55" t="s">
        <v>315</v>
      </c>
      <c r="J113" t="s">
        <v>547</v>
      </c>
    </row>
    <row r="114" spans="2:10" x14ac:dyDescent="0.3">
      <c r="B114" s="64">
        <v>46172</v>
      </c>
      <c r="C114" s="65" t="s">
        <v>548</v>
      </c>
      <c r="D114" s="66" t="s">
        <v>549</v>
      </c>
      <c r="E114" s="65" t="s">
        <v>405</v>
      </c>
      <c r="F114" s="67">
        <v>220</v>
      </c>
      <c r="G114" s="14" t="s">
        <v>370</v>
      </c>
      <c r="H114" s="14" t="s">
        <v>437</v>
      </c>
      <c r="I114" s="43" t="s">
        <v>315</v>
      </c>
      <c r="J114" t="s">
        <v>550</v>
      </c>
    </row>
    <row r="115" spans="2:10" x14ac:dyDescent="0.3">
      <c r="B115" s="64">
        <v>46172</v>
      </c>
      <c r="C115" s="69" t="s">
        <v>551</v>
      </c>
      <c r="D115" s="68" t="s">
        <v>23</v>
      </c>
      <c r="E115" s="69" t="s">
        <v>369</v>
      </c>
      <c r="F115" s="70">
        <v>310</v>
      </c>
      <c r="G115" s="23" t="s">
        <v>370</v>
      </c>
      <c r="H115" s="23" t="s">
        <v>371</v>
      </c>
      <c r="I115" s="55" t="s">
        <v>315</v>
      </c>
      <c r="J115" t="s">
        <v>503</v>
      </c>
    </row>
    <row r="116" spans="2:10" x14ac:dyDescent="0.3">
      <c r="B116" s="64">
        <v>46172</v>
      </c>
      <c r="C116" s="65" t="s">
        <v>552</v>
      </c>
      <c r="D116" s="66" t="s">
        <v>421</v>
      </c>
      <c r="E116" s="65" t="s">
        <v>422</v>
      </c>
      <c r="F116" s="67">
        <v>3750</v>
      </c>
      <c r="G116" s="14" t="s">
        <v>370</v>
      </c>
      <c r="H116" s="14" t="s">
        <v>371</v>
      </c>
      <c r="I116" s="43" t="s">
        <v>315</v>
      </c>
      <c r="J116" t="s">
        <v>553</v>
      </c>
    </row>
    <row r="117" spans="2:10" x14ac:dyDescent="0.3">
      <c r="B117" s="64">
        <v>46172</v>
      </c>
      <c r="C117" s="69" t="s">
        <v>554</v>
      </c>
      <c r="D117" s="68" t="s">
        <v>421</v>
      </c>
      <c r="E117" s="69" t="s">
        <v>422</v>
      </c>
      <c r="F117" s="70">
        <v>1500</v>
      </c>
      <c r="G117" s="23" t="s">
        <v>370</v>
      </c>
      <c r="H117" s="23" t="s">
        <v>371</v>
      </c>
      <c r="I117" s="55" t="s">
        <v>315</v>
      </c>
      <c r="J117" t="s">
        <v>555</v>
      </c>
    </row>
    <row r="118" spans="2:10" x14ac:dyDescent="0.3">
      <c r="B118" s="64">
        <v>46172</v>
      </c>
      <c r="C118" s="65" t="s">
        <v>556</v>
      </c>
      <c r="D118" s="66" t="s">
        <v>537</v>
      </c>
      <c r="E118" s="65" t="s">
        <v>382</v>
      </c>
      <c r="F118" s="67">
        <v>18.600000000000001</v>
      </c>
      <c r="G118" s="14" t="s">
        <v>370</v>
      </c>
      <c r="H118" s="14" t="s">
        <v>371</v>
      </c>
      <c r="I118" s="43" t="s">
        <v>315</v>
      </c>
      <c r="J118" t="s">
        <v>557</v>
      </c>
    </row>
    <row r="119" spans="2:10" x14ac:dyDescent="0.3">
      <c r="B119" s="64">
        <v>46172</v>
      </c>
      <c r="C119" s="69" t="s">
        <v>558</v>
      </c>
      <c r="D119" s="68" t="s">
        <v>537</v>
      </c>
      <c r="E119" s="69" t="s">
        <v>382</v>
      </c>
      <c r="F119" s="70">
        <v>57.8</v>
      </c>
      <c r="G119" s="23" t="s">
        <v>370</v>
      </c>
      <c r="H119" s="23" t="s">
        <v>371</v>
      </c>
      <c r="I119" s="55" t="s">
        <v>315</v>
      </c>
      <c r="J119" t="s">
        <v>559</v>
      </c>
    </row>
    <row r="120" spans="2:10" x14ac:dyDescent="0.3">
      <c r="B120" s="64">
        <v>46172</v>
      </c>
      <c r="C120" s="65" t="s">
        <v>560</v>
      </c>
      <c r="D120" s="66" t="s">
        <v>537</v>
      </c>
      <c r="E120" s="65" t="s">
        <v>382</v>
      </c>
      <c r="F120" s="67">
        <v>4</v>
      </c>
      <c r="G120" s="14" t="s">
        <v>370</v>
      </c>
      <c r="H120" s="14" t="s">
        <v>371</v>
      </c>
      <c r="I120" s="43" t="s">
        <v>315</v>
      </c>
      <c r="J120" t="s">
        <v>561</v>
      </c>
    </row>
    <row r="121" spans="2:10" x14ac:dyDescent="0.3">
      <c r="B121" s="64">
        <v>46173</v>
      </c>
      <c r="C121" s="69" t="s">
        <v>562</v>
      </c>
      <c r="D121" s="68" t="s">
        <v>399</v>
      </c>
      <c r="E121" s="69" t="s">
        <v>373</v>
      </c>
      <c r="F121" s="70">
        <v>312</v>
      </c>
      <c r="G121" s="23" t="s">
        <v>370</v>
      </c>
      <c r="H121" s="23" t="s">
        <v>437</v>
      </c>
      <c r="I121" s="55" t="s">
        <v>315</v>
      </c>
      <c r="J121" t="s">
        <v>563</v>
      </c>
    </row>
    <row r="122" spans="2:10" x14ac:dyDescent="0.3">
      <c r="B122" s="64">
        <v>46174</v>
      </c>
      <c r="C122" s="65" t="s">
        <v>564</v>
      </c>
      <c r="D122" s="66" t="s">
        <v>421</v>
      </c>
      <c r="E122" s="65" t="s">
        <v>430</v>
      </c>
      <c r="F122" s="67">
        <v>350</v>
      </c>
      <c r="G122" s="14" t="s">
        <v>370</v>
      </c>
      <c r="H122" s="14" t="s">
        <v>371</v>
      </c>
      <c r="I122" s="43" t="s">
        <v>315</v>
      </c>
      <c r="J122" t="s">
        <v>565</v>
      </c>
    </row>
    <row r="123" spans="2:10" x14ac:dyDescent="0.3">
      <c r="B123" s="64">
        <v>46174</v>
      </c>
      <c r="C123" s="69" t="s">
        <v>566</v>
      </c>
      <c r="D123" s="68" t="s">
        <v>421</v>
      </c>
      <c r="E123" s="69" t="s">
        <v>430</v>
      </c>
      <c r="F123" s="70">
        <v>350</v>
      </c>
      <c r="G123" s="23" t="s">
        <v>370</v>
      </c>
      <c r="H123" s="23" t="s">
        <v>371</v>
      </c>
      <c r="I123" s="55" t="s">
        <v>315</v>
      </c>
      <c r="J123" t="s">
        <v>567</v>
      </c>
    </row>
    <row r="124" spans="2:10" x14ac:dyDescent="0.3">
      <c r="B124" s="64">
        <v>46174</v>
      </c>
      <c r="C124" s="65" t="s">
        <v>568</v>
      </c>
      <c r="D124" s="66" t="s">
        <v>436</v>
      </c>
      <c r="E124" s="65" t="s">
        <v>373</v>
      </c>
      <c r="F124" s="67">
        <v>219.94</v>
      </c>
      <c r="G124" s="14" t="s">
        <v>370</v>
      </c>
      <c r="H124" s="14" t="s">
        <v>437</v>
      </c>
      <c r="I124" s="43" t="s">
        <v>315</v>
      </c>
    </row>
    <row r="125" spans="2:10" x14ac:dyDescent="0.3">
      <c r="B125" s="64">
        <v>46174</v>
      </c>
      <c r="C125" s="69" t="s">
        <v>569</v>
      </c>
      <c r="D125" s="68" t="s">
        <v>436</v>
      </c>
      <c r="E125" s="69" t="s">
        <v>373</v>
      </c>
      <c r="F125" s="70">
        <v>193.34</v>
      </c>
      <c r="G125" s="23" t="s">
        <v>370</v>
      </c>
      <c r="H125" s="23" t="s">
        <v>437</v>
      </c>
      <c r="I125" s="55" t="s">
        <v>315</v>
      </c>
    </row>
    <row r="126" spans="2:10" x14ac:dyDescent="0.3">
      <c r="B126" s="64">
        <v>46174</v>
      </c>
      <c r="C126" s="65" t="s">
        <v>570</v>
      </c>
      <c r="D126" s="66" t="s">
        <v>436</v>
      </c>
      <c r="E126" s="65" t="s">
        <v>373</v>
      </c>
      <c r="F126" s="67">
        <v>468.52</v>
      </c>
      <c r="G126" s="14" t="s">
        <v>370</v>
      </c>
      <c r="H126" s="14" t="s">
        <v>437</v>
      </c>
      <c r="I126" s="43" t="s">
        <v>315</v>
      </c>
      <c r="J126" t="s">
        <v>571</v>
      </c>
    </row>
    <row r="127" spans="2:10" x14ac:dyDescent="0.3">
      <c r="B127" s="64">
        <v>46174</v>
      </c>
      <c r="C127" s="69" t="s">
        <v>572</v>
      </c>
      <c r="D127" s="68" t="s">
        <v>436</v>
      </c>
      <c r="E127" s="69" t="s">
        <v>440</v>
      </c>
      <c r="F127" s="70">
        <v>230.16</v>
      </c>
      <c r="G127" s="23" t="s">
        <v>370</v>
      </c>
      <c r="H127" s="23" t="s">
        <v>437</v>
      </c>
      <c r="I127" s="55" t="s">
        <v>315</v>
      </c>
      <c r="J127" t="s">
        <v>573</v>
      </c>
    </row>
    <row r="128" spans="2:10" x14ac:dyDescent="0.3">
      <c r="B128" s="64">
        <v>46174</v>
      </c>
      <c r="C128" s="65" t="s">
        <v>574</v>
      </c>
      <c r="D128" s="66" t="s">
        <v>436</v>
      </c>
      <c r="E128" s="65" t="s">
        <v>376</v>
      </c>
      <c r="F128" s="67">
        <v>224.04</v>
      </c>
      <c r="G128" s="14" t="s">
        <v>370</v>
      </c>
      <c r="H128" s="14" t="s">
        <v>437</v>
      </c>
      <c r="I128" s="43" t="s">
        <v>315</v>
      </c>
      <c r="J128" t="s">
        <v>575</v>
      </c>
    </row>
    <row r="129" spans="2:10" x14ac:dyDescent="0.3">
      <c r="B129" s="64">
        <v>46174</v>
      </c>
      <c r="C129" s="69" t="s">
        <v>576</v>
      </c>
      <c r="D129" s="68" t="s">
        <v>443</v>
      </c>
      <c r="E129" s="69" t="s">
        <v>373</v>
      </c>
      <c r="F129" s="70">
        <v>540</v>
      </c>
      <c r="G129" s="23" t="s">
        <v>370</v>
      </c>
      <c r="H129" s="23" t="s">
        <v>437</v>
      </c>
      <c r="I129" s="55" t="s">
        <v>315</v>
      </c>
      <c r="J129" t="s">
        <v>577</v>
      </c>
    </row>
    <row r="130" spans="2:10" x14ac:dyDescent="0.3">
      <c r="B130" s="64">
        <v>46174</v>
      </c>
      <c r="C130" s="65" t="s">
        <v>578</v>
      </c>
      <c r="D130" s="66" t="s">
        <v>579</v>
      </c>
      <c r="E130" s="65" t="s">
        <v>369</v>
      </c>
      <c r="F130" s="67">
        <v>303</v>
      </c>
      <c r="G130" s="14" t="s">
        <v>370</v>
      </c>
      <c r="H130" s="14" t="s">
        <v>437</v>
      </c>
      <c r="I130" s="43" t="s">
        <v>315</v>
      </c>
      <c r="J130" t="s">
        <v>580</v>
      </c>
    </row>
    <row r="131" spans="2:10" x14ac:dyDescent="0.3">
      <c r="B131" s="64">
        <v>46174</v>
      </c>
      <c r="C131" s="69" t="s">
        <v>581</v>
      </c>
      <c r="D131" s="68" t="s">
        <v>579</v>
      </c>
      <c r="E131" s="69" t="s">
        <v>369</v>
      </c>
      <c r="F131" s="70">
        <v>260</v>
      </c>
      <c r="G131" s="23" t="s">
        <v>370</v>
      </c>
      <c r="H131" s="23" t="s">
        <v>437</v>
      </c>
      <c r="I131" s="55" t="s">
        <v>315</v>
      </c>
    </row>
    <row r="132" spans="2:10" x14ac:dyDescent="0.3">
      <c r="B132" s="64">
        <v>46174</v>
      </c>
      <c r="C132" s="65" t="s">
        <v>582</v>
      </c>
      <c r="D132" s="66" t="s">
        <v>579</v>
      </c>
      <c r="E132" s="65" t="s">
        <v>369</v>
      </c>
      <c r="F132" s="67">
        <v>293</v>
      </c>
      <c r="G132" s="14" t="s">
        <v>370</v>
      </c>
      <c r="H132" s="14" t="s">
        <v>437</v>
      </c>
      <c r="I132" s="43" t="s">
        <v>315</v>
      </c>
    </row>
    <row r="133" spans="2:10" x14ac:dyDescent="0.3">
      <c r="B133" s="64">
        <v>46174</v>
      </c>
      <c r="C133" s="69" t="s">
        <v>583</v>
      </c>
      <c r="D133" s="68" t="s">
        <v>474</v>
      </c>
      <c r="E133" s="69" t="s">
        <v>391</v>
      </c>
      <c r="F133" s="70">
        <v>64</v>
      </c>
      <c r="G133" s="23" t="s">
        <v>370</v>
      </c>
      <c r="H133" s="23" t="s">
        <v>437</v>
      </c>
      <c r="I133" s="55" t="s">
        <v>315</v>
      </c>
    </row>
    <row r="134" spans="2:10" x14ac:dyDescent="0.3">
      <c r="B134" s="64">
        <v>46174</v>
      </c>
      <c r="C134" s="65" t="s">
        <v>584</v>
      </c>
      <c r="D134" s="66" t="s">
        <v>474</v>
      </c>
      <c r="E134" s="65" t="s">
        <v>373</v>
      </c>
      <c r="F134" s="67">
        <v>67.5</v>
      </c>
      <c r="G134" s="14" t="s">
        <v>370</v>
      </c>
      <c r="H134" s="14" t="s">
        <v>437</v>
      </c>
      <c r="I134" s="43" t="s">
        <v>315</v>
      </c>
      <c r="J134" t="s">
        <v>585</v>
      </c>
    </row>
    <row r="135" spans="2:10" x14ac:dyDescent="0.3">
      <c r="B135" s="64">
        <v>46174</v>
      </c>
      <c r="C135" s="69" t="s">
        <v>476</v>
      </c>
      <c r="D135" s="68" t="s">
        <v>474</v>
      </c>
      <c r="E135" s="69" t="s">
        <v>376</v>
      </c>
      <c r="F135" s="70">
        <v>79.900000000000006</v>
      </c>
      <c r="G135" s="23" t="s">
        <v>370</v>
      </c>
      <c r="H135" s="23" t="s">
        <v>437</v>
      </c>
      <c r="I135" s="55" t="s">
        <v>315</v>
      </c>
    </row>
    <row r="136" spans="2:10" x14ac:dyDescent="0.3">
      <c r="B136" s="64">
        <v>46174</v>
      </c>
      <c r="C136" s="65" t="s">
        <v>586</v>
      </c>
      <c r="D136" s="66" t="s">
        <v>587</v>
      </c>
      <c r="E136" s="65" t="s">
        <v>369</v>
      </c>
      <c r="F136" s="67">
        <v>350</v>
      </c>
      <c r="G136" s="14" t="s">
        <v>370</v>
      </c>
      <c r="H136" s="14" t="s">
        <v>371</v>
      </c>
      <c r="I136" s="43" t="s">
        <v>315</v>
      </c>
    </row>
    <row r="137" spans="2:10" x14ac:dyDescent="0.3">
      <c r="B137" s="64">
        <v>46174</v>
      </c>
      <c r="C137" s="69" t="s">
        <v>588</v>
      </c>
      <c r="D137" s="68" t="s">
        <v>587</v>
      </c>
      <c r="E137" s="69" t="s">
        <v>369</v>
      </c>
      <c r="F137" s="70">
        <v>297</v>
      </c>
      <c r="G137" s="23" t="s">
        <v>370</v>
      </c>
      <c r="H137" s="23" t="s">
        <v>371</v>
      </c>
      <c r="I137" s="55" t="s">
        <v>315</v>
      </c>
    </row>
    <row r="138" spans="2:10" x14ac:dyDescent="0.3">
      <c r="B138" s="64">
        <v>46174</v>
      </c>
      <c r="C138" s="65" t="s">
        <v>589</v>
      </c>
      <c r="D138" s="66" t="s">
        <v>590</v>
      </c>
      <c r="E138" s="65" t="s">
        <v>382</v>
      </c>
      <c r="F138" s="67">
        <v>30</v>
      </c>
      <c r="G138" s="14" t="s">
        <v>370</v>
      </c>
      <c r="H138" s="14" t="s">
        <v>371</v>
      </c>
      <c r="I138" s="43" t="s">
        <v>315</v>
      </c>
    </row>
    <row r="139" spans="2:10" x14ac:dyDescent="0.3">
      <c r="B139" s="64">
        <v>46174</v>
      </c>
      <c r="C139" s="69" t="s">
        <v>591</v>
      </c>
      <c r="D139" s="68" t="s">
        <v>590</v>
      </c>
      <c r="E139" s="69" t="s">
        <v>382</v>
      </c>
      <c r="F139" s="70">
        <v>26</v>
      </c>
      <c r="G139" s="23" t="s">
        <v>370</v>
      </c>
      <c r="H139" s="23" t="s">
        <v>371</v>
      </c>
      <c r="I139" s="55" t="s">
        <v>315</v>
      </c>
    </row>
    <row r="140" spans="2:10" x14ac:dyDescent="0.3">
      <c r="B140" s="64">
        <v>46174</v>
      </c>
      <c r="C140" s="65" t="s">
        <v>592</v>
      </c>
      <c r="D140" s="66" t="s">
        <v>590</v>
      </c>
      <c r="E140" s="65" t="s">
        <v>382</v>
      </c>
      <c r="F140" s="67">
        <v>45</v>
      </c>
      <c r="G140" s="14" t="s">
        <v>370</v>
      </c>
      <c r="H140" s="14" t="s">
        <v>371</v>
      </c>
      <c r="I140" s="43" t="s">
        <v>315</v>
      </c>
    </row>
    <row r="141" spans="2:10" x14ac:dyDescent="0.3">
      <c r="B141" s="64">
        <v>46174</v>
      </c>
      <c r="C141" s="69" t="s">
        <v>593</v>
      </c>
      <c r="D141" s="68" t="s">
        <v>401</v>
      </c>
      <c r="E141" s="69" t="s">
        <v>391</v>
      </c>
      <c r="F141" s="70">
        <v>592.24</v>
      </c>
      <c r="G141" s="23" t="s">
        <v>370</v>
      </c>
      <c r="H141" s="23" t="s">
        <v>371</v>
      </c>
      <c r="I141" s="55" t="s">
        <v>315</v>
      </c>
      <c r="J141" t="s">
        <v>594</v>
      </c>
    </row>
    <row r="142" spans="2:10" x14ac:dyDescent="0.3">
      <c r="B142" s="64">
        <v>46174</v>
      </c>
      <c r="C142" s="65" t="s">
        <v>403</v>
      </c>
      <c r="D142" s="66" t="s">
        <v>23</v>
      </c>
      <c r="E142" s="65" t="s">
        <v>382</v>
      </c>
      <c r="F142" s="67">
        <v>120</v>
      </c>
      <c r="G142" s="14" t="s">
        <v>370</v>
      </c>
      <c r="H142" s="14" t="s">
        <v>371</v>
      </c>
      <c r="I142" s="43" t="s">
        <v>315</v>
      </c>
      <c r="J142" t="s">
        <v>533</v>
      </c>
    </row>
    <row r="143" spans="2:10" x14ac:dyDescent="0.3">
      <c r="B143" s="64">
        <v>46174</v>
      </c>
      <c r="C143" s="69" t="s">
        <v>595</v>
      </c>
      <c r="D143" s="68" t="s">
        <v>23</v>
      </c>
      <c r="E143" s="69" t="s">
        <v>382</v>
      </c>
      <c r="F143" s="70">
        <v>20</v>
      </c>
      <c r="G143" s="23" t="s">
        <v>370</v>
      </c>
      <c r="H143" s="23" t="s">
        <v>371</v>
      </c>
      <c r="I143" s="55" t="s">
        <v>315</v>
      </c>
      <c r="J143" t="s">
        <v>533</v>
      </c>
    </row>
    <row r="144" spans="2:10" x14ac:dyDescent="0.3">
      <c r="B144" s="64">
        <v>46174</v>
      </c>
      <c r="C144" s="65" t="s">
        <v>596</v>
      </c>
      <c r="D144" s="66" t="s">
        <v>23</v>
      </c>
      <c r="E144" s="65" t="s">
        <v>382</v>
      </c>
      <c r="F144" s="67">
        <v>70</v>
      </c>
      <c r="G144" s="14" t="s">
        <v>370</v>
      </c>
      <c r="H144" s="14" t="s">
        <v>371</v>
      </c>
      <c r="I144" s="43" t="s">
        <v>315</v>
      </c>
      <c r="J144" t="s">
        <v>533</v>
      </c>
    </row>
    <row r="145" spans="2:10" x14ac:dyDescent="0.3">
      <c r="B145" s="64">
        <v>46174</v>
      </c>
      <c r="C145" s="69" t="s">
        <v>532</v>
      </c>
      <c r="D145" s="68" t="s">
        <v>23</v>
      </c>
      <c r="E145" s="69" t="s">
        <v>382</v>
      </c>
      <c r="F145" s="70">
        <v>60</v>
      </c>
      <c r="G145" s="23" t="s">
        <v>370</v>
      </c>
      <c r="H145" s="23" t="s">
        <v>371</v>
      </c>
      <c r="I145" s="55" t="s">
        <v>315</v>
      </c>
      <c r="J145" t="s">
        <v>533</v>
      </c>
    </row>
    <row r="146" spans="2:10" x14ac:dyDescent="0.3">
      <c r="B146" s="64">
        <v>46174</v>
      </c>
      <c r="C146" s="65" t="s">
        <v>597</v>
      </c>
      <c r="D146" s="66" t="s">
        <v>23</v>
      </c>
      <c r="E146" s="65" t="s">
        <v>405</v>
      </c>
      <c r="F146" s="67">
        <v>55</v>
      </c>
      <c r="G146" s="14" t="s">
        <v>370</v>
      </c>
      <c r="H146" s="14" t="s">
        <v>371</v>
      </c>
      <c r="I146" s="43" t="s">
        <v>315</v>
      </c>
      <c r="J146" t="s">
        <v>533</v>
      </c>
    </row>
    <row r="147" spans="2:10" x14ac:dyDescent="0.3">
      <c r="B147" s="64">
        <v>46174</v>
      </c>
      <c r="C147" s="69" t="s">
        <v>598</v>
      </c>
      <c r="D147" s="68" t="s">
        <v>23</v>
      </c>
      <c r="E147" s="69" t="s">
        <v>405</v>
      </c>
      <c r="F147" s="70">
        <v>70</v>
      </c>
      <c r="G147" s="23" t="s">
        <v>370</v>
      </c>
      <c r="H147" s="23" t="s">
        <v>371</v>
      </c>
      <c r="I147" s="55" t="s">
        <v>315</v>
      </c>
      <c r="J147" t="s">
        <v>533</v>
      </c>
    </row>
    <row r="148" spans="2:10" x14ac:dyDescent="0.3">
      <c r="B148" s="64">
        <v>46174</v>
      </c>
      <c r="C148" s="65" t="s">
        <v>599</v>
      </c>
      <c r="D148" s="66" t="s">
        <v>23</v>
      </c>
      <c r="E148" s="65" t="s">
        <v>405</v>
      </c>
      <c r="F148" s="67">
        <v>90</v>
      </c>
      <c r="G148" s="14" t="s">
        <v>370</v>
      </c>
      <c r="H148" s="14" t="s">
        <v>371</v>
      </c>
      <c r="I148" s="43" t="s">
        <v>315</v>
      </c>
      <c r="J148" t="s">
        <v>533</v>
      </c>
    </row>
    <row r="149" spans="2:10" x14ac:dyDescent="0.3">
      <c r="B149" s="64">
        <v>46174</v>
      </c>
      <c r="C149" s="69" t="s">
        <v>600</v>
      </c>
      <c r="D149" s="68" t="s">
        <v>23</v>
      </c>
      <c r="E149" s="69" t="s">
        <v>382</v>
      </c>
      <c r="F149" s="70">
        <v>160</v>
      </c>
      <c r="G149" s="23" t="s">
        <v>370</v>
      </c>
      <c r="H149" s="23" t="s">
        <v>371</v>
      </c>
      <c r="I149" s="55" t="s">
        <v>315</v>
      </c>
      <c r="J149" t="s">
        <v>533</v>
      </c>
    </row>
    <row r="150" spans="2:10" x14ac:dyDescent="0.3">
      <c r="B150" s="64">
        <v>46174</v>
      </c>
      <c r="C150" s="65" t="s">
        <v>601</v>
      </c>
      <c r="D150" s="66" t="s">
        <v>23</v>
      </c>
      <c r="E150" s="65" t="s">
        <v>405</v>
      </c>
      <c r="F150" s="67">
        <v>52</v>
      </c>
      <c r="G150" s="14" t="s">
        <v>370</v>
      </c>
      <c r="H150" s="14" t="s">
        <v>371</v>
      </c>
      <c r="I150" s="43" t="s">
        <v>315</v>
      </c>
      <c r="J150" t="s">
        <v>533</v>
      </c>
    </row>
    <row r="151" spans="2:10" x14ac:dyDescent="0.3">
      <c r="B151" s="64">
        <v>46175</v>
      </c>
      <c r="C151" s="69" t="s">
        <v>602</v>
      </c>
      <c r="D151" s="68" t="s">
        <v>523</v>
      </c>
      <c r="E151" s="69" t="s">
        <v>391</v>
      </c>
      <c r="F151" s="70">
        <v>42</v>
      </c>
      <c r="G151" s="23" t="s">
        <v>370</v>
      </c>
      <c r="H151" s="23" t="s">
        <v>437</v>
      </c>
      <c r="I151" s="55" t="s">
        <v>315</v>
      </c>
      <c r="J151" t="s">
        <v>603</v>
      </c>
    </row>
    <row r="152" spans="2:10" x14ac:dyDescent="0.3">
      <c r="B152" s="64">
        <v>46175</v>
      </c>
      <c r="C152" s="65" t="s">
        <v>604</v>
      </c>
      <c r="D152" s="66" t="s">
        <v>605</v>
      </c>
      <c r="E152" s="65" t="s">
        <v>393</v>
      </c>
      <c r="F152" s="67">
        <v>1500.8</v>
      </c>
      <c r="G152" s="14" t="s">
        <v>370</v>
      </c>
      <c r="H152" s="14" t="s">
        <v>437</v>
      </c>
      <c r="I152" s="43" t="s">
        <v>315</v>
      </c>
      <c r="J152" t="s">
        <v>606</v>
      </c>
    </row>
    <row r="153" spans="2:10" x14ac:dyDescent="0.3">
      <c r="B153" s="64">
        <v>46175</v>
      </c>
      <c r="C153" s="69" t="s">
        <v>607</v>
      </c>
      <c r="D153" s="68" t="s">
        <v>579</v>
      </c>
      <c r="E153" s="69" t="s">
        <v>369</v>
      </c>
      <c r="F153" s="70">
        <v>191</v>
      </c>
      <c r="G153" s="23" t="s">
        <v>370</v>
      </c>
      <c r="H153" s="23" t="s">
        <v>437</v>
      </c>
      <c r="I153" s="55" t="s">
        <v>315</v>
      </c>
      <c r="J153" t="s">
        <v>608</v>
      </c>
    </row>
    <row r="154" spans="2:10" x14ac:dyDescent="0.3">
      <c r="B154" s="64">
        <v>46175</v>
      </c>
      <c r="C154" s="65" t="s">
        <v>609</v>
      </c>
      <c r="D154" s="66" t="s">
        <v>443</v>
      </c>
      <c r="E154" s="65" t="s">
        <v>391</v>
      </c>
      <c r="F154" s="67">
        <v>490</v>
      </c>
      <c r="G154" s="14" t="s">
        <v>370</v>
      </c>
      <c r="H154" s="14" t="s">
        <v>437</v>
      </c>
      <c r="I154" s="43" t="s">
        <v>315</v>
      </c>
      <c r="J154" t="s">
        <v>610</v>
      </c>
    </row>
    <row r="155" spans="2:10" x14ac:dyDescent="0.3">
      <c r="B155" s="64">
        <v>46175</v>
      </c>
      <c r="C155" s="69" t="s">
        <v>534</v>
      </c>
      <c r="D155" s="68" t="s">
        <v>23</v>
      </c>
      <c r="E155" s="69" t="s">
        <v>393</v>
      </c>
      <c r="F155" s="70">
        <v>50</v>
      </c>
      <c r="G155" s="23" t="s">
        <v>370</v>
      </c>
      <c r="H155" s="23" t="s">
        <v>371</v>
      </c>
      <c r="I155" s="55" t="s">
        <v>315</v>
      </c>
      <c r="J155" t="s">
        <v>533</v>
      </c>
    </row>
    <row r="156" spans="2:10" x14ac:dyDescent="0.3">
      <c r="B156" s="64">
        <v>46175</v>
      </c>
      <c r="C156" s="65" t="s">
        <v>410</v>
      </c>
      <c r="D156" s="66" t="s">
        <v>23</v>
      </c>
      <c r="E156" s="65" t="s">
        <v>393</v>
      </c>
      <c r="F156" s="67">
        <v>30</v>
      </c>
      <c r="G156" s="14" t="s">
        <v>370</v>
      </c>
      <c r="H156" s="14" t="s">
        <v>371</v>
      </c>
      <c r="I156" s="43" t="s">
        <v>315</v>
      </c>
      <c r="J156" t="s">
        <v>533</v>
      </c>
    </row>
    <row r="157" spans="2:10" x14ac:dyDescent="0.3">
      <c r="B157" s="64">
        <v>46174</v>
      </c>
      <c r="C157" s="69" t="s">
        <v>611</v>
      </c>
      <c r="D157" s="68" t="s">
        <v>612</v>
      </c>
      <c r="E157" s="69" t="s">
        <v>393</v>
      </c>
      <c r="F157" s="70">
        <v>349</v>
      </c>
      <c r="G157" s="23" t="s">
        <v>613</v>
      </c>
      <c r="H157" s="23" t="s">
        <v>614</v>
      </c>
      <c r="I157" s="55" t="s">
        <v>87</v>
      </c>
      <c r="J157" t="s">
        <v>615</v>
      </c>
    </row>
    <row r="158" spans="2:10" x14ac:dyDescent="0.3">
      <c r="B158" s="64">
        <v>46170</v>
      </c>
      <c r="C158" s="65" t="s">
        <v>616</v>
      </c>
      <c r="D158" s="66" t="s">
        <v>617</v>
      </c>
      <c r="E158" s="65" t="s">
        <v>618</v>
      </c>
      <c r="F158" s="67">
        <v>436.12</v>
      </c>
      <c r="G158" s="14" t="s">
        <v>123</v>
      </c>
      <c r="H158" s="14" t="s">
        <v>614</v>
      </c>
      <c r="I158" s="43" t="s">
        <v>315</v>
      </c>
      <c r="J158" t="s">
        <v>619</v>
      </c>
    </row>
    <row r="159" spans="2:10" x14ac:dyDescent="0.3">
      <c r="B159" s="64">
        <v>46171</v>
      </c>
      <c r="C159" s="69" t="s">
        <v>620</v>
      </c>
      <c r="D159" s="68" t="s">
        <v>617</v>
      </c>
      <c r="E159" s="69" t="s">
        <v>618</v>
      </c>
      <c r="F159" s="70">
        <v>437.22</v>
      </c>
      <c r="G159" s="23" t="s">
        <v>123</v>
      </c>
      <c r="H159" s="23" t="s">
        <v>614</v>
      </c>
      <c r="I159" s="55" t="s">
        <v>315</v>
      </c>
      <c r="J159" t="s">
        <v>621</v>
      </c>
    </row>
    <row r="160" spans="2:10" x14ac:dyDescent="0.3">
      <c r="B160" s="64">
        <v>46175</v>
      </c>
      <c r="C160" s="65" t="s">
        <v>622</v>
      </c>
      <c r="D160" s="66" t="s">
        <v>486</v>
      </c>
      <c r="E160" s="65" t="s">
        <v>373</v>
      </c>
      <c r="F160" s="67">
        <v>75.31</v>
      </c>
      <c r="G160" s="14" t="s">
        <v>370</v>
      </c>
      <c r="H160" s="14" t="s">
        <v>437</v>
      </c>
      <c r="I160" s="43" t="s">
        <v>315</v>
      </c>
      <c r="J160" t="s">
        <v>623</v>
      </c>
    </row>
    <row r="161" spans="2:10" x14ac:dyDescent="0.3">
      <c r="B161" s="64">
        <v>46176</v>
      </c>
      <c r="C161" s="69" t="s">
        <v>624</v>
      </c>
      <c r="D161" s="68" t="s">
        <v>486</v>
      </c>
      <c r="E161" s="69" t="s">
        <v>382</v>
      </c>
      <c r="F161" s="70">
        <v>43.63</v>
      </c>
      <c r="G161" s="23" t="s">
        <v>370</v>
      </c>
      <c r="H161" s="23" t="s">
        <v>437</v>
      </c>
      <c r="I161" s="55" t="s">
        <v>315</v>
      </c>
      <c r="J161" t="s">
        <v>625</v>
      </c>
    </row>
    <row r="162" spans="2:10" x14ac:dyDescent="0.3">
      <c r="B162" s="64">
        <v>46176</v>
      </c>
      <c r="C162" s="65" t="s">
        <v>626</v>
      </c>
      <c r="D162" s="66" t="s">
        <v>486</v>
      </c>
      <c r="E162" s="65" t="s">
        <v>373</v>
      </c>
      <c r="F162" s="67">
        <v>77.930000000000007</v>
      </c>
      <c r="G162" s="14" t="s">
        <v>370</v>
      </c>
      <c r="H162" s="14" t="s">
        <v>437</v>
      </c>
      <c r="I162" s="43" t="s">
        <v>315</v>
      </c>
      <c r="J162" t="s">
        <v>627</v>
      </c>
    </row>
    <row r="163" spans="2:10" x14ac:dyDescent="0.3">
      <c r="B163" s="64">
        <v>46176</v>
      </c>
      <c r="C163" s="69" t="s">
        <v>628</v>
      </c>
      <c r="D163" s="68" t="s">
        <v>486</v>
      </c>
      <c r="E163" s="69" t="s">
        <v>376</v>
      </c>
      <c r="F163" s="70">
        <v>16.8</v>
      </c>
      <c r="G163" s="23" t="s">
        <v>370</v>
      </c>
      <c r="H163" s="23" t="s">
        <v>437</v>
      </c>
      <c r="I163" s="55" t="s">
        <v>315</v>
      </c>
      <c r="J163" t="s">
        <v>629</v>
      </c>
    </row>
    <row r="164" spans="2:10" x14ac:dyDescent="0.3">
      <c r="B164" s="64">
        <v>46176</v>
      </c>
      <c r="C164" s="65" t="s">
        <v>630</v>
      </c>
      <c r="D164" s="66" t="s">
        <v>631</v>
      </c>
      <c r="E164" s="65" t="s">
        <v>393</v>
      </c>
      <c r="F164" s="67">
        <v>108</v>
      </c>
      <c r="G164" s="14" t="s">
        <v>370</v>
      </c>
      <c r="H164" s="14" t="s">
        <v>437</v>
      </c>
      <c r="I164" s="43" t="s">
        <v>315</v>
      </c>
      <c r="J164" t="s">
        <v>632</v>
      </c>
    </row>
    <row r="165" spans="2:10" x14ac:dyDescent="0.3">
      <c r="B165" s="64">
        <v>46176</v>
      </c>
      <c r="C165" s="69" t="s">
        <v>633</v>
      </c>
      <c r="D165" s="68" t="s">
        <v>631</v>
      </c>
      <c r="E165" s="69" t="s">
        <v>393</v>
      </c>
      <c r="F165" s="70">
        <v>239</v>
      </c>
      <c r="G165" s="23" t="s">
        <v>370</v>
      </c>
      <c r="H165" s="23" t="s">
        <v>437</v>
      </c>
      <c r="I165" s="55" t="s">
        <v>315</v>
      </c>
      <c r="J165" t="s">
        <v>634</v>
      </c>
    </row>
    <row r="166" spans="2:10" x14ac:dyDescent="0.3">
      <c r="B166" s="64">
        <v>46176</v>
      </c>
      <c r="C166" s="65" t="s">
        <v>635</v>
      </c>
      <c r="D166" s="66" t="s">
        <v>631</v>
      </c>
      <c r="E166" s="65" t="s">
        <v>393</v>
      </c>
      <c r="F166" s="67">
        <v>109</v>
      </c>
      <c r="G166" s="14" t="s">
        <v>370</v>
      </c>
      <c r="H166" s="14" t="s">
        <v>437</v>
      </c>
      <c r="I166" s="43" t="s">
        <v>315</v>
      </c>
      <c r="J166" t="s">
        <v>636</v>
      </c>
    </row>
    <row r="167" spans="2:10" x14ac:dyDescent="0.3">
      <c r="B167" s="64">
        <v>46176</v>
      </c>
      <c r="C167" s="69" t="s">
        <v>637</v>
      </c>
      <c r="D167" s="68" t="s">
        <v>500</v>
      </c>
      <c r="E167" s="69" t="s">
        <v>369</v>
      </c>
      <c r="F167" s="70">
        <v>358</v>
      </c>
      <c r="G167" s="23" t="s">
        <v>370</v>
      </c>
      <c r="H167" s="23" t="s">
        <v>371</v>
      </c>
      <c r="I167" s="55" t="s">
        <v>315</v>
      </c>
      <c r="J167" t="s">
        <v>638</v>
      </c>
    </row>
    <row r="168" spans="2:10" x14ac:dyDescent="0.3">
      <c r="B168" s="64">
        <v>46176</v>
      </c>
      <c r="C168" s="65" t="s">
        <v>639</v>
      </c>
      <c r="D168" s="66" t="s">
        <v>500</v>
      </c>
      <c r="E168" s="65" t="s">
        <v>369</v>
      </c>
      <c r="F168" s="67">
        <v>215</v>
      </c>
      <c r="G168" s="14" t="s">
        <v>370</v>
      </c>
      <c r="H168" s="14" t="s">
        <v>371</v>
      </c>
      <c r="I168" s="43" t="s">
        <v>315</v>
      </c>
      <c r="J168" t="s">
        <v>640</v>
      </c>
    </row>
    <row r="169" spans="2:10" x14ac:dyDescent="0.3">
      <c r="B169" s="64">
        <v>46176</v>
      </c>
      <c r="C169" s="69" t="s">
        <v>641</v>
      </c>
      <c r="D169" s="68" t="s">
        <v>500</v>
      </c>
      <c r="E169" s="69" t="s">
        <v>369</v>
      </c>
      <c r="F169" s="70">
        <v>432</v>
      </c>
      <c r="G169" s="23" t="s">
        <v>370</v>
      </c>
      <c r="H169" s="23" t="s">
        <v>371</v>
      </c>
      <c r="I169" s="55" t="s">
        <v>315</v>
      </c>
      <c r="J169" t="s">
        <v>642</v>
      </c>
    </row>
    <row r="170" spans="2:10" x14ac:dyDescent="0.3">
      <c r="B170" s="64">
        <v>46176</v>
      </c>
      <c r="C170" s="65" t="s">
        <v>643</v>
      </c>
      <c r="D170" s="66" t="s">
        <v>644</v>
      </c>
      <c r="E170" s="65" t="s">
        <v>388</v>
      </c>
      <c r="F170" s="67">
        <v>479.5</v>
      </c>
      <c r="G170" s="14" t="s">
        <v>370</v>
      </c>
      <c r="H170" s="14" t="s">
        <v>371</v>
      </c>
      <c r="I170" s="43" t="s">
        <v>315</v>
      </c>
      <c r="J170" t="s">
        <v>645</v>
      </c>
    </row>
    <row r="171" spans="2:10" x14ac:dyDescent="0.3">
      <c r="B171" s="64">
        <v>46176</v>
      </c>
      <c r="C171" s="69" t="s">
        <v>646</v>
      </c>
      <c r="D171" s="68" t="s">
        <v>579</v>
      </c>
      <c r="E171" s="69" t="s">
        <v>369</v>
      </c>
      <c r="F171" s="70">
        <v>311</v>
      </c>
      <c r="G171" s="23" t="s">
        <v>370</v>
      </c>
      <c r="H171" s="23" t="s">
        <v>437</v>
      </c>
      <c r="I171" s="55" t="s">
        <v>315</v>
      </c>
      <c r="J171" t="s">
        <v>647</v>
      </c>
    </row>
    <row r="172" spans="2:10" x14ac:dyDescent="0.3">
      <c r="B172" s="64">
        <v>46176</v>
      </c>
      <c r="C172" s="65" t="s">
        <v>532</v>
      </c>
      <c r="D172" s="66" t="s">
        <v>23</v>
      </c>
      <c r="E172" s="65" t="s">
        <v>382</v>
      </c>
      <c r="F172" s="67">
        <v>64</v>
      </c>
      <c r="G172" s="14" t="s">
        <v>370</v>
      </c>
      <c r="H172" s="14" t="s">
        <v>371</v>
      </c>
      <c r="I172" s="43" t="s">
        <v>315</v>
      </c>
      <c r="J172" t="s">
        <v>533</v>
      </c>
    </row>
    <row r="173" spans="2:10" x14ac:dyDescent="0.3">
      <c r="B173" s="64">
        <v>46176</v>
      </c>
      <c r="C173" s="69" t="s">
        <v>648</v>
      </c>
      <c r="D173" s="68" t="s">
        <v>23</v>
      </c>
      <c r="E173" s="69" t="s">
        <v>369</v>
      </c>
      <c r="F173" s="70">
        <v>1580</v>
      </c>
      <c r="G173" s="23" t="s">
        <v>370</v>
      </c>
      <c r="H173" s="23" t="s">
        <v>371</v>
      </c>
      <c r="I173" s="55" t="s">
        <v>315</v>
      </c>
      <c r="J173" t="s">
        <v>649</v>
      </c>
    </row>
    <row r="174" spans="2:10" x14ac:dyDescent="0.3">
      <c r="B174" s="64">
        <v>46177</v>
      </c>
      <c r="C174" s="65" t="s">
        <v>650</v>
      </c>
      <c r="D174" s="66" t="s">
        <v>651</v>
      </c>
      <c r="E174" s="65" t="s">
        <v>393</v>
      </c>
      <c r="F174" s="67">
        <v>62</v>
      </c>
      <c r="G174" s="14" t="s">
        <v>370</v>
      </c>
      <c r="H174" s="14" t="s">
        <v>437</v>
      </c>
      <c r="I174" s="43" t="s">
        <v>315</v>
      </c>
      <c r="J174" t="s">
        <v>652</v>
      </c>
    </row>
    <row r="175" spans="2:10" x14ac:dyDescent="0.3">
      <c r="B175" s="64">
        <v>46177</v>
      </c>
      <c r="C175" s="69" t="s">
        <v>653</v>
      </c>
      <c r="D175" s="68" t="s">
        <v>651</v>
      </c>
      <c r="E175" s="69" t="s">
        <v>393</v>
      </c>
      <c r="F175" s="70">
        <v>62</v>
      </c>
      <c r="G175" s="23" t="s">
        <v>370</v>
      </c>
      <c r="H175" s="23" t="s">
        <v>437</v>
      </c>
      <c r="I175" s="55" t="s">
        <v>315</v>
      </c>
      <c r="J175" t="s">
        <v>654</v>
      </c>
    </row>
    <row r="176" spans="2:10" x14ac:dyDescent="0.3">
      <c r="B176" s="64">
        <v>46177</v>
      </c>
      <c r="C176" s="65" t="s">
        <v>655</v>
      </c>
      <c r="D176" s="66" t="s">
        <v>651</v>
      </c>
      <c r="E176" s="65" t="s">
        <v>393</v>
      </c>
      <c r="F176" s="67">
        <v>35.96</v>
      </c>
      <c r="G176" s="14" t="s">
        <v>370</v>
      </c>
      <c r="H176" s="14" t="s">
        <v>437</v>
      </c>
      <c r="I176" s="43" t="s">
        <v>315</v>
      </c>
      <c r="J176" t="s">
        <v>656</v>
      </c>
    </row>
    <row r="177" spans="2:10" x14ac:dyDescent="0.3">
      <c r="B177" s="64">
        <v>46177</v>
      </c>
      <c r="C177" s="69" t="s">
        <v>657</v>
      </c>
      <c r="D177" s="68" t="s">
        <v>651</v>
      </c>
      <c r="E177" s="69" t="s">
        <v>393</v>
      </c>
      <c r="F177" s="70">
        <v>23</v>
      </c>
      <c r="G177" s="23" t="s">
        <v>370</v>
      </c>
      <c r="H177" s="23" t="s">
        <v>437</v>
      </c>
      <c r="I177" s="55" t="s">
        <v>315</v>
      </c>
      <c r="J177" t="s">
        <v>658</v>
      </c>
    </row>
    <row r="178" spans="2:10" x14ac:dyDescent="0.3">
      <c r="B178" s="64">
        <v>46177</v>
      </c>
      <c r="C178" s="65" t="s">
        <v>659</v>
      </c>
      <c r="D178" s="66" t="s">
        <v>651</v>
      </c>
      <c r="E178" s="65" t="s">
        <v>393</v>
      </c>
      <c r="F178" s="67">
        <v>46</v>
      </c>
      <c r="G178" s="14" t="s">
        <v>370</v>
      </c>
      <c r="H178" s="14" t="s">
        <v>371</v>
      </c>
      <c r="I178" s="43" t="s">
        <v>315</v>
      </c>
      <c r="J178" t="s">
        <v>660</v>
      </c>
    </row>
    <row r="179" spans="2:10" x14ac:dyDescent="0.3">
      <c r="B179" s="64">
        <v>46177</v>
      </c>
      <c r="C179" s="69" t="s">
        <v>661</v>
      </c>
      <c r="D179" s="68" t="s">
        <v>651</v>
      </c>
      <c r="E179" s="69" t="s">
        <v>393</v>
      </c>
      <c r="F179" s="70">
        <v>46</v>
      </c>
      <c r="G179" s="23" t="s">
        <v>370</v>
      </c>
      <c r="H179" s="23" t="s">
        <v>371</v>
      </c>
      <c r="I179" s="55" t="s">
        <v>315</v>
      </c>
      <c r="J179" t="s">
        <v>662</v>
      </c>
    </row>
    <row r="180" spans="2:10" x14ac:dyDescent="0.3">
      <c r="B180" s="64">
        <v>46177</v>
      </c>
      <c r="C180" s="65" t="s">
        <v>663</v>
      </c>
      <c r="D180" s="66" t="s">
        <v>579</v>
      </c>
      <c r="E180" s="65" t="s">
        <v>369</v>
      </c>
      <c r="F180" s="67">
        <v>245</v>
      </c>
      <c r="G180" s="14" t="s">
        <v>370</v>
      </c>
      <c r="H180" s="14" t="s">
        <v>437</v>
      </c>
      <c r="I180" s="43" t="s">
        <v>315</v>
      </c>
      <c r="J180" t="s">
        <v>664</v>
      </c>
    </row>
    <row r="181" spans="2:10" x14ac:dyDescent="0.3">
      <c r="B181" s="64">
        <v>46177</v>
      </c>
      <c r="C181" s="69" t="s">
        <v>665</v>
      </c>
      <c r="D181" s="68" t="s">
        <v>23</v>
      </c>
      <c r="E181" s="69" t="s">
        <v>391</v>
      </c>
      <c r="F181" s="70">
        <v>82</v>
      </c>
      <c r="G181" s="23" t="s">
        <v>370</v>
      </c>
      <c r="H181" s="23" t="s">
        <v>371</v>
      </c>
      <c r="I181" s="55" t="s">
        <v>315</v>
      </c>
      <c r="J181" t="s">
        <v>533</v>
      </c>
    </row>
    <row r="182" spans="2:10" x14ac:dyDescent="0.3">
      <c r="B182" s="64">
        <v>46177</v>
      </c>
      <c r="C182" s="65" t="s">
        <v>666</v>
      </c>
      <c r="D182" s="66" t="s">
        <v>23</v>
      </c>
      <c r="E182" s="65" t="s">
        <v>373</v>
      </c>
      <c r="F182" s="67">
        <v>69</v>
      </c>
      <c r="G182" s="14" t="s">
        <v>613</v>
      </c>
      <c r="H182" s="14" t="s">
        <v>371</v>
      </c>
      <c r="I182" s="43" t="s">
        <v>315</v>
      </c>
      <c r="J182" t="s">
        <v>667</v>
      </c>
    </row>
    <row r="183" spans="2:10" x14ac:dyDescent="0.3">
      <c r="B183" s="64">
        <v>46177</v>
      </c>
      <c r="C183" s="69" t="s">
        <v>668</v>
      </c>
      <c r="D183" s="68" t="s">
        <v>23</v>
      </c>
      <c r="E183" s="69" t="s">
        <v>373</v>
      </c>
      <c r="F183" s="70">
        <v>44</v>
      </c>
      <c r="G183" s="23" t="s">
        <v>613</v>
      </c>
      <c r="H183" s="23" t="s">
        <v>371</v>
      </c>
      <c r="I183" s="55" t="s">
        <v>315</v>
      </c>
      <c r="J183" t="s">
        <v>667</v>
      </c>
    </row>
    <row r="184" spans="2:10" x14ac:dyDescent="0.3">
      <c r="B184" s="64">
        <v>46177</v>
      </c>
      <c r="C184" s="65" t="s">
        <v>669</v>
      </c>
      <c r="D184" s="66" t="s">
        <v>23</v>
      </c>
      <c r="E184" s="65" t="s">
        <v>373</v>
      </c>
      <c r="F184" s="67">
        <v>45</v>
      </c>
      <c r="G184" s="14" t="s">
        <v>613</v>
      </c>
      <c r="H184" s="14" t="s">
        <v>371</v>
      </c>
      <c r="I184" s="43" t="s">
        <v>315</v>
      </c>
      <c r="J184" t="s">
        <v>667</v>
      </c>
    </row>
    <row r="185" spans="2:10" x14ac:dyDescent="0.3">
      <c r="B185" s="64">
        <v>46177</v>
      </c>
      <c r="C185" s="69" t="s">
        <v>462</v>
      </c>
      <c r="D185" s="68" t="s">
        <v>23</v>
      </c>
      <c r="E185" s="69" t="s">
        <v>382</v>
      </c>
      <c r="F185" s="70">
        <v>200</v>
      </c>
      <c r="G185" s="23" t="s">
        <v>613</v>
      </c>
      <c r="H185" s="23" t="s">
        <v>371</v>
      </c>
      <c r="I185" s="55" t="s">
        <v>315</v>
      </c>
      <c r="J185" t="s">
        <v>667</v>
      </c>
    </row>
    <row r="186" spans="2:10" x14ac:dyDescent="0.3">
      <c r="B186" s="64">
        <v>46177</v>
      </c>
      <c r="C186" s="65" t="s">
        <v>670</v>
      </c>
      <c r="D186" s="66" t="s">
        <v>671</v>
      </c>
      <c r="E186" s="65" t="s">
        <v>672</v>
      </c>
      <c r="F186" s="67">
        <v>15000</v>
      </c>
      <c r="G186" s="14" t="s">
        <v>613</v>
      </c>
      <c r="H186" s="14" t="s">
        <v>614</v>
      </c>
      <c r="I186" s="43" t="s">
        <v>87</v>
      </c>
      <c r="J186" t="s">
        <v>673</v>
      </c>
    </row>
    <row r="187" spans="2:10" x14ac:dyDescent="0.3">
      <c r="B187" s="64">
        <v>46177</v>
      </c>
      <c r="C187" s="69" t="s">
        <v>674</v>
      </c>
      <c r="D187" s="68" t="s">
        <v>671</v>
      </c>
      <c r="E187" s="69" t="s">
        <v>675</v>
      </c>
      <c r="F187" s="70">
        <v>5000</v>
      </c>
      <c r="G187" s="23" t="s">
        <v>613</v>
      </c>
      <c r="H187" s="23" t="s">
        <v>614</v>
      </c>
      <c r="I187" s="55" t="s">
        <v>87</v>
      </c>
      <c r="J187" t="s">
        <v>676</v>
      </c>
    </row>
    <row r="188" spans="2:10" x14ac:dyDescent="0.3">
      <c r="B188" s="64">
        <v>46178</v>
      </c>
      <c r="C188" s="65" t="s">
        <v>677</v>
      </c>
      <c r="D188" s="66" t="s">
        <v>579</v>
      </c>
      <c r="E188" s="65" t="s">
        <v>369</v>
      </c>
      <c r="F188" s="67">
        <v>245</v>
      </c>
      <c r="G188" s="14" t="s">
        <v>370</v>
      </c>
      <c r="H188" s="14" t="s">
        <v>437</v>
      </c>
      <c r="I188" s="43" t="s">
        <v>315</v>
      </c>
      <c r="J188" t="s">
        <v>678</v>
      </c>
    </row>
    <row r="189" spans="2:10" x14ac:dyDescent="0.3">
      <c r="B189" s="64">
        <v>46178</v>
      </c>
      <c r="C189" s="69" t="s">
        <v>403</v>
      </c>
      <c r="D189" s="68" t="s">
        <v>579</v>
      </c>
      <c r="E189" s="69" t="s">
        <v>382</v>
      </c>
      <c r="F189" s="70">
        <v>220</v>
      </c>
      <c r="G189" s="23" t="s">
        <v>370</v>
      </c>
      <c r="H189" s="23" t="s">
        <v>437</v>
      </c>
      <c r="I189" s="55" t="s">
        <v>315</v>
      </c>
      <c r="J189" t="s">
        <v>679</v>
      </c>
    </row>
    <row r="190" spans="2:10" x14ac:dyDescent="0.3">
      <c r="B190" s="64">
        <v>46178</v>
      </c>
      <c r="C190" s="65" t="s">
        <v>680</v>
      </c>
      <c r="D190" s="66" t="s">
        <v>486</v>
      </c>
      <c r="E190" s="65" t="s">
        <v>373</v>
      </c>
      <c r="F190" s="67">
        <v>125.56</v>
      </c>
      <c r="G190" s="14" t="s">
        <v>370</v>
      </c>
      <c r="H190" s="14" t="s">
        <v>437</v>
      </c>
      <c r="I190" s="43" t="s">
        <v>315</v>
      </c>
      <c r="J190" t="s">
        <v>681</v>
      </c>
    </row>
    <row r="191" spans="2:10" x14ac:dyDescent="0.3">
      <c r="B191" s="64">
        <v>46178</v>
      </c>
      <c r="C191" s="69" t="s">
        <v>682</v>
      </c>
      <c r="D191" s="68" t="s">
        <v>23</v>
      </c>
      <c r="E191" s="69" t="s">
        <v>382</v>
      </c>
      <c r="F191" s="70">
        <v>123.5</v>
      </c>
      <c r="G191" s="23" t="s">
        <v>370</v>
      </c>
      <c r="H191" s="23" t="s">
        <v>371</v>
      </c>
      <c r="I191" s="55" t="s">
        <v>315</v>
      </c>
      <c r="J191" t="s">
        <v>533</v>
      </c>
    </row>
    <row r="192" spans="2:10" x14ac:dyDescent="0.3">
      <c r="B192" s="64">
        <v>46178</v>
      </c>
      <c r="C192" s="65" t="s">
        <v>683</v>
      </c>
      <c r="D192" s="66" t="s">
        <v>23</v>
      </c>
      <c r="E192" s="65" t="s">
        <v>382</v>
      </c>
      <c r="F192" s="67">
        <v>10</v>
      </c>
      <c r="G192" s="14" t="s">
        <v>370</v>
      </c>
      <c r="H192" s="14" t="s">
        <v>371</v>
      </c>
      <c r="I192" s="43" t="s">
        <v>315</v>
      </c>
      <c r="J192" t="s">
        <v>533</v>
      </c>
    </row>
    <row r="193" spans="2:10" x14ac:dyDescent="0.3">
      <c r="B193" s="64">
        <v>46178</v>
      </c>
      <c r="C193" s="69" t="s">
        <v>384</v>
      </c>
      <c r="D193" s="68" t="s">
        <v>23</v>
      </c>
      <c r="E193" s="69" t="s">
        <v>382</v>
      </c>
      <c r="F193" s="70">
        <v>104</v>
      </c>
      <c r="G193" s="23" t="s">
        <v>370</v>
      </c>
      <c r="H193" s="23" t="s">
        <v>371</v>
      </c>
      <c r="I193" s="55" t="s">
        <v>315</v>
      </c>
      <c r="J193" t="s">
        <v>533</v>
      </c>
    </row>
    <row r="194" spans="2:10" x14ac:dyDescent="0.3">
      <c r="B194" s="64">
        <v>46178</v>
      </c>
      <c r="C194" s="65" t="s">
        <v>534</v>
      </c>
      <c r="D194" s="66" t="s">
        <v>23</v>
      </c>
      <c r="E194" s="65" t="s">
        <v>393</v>
      </c>
      <c r="F194" s="67">
        <v>50</v>
      </c>
      <c r="G194" s="14" t="s">
        <v>370</v>
      </c>
      <c r="H194" s="14" t="s">
        <v>371</v>
      </c>
      <c r="I194" s="43" t="s">
        <v>315</v>
      </c>
      <c r="J194" t="s">
        <v>533</v>
      </c>
    </row>
    <row r="195" spans="2:10" x14ac:dyDescent="0.3">
      <c r="B195" s="64">
        <v>46179</v>
      </c>
      <c r="C195" s="69" t="s">
        <v>684</v>
      </c>
      <c r="D195" s="68" t="s">
        <v>421</v>
      </c>
      <c r="E195" s="69" t="s">
        <v>422</v>
      </c>
      <c r="F195" s="70">
        <v>2500</v>
      </c>
      <c r="G195" s="23" t="s">
        <v>370</v>
      </c>
      <c r="H195" s="23" t="s">
        <v>371</v>
      </c>
      <c r="I195" s="55" t="s">
        <v>315</v>
      </c>
      <c r="J195" t="s">
        <v>685</v>
      </c>
    </row>
    <row r="196" spans="2:10" x14ac:dyDescent="0.3">
      <c r="B196" s="64">
        <v>46179</v>
      </c>
      <c r="C196" s="65" t="s">
        <v>686</v>
      </c>
      <c r="D196" s="66" t="s">
        <v>421</v>
      </c>
      <c r="E196" s="65" t="s">
        <v>422</v>
      </c>
      <c r="F196" s="67">
        <v>1000</v>
      </c>
      <c r="G196" s="14" t="s">
        <v>370</v>
      </c>
      <c r="H196" s="14" t="s">
        <v>371</v>
      </c>
      <c r="I196" s="43" t="s">
        <v>315</v>
      </c>
      <c r="J196" t="s">
        <v>687</v>
      </c>
    </row>
    <row r="197" spans="2:10" x14ac:dyDescent="0.3">
      <c r="B197" s="64">
        <v>46179</v>
      </c>
      <c r="C197" s="69" t="s">
        <v>688</v>
      </c>
      <c r="D197" s="68" t="s">
        <v>421</v>
      </c>
      <c r="E197" s="69" t="s">
        <v>422</v>
      </c>
      <c r="F197" s="70">
        <v>1500</v>
      </c>
      <c r="G197" s="23" t="s">
        <v>370</v>
      </c>
      <c r="H197" s="23" t="s">
        <v>371</v>
      </c>
      <c r="I197" s="55" t="s">
        <v>315</v>
      </c>
      <c r="J197" t="s">
        <v>689</v>
      </c>
    </row>
    <row r="198" spans="2:10" x14ac:dyDescent="0.3">
      <c r="B198" s="64">
        <v>46181</v>
      </c>
      <c r="C198" s="65" t="s">
        <v>690</v>
      </c>
      <c r="D198" s="66" t="s">
        <v>421</v>
      </c>
      <c r="E198" s="65" t="s">
        <v>422</v>
      </c>
      <c r="F198" s="67">
        <v>1500</v>
      </c>
      <c r="G198" s="14" t="s">
        <v>370</v>
      </c>
      <c r="H198" s="14" t="s">
        <v>371</v>
      </c>
      <c r="I198" s="43" t="s">
        <v>315</v>
      </c>
      <c r="J198" t="s">
        <v>691</v>
      </c>
    </row>
    <row r="199" spans="2:10" x14ac:dyDescent="0.3">
      <c r="B199" s="64">
        <v>46181</v>
      </c>
      <c r="C199" s="69" t="s">
        <v>692</v>
      </c>
      <c r="D199" s="68" t="s">
        <v>421</v>
      </c>
      <c r="E199" s="69" t="s">
        <v>422</v>
      </c>
      <c r="F199" s="70">
        <v>750</v>
      </c>
      <c r="G199" s="23" t="s">
        <v>370</v>
      </c>
      <c r="H199" s="23" t="s">
        <v>371</v>
      </c>
      <c r="I199" s="55" t="s">
        <v>315</v>
      </c>
      <c r="J199" t="s">
        <v>693</v>
      </c>
    </row>
    <row r="200" spans="2:10" x14ac:dyDescent="0.3">
      <c r="B200" s="64">
        <v>46181</v>
      </c>
      <c r="C200" s="65" t="s">
        <v>694</v>
      </c>
      <c r="D200" s="66" t="s">
        <v>421</v>
      </c>
      <c r="E200" s="65" t="s">
        <v>422</v>
      </c>
      <c r="F200" s="67">
        <v>400.65</v>
      </c>
      <c r="G200" s="14" t="s">
        <v>370</v>
      </c>
      <c r="H200" s="14" t="s">
        <v>371</v>
      </c>
      <c r="I200" s="43" t="s">
        <v>315</v>
      </c>
      <c r="J200" t="s">
        <v>695</v>
      </c>
    </row>
    <row r="201" spans="2:10" x14ac:dyDescent="0.3">
      <c r="B201" s="64">
        <v>46179</v>
      </c>
      <c r="C201" s="69" t="s">
        <v>696</v>
      </c>
      <c r="D201" s="68" t="s">
        <v>523</v>
      </c>
      <c r="E201" s="69" t="s">
        <v>373</v>
      </c>
      <c r="F201" s="70">
        <v>104</v>
      </c>
      <c r="G201" s="23" t="s">
        <v>370</v>
      </c>
      <c r="H201" s="23" t="s">
        <v>371</v>
      </c>
      <c r="I201" s="55" t="s">
        <v>315</v>
      </c>
      <c r="J201" t="s">
        <v>697</v>
      </c>
    </row>
    <row r="202" spans="2:10" x14ac:dyDescent="0.3">
      <c r="B202" s="64">
        <v>46179</v>
      </c>
      <c r="C202" s="65" t="s">
        <v>698</v>
      </c>
      <c r="D202" s="66" t="s">
        <v>699</v>
      </c>
      <c r="E202" s="65" t="s">
        <v>373</v>
      </c>
      <c r="F202" s="67">
        <v>260</v>
      </c>
      <c r="G202" s="14" t="s">
        <v>370</v>
      </c>
      <c r="H202" s="14" t="s">
        <v>437</v>
      </c>
      <c r="I202" s="43" t="s">
        <v>315</v>
      </c>
      <c r="J202" t="s">
        <v>700</v>
      </c>
    </row>
    <row r="203" spans="2:10" x14ac:dyDescent="0.3">
      <c r="B203" s="64">
        <v>46179</v>
      </c>
      <c r="C203" s="69" t="s">
        <v>701</v>
      </c>
      <c r="D203" s="68" t="s">
        <v>23</v>
      </c>
      <c r="E203" s="69" t="s">
        <v>393</v>
      </c>
      <c r="F203" s="70">
        <v>50</v>
      </c>
      <c r="G203" s="23" t="s">
        <v>370</v>
      </c>
      <c r="H203" s="23" t="s">
        <v>371</v>
      </c>
      <c r="I203" s="55" t="s">
        <v>315</v>
      </c>
      <c r="J203" t="s">
        <v>702</v>
      </c>
    </row>
    <row r="204" spans="2:10" x14ac:dyDescent="0.3">
      <c r="B204" s="64">
        <v>46180</v>
      </c>
      <c r="C204" s="65" t="s">
        <v>703</v>
      </c>
      <c r="D204" s="66" t="s">
        <v>704</v>
      </c>
      <c r="E204" s="65" t="s">
        <v>405</v>
      </c>
      <c r="F204" s="67">
        <v>312</v>
      </c>
      <c r="G204" s="14" t="s">
        <v>370</v>
      </c>
      <c r="H204" s="14" t="s">
        <v>371</v>
      </c>
      <c r="I204" s="43" t="s">
        <v>315</v>
      </c>
      <c r="J204" t="s">
        <v>705</v>
      </c>
    </row>
    <row r="205" spans="2:10" x14ac:dyDescent="0.3">
      <c r="B205" s="64">
        <v>46180</v>
      </c>
      <c r="C205" s="69" t="s">
        <v>706</v>
      </c>
      <c r="D205" s="68" t="s">
        <v>707</v>
      </c>
      <c r="E205" s="69" t="s">
        <v>382</v>
      </c>
      <c r="F205" s="70">
        <v>240</v>
      </c>
      <c r="G205" s="23" t="s">
        <v>370</v>
      </c>
      <c r="H205" s="23" t="s">
        <v>371</v>
      </c>
      <c r="I205" s="55" t="s">
        <v>315</v>
      </c>
      <c r="J205" t="s">
        <v>708</v>
      </c>
    </row>
    <row r="206" spans="2:10" x14ac:dyDescent="0.3">
      <c r="B206" s="64">
        <v>46180</v>
      </c>
      <c r="C206" s="65" t="s">
        <v>403</v>
      </c>
      <c r="D206" s="66" t="s">
        <v>23</v>
      </c>
      <c r="E206" s="65" t="s">
        <v>382</v>
      </c>
      <c r="F206" s="67">
        <v>200</v>
      </c>
      <c r="G206" s="14" t="s">
        <v>370</v>
      </c>
      <c r="H206" s="14" t="s">
        <v>371</v>
      </c>
      <c r="I206" s="43" t="s">
        <v>315</v>
      </c>
      <c r="J206" t="s">
        <v>533</v>
      </c>
    </row>
    <row r="207" spans="2:10" x14ac:dyDescent="0.3">
      <c r="B207" s="64">
        <v>46180</v>
      </c>
      <c r="C207" s="69" t="s">
        <v>709</v>
      </c>
      <c r="D207" s="68" t="s">
        <v>23</v>
      </c>
      <c r="E207" s="69" t="s">
        <v>405</v>
      </c>
      <c r="F207" s="70">
        <v>193</v>
      </c>
      <c r="G207" s="23" t="s">
        <v>370</v>
      </c>
      <c r="H207" s="23" t="s">
        <v>371</v>
      </c>
      <c r="I207" s="55" t="s">
        <v>315</v>
      </c>
      <c r="J207" t="s">
        <v>533</v>
      </c>
    </row>
    <row r="208" spans="2:10" x14ac:dyDescent="0.3">
      <c r="B208" s="64">
        <v>46180</v>
      </c>
      <c r="C208" s="65" t="s">
        <v>682</v>
      </c>
      <c r="D208" s="66" t="s">
        <v>23</v>
      </c>
      <c r="E208" s="65" t="s">
        <v>382</v>
      </c>
      <c r="F208" s="67">
        <v>112</v>
      </c>
      <c r="G208" s="14" t="s">
        <v>370</v>
      </c>
      <c r="H208" s="14" t="s">
        <v>371</v>
      </c>
      <c r="I208" s="43" t="s">
        <v>315</v>
      </c>
      <c r="J208" t="s">
        <v>533</v>
      </c>
    </row>
    <row r="209" spans="2:10" x14ac:dyDescent="0.3">
      <c r="B209" s="64">
        <v>46180</v>
      </c>
      <c r="C209" s="69" t="s">
        <v>710</v>
      </c>
      <c r="D209" s="68" t="s">
        <v>23</v>
      </c>
      <c r="E209" s="69" t="s">
        <v>382</v>
      </c>
      <c r="F209" s="70">
        <v>55</v>
      </c>
      <c r="G209" s="23" t="s">
        <v>370</v>
      </c>
      <c r="H209" s="23" t="s">
        <v>371</v>
      </c>
      <c r="I209" s="55" t="s">
        <v>315</v>
      </c>
      <c r="J209" t="s">
        <v>533</v>
      </c>
    </row>
    <row r="210" spans="2:10" x14ac:dyDescent="0.3">
      <c r="B210" s="64">
        <v>46180</v>
      </c>
      <c r="C210" s="65" t="s">
        <v>711</v>
      </c>
      <c r="D210" s="66" t="s">
        <v>23</v>
      </c>
      <c r="E210" s="65" t="s">
        <v>382</v>
      </c>
      <c r="F210" s="67">
        <v>328</v>
      </c>
      <c r="G210" s="14" t="s">
        <v>370</v>
      </c>
      <c r="H210" s="14" t="s">
        <v>371</v>
      </c>
      <c r="I210" s="43" t="s">
        <v>315</v>
      </c>
      <c r="J210" t="s">
        <v>533</v>
      </c>
    </row>
    <row r="211" spans="2:10" x14ac:dyDescent="0.3">
      <c r="B211" s="64">
        <v>46180</v>
      </c>
      <c r="C211" s="69" t="s">
        <v>712</v>
      </c>
      <c r="D211" s="68" t="s">
        <v>23</v>
      </c>
      <c r="E211" s="69" t="s">
        <v>382</v>
      </c>
      <c r="F211" s="70">
        <v>22</v>
      </c>
      <c r="G211" s="23" t="s">
        <v>370</v>
      </c>
      <c r="H211" s="23" t="s">
        <v>371</v>
      </c>
      <c r="I211" s="55" t="s">
        <v>315</v>
      </c>
      <c r="J211" t="s">
        <v>533</v>
      </c>
    </row>
    <row r="212" spans="2:10" x14ac:dyDescent="0.3">
      <c r="B212" s="64">
        <v>46180</v>
      </c>
      <c r="C212" s="65" t="s">
        <v>713</v>
      </c>
      <c r="D212" s="66" t="s">
        <v>23</v>
      </c>
      <c r="E212" s="65" t="s">
        <v>382</v>
      </c>
      <c r="F212" s="67">
        <v>209</v>
      </c>
      <c r="G212" s="14" t="s">
        <v>370</v>
      </c>
      <c r="H212" s="14" t="s">
        <v>371</v>
      </c>
      <c r="I212" s="43" t="s">
        <v>315</v>
      </c>
      <c r="J212" t="s">
        <v>533</v>
      </c>
    </row>
    <row r="213" spans="2:10" x14ac:dyDescent="0.3">
      <c r="B213" s="64">
        <v>46181</v>
      </c>
      <c r="C213" s="69" t="s">
        <v>714</v>
      </c>
      <c r="D213" s="68" t="s">
        <v>579</v>
      </c>
      <c r="E213" s="69" t="s">
        <v>369</v>
      </c>
      <c r="F213" s="70">
        <v>273</v>
      </c>
      <c r="G213" s="23" t="s">
        <v>370</v>
      </c>
      <c r="H213" s="23" t="s">
        <v>437</v>
      </c>
      <c r="I213" s="55" t="s">
        <v>315</v>
      </c>
      <c r="J213" t="s">
        <v>715</v>
      </c>
    </row>
    <row r="214" spans="2:10" x14ac:dyDescent="0.3">
      <c r="B214" s="64">
        <v>46181</v>
      </c>
      <c r="C214" s="65" t="s">
        <v>716</v>
      </c>
      <c r="D214" s="66" t="s">
        <v>486</v>
      </c>
      <c r="E214" s="65" t="s">
        <v>373</v>
      </c>
      <c r="F214" s="67">
        <v>68</v>
      </c>
      <c r="G214" s="14" t="s">
        <v>370</v>
      </c>
      <c r="H214" s="14" t="s">
        <v>437</v>
      </c>
      <c r="I214" s="43" t="s">
        <v>315</v>
      </c>
      <c r="J214" t="s">
        <v>717</v>
      </c>
    </row>
    <row r="215" spans="2:10" x14ac:dyDescent="0.3">
      <c r="B215" s="64">
        <v>46181</v>
      </c>
      <c r="C215" s="69" t="s">
        <v>718</v>
      </c>
      <c r="D215" s="68" t="s">
        <v>486</v>
      </c>
      <c r="E215" s="69" t="s">
        <v>373</v>
      </c>
      <c r="F215" s="70">
        <v>39.659999999999997</v>
      </c>
      <c r="G215" s="23" t="s">
        <v>370</v>
      </c>
      <c r="H215" s="23" t="s">
        <v>437</v>
      </c>
      <c r="I215" s="55" t="s">
        <v>315</v>
      </c>
      <c r="J215" t="s">
        <v>719</v>
      </c>
    </row>
    <row r="216" spans="2:10" x14ac:dyDescent="0.3">
      <c r="B216" s="64">
        <v>46181</v>
      </c>
      <c r="C216" s="65" t="s">
        <v>628</v>
      </c>
      <c r="D216" s="66" t="s">
        <v>486</v>
      </c>
      <c r="E216" s="65" t="s">
        <v>376</v>
      </c>
      <c r="F216" s="67">
        <v>16.8</v>
      </c>
      <c r="G216" s="14" t="s">
        <v>370</v>
      </c>
      <c r="H216" s="14" t="s">
        <v>437</v>
      </c>
      <c r="I216" s="43" t="s">
        <v>315</v>
      </c>
      <c r="J216" t="s">
        <v>720</v>
      </c>
    </row>
    <row r="217" spans="2:10" x14ac:dyDescent="0.3">
      <c r="B217" s="64">
        <v>46181</v>
      </c>
      <c r="C217" s="69" t="s">
        <v>541</v>
      </c>
      <c r="D217" s="68" t="s">
        <v>486</v>
      </c>
      <c r="E217" s="69" t="s">
        <v>376</v>
      </c>
      <c r="F217" s="70">
        <v>89</v>
      </c>
      <c r="G217" s="23" t="s">
        <v>370</v>
      </c>
      <c r="H217" s="23" t="s">
        <v>437</v>
      </c>
      <c r="I217" s="55" t="s">
        <v>315</v>
      </c>
      <c r="J217" t="s">
        <v>721</v>
      </c>
    </row>
    <row r="218" spans="2:10" x14ac:dyDescent="0.3">
      <c r="B218" s="64">
        <v>46181</v>
      </c>
      <c r="C218" s="65" t="s">
        <v>534</v>
      </c>
      <c r="D218" s="66" t="s">
        <v>23</v>
      </c>
      <c r="E218" s="65" t="s">
        <v>393</v>
      </c>
      <c r="F218" s="67">
        <v>50</v>
      </c>
      <c r="G218" s="14" t="s">
        <v>370</v>
      </c>
      <c r="H218" s="14" t="s">
        <v>371</v>
      </c>
      <c r="I218" s="43" t="s">
        <v>315</v>
      </c>
      <c r="J218" t="s">
        <v>533</v>
      </c>
    </row>
    <row r="219" spans="2:10" x14ac:dyDescent="0.3">
      <c r="B219" s="64"/>
      <c r="C219" s="69"/>
      <c r="D219" s="68"/>
      <c r="E219" s="69"/>
      <c r="F219" s="70"/>
      <c r="G219" s="23"/>
      <c r="H219" s="23"/>
      <c r="I219" s="55"/>
    </row>
    <row r="220" spans="2:10" x14ac:dyDescent="0.3">
      <c r="B220" s="64"/>
      <c r="C220" s="65"/>
      <c r="D220" s="66"/>
      <c r="E220" s="65"/>
      <c r="F220" s="67"/>
      <c r="G220" s="14"/>
      <c r="H220" s="14"/>
      <c r="I220" s="43"/>
    </row>
    <row r="221" spans="2:10" x14ac:dyDescent="0.3">
      <c r="B221" s="64"/>
      <c r="C221" s="69"/>
      <c r="D221" s="68"/>
      <c r="E221" s="69"/>
      <c r="F221" s="70"/>
      <c r="G221" s="23"/>
      <c r="H221" s="23"/>
      <c r="I221" s="55"/>
    </row>
    <row r="222" spans="2:10" x14ac:dyDescent="0.3">
      <c r="B222" s="64"/>
      <c r="C222" s="65"/>
      <c r="D222" s="66"/>
      <c r="E222" s="65"/>
      <c r="F222" s="67"/>
      <c r="G222" s="14"/>
      <c r="H222" s="14"/>
      <c r="I222" s="43"/>
    </row>
    <row r="223" spans="2:10" x14ac:dyDescent="0.3">
      <c r="B223" s="64"/>
      <c r="C223" s="69"/>
      <c r="D223" s="68"/>
      <c r="E223" s="69"/>
      <c r="F223" s="70"/>
      <c r="G223" s="23"/>
      <c r="H223" s="23"/>
      <c r="I223" s="55"/>
    </row>
    <row r="224" spans="2:10" x14ac:dyDescent="0.3">
      <c r="B224" s="64"/>
      <c r="C224" s="65"/>
      <c r="D224" s="66"/>
      <c r="E224" s="65"/>
      <c r="F224" s="67"/>
      <c r="G224" s="14"/>
      <c r="H224" s="14"/>
      <c r="I224" s="43"/>
    </row>
    <row r="225" spans="2:9" x14ac:dyDescent="0.3">
      <c r="B225" s="64"/>
      <c r="C225" s="69"/>
      <c r="D225" s="68"/>
      <c r="E225" s="69"/>
      <c r="F225" s="70"/>
      <c r="G225" s="23"/>
      <c r="H225" s="23"/>
      <c r="I225" s="55"/>
    </row>
    <row r="226" spans="2:9" x14ac:dyDescent="0.3">
      <c r="B226" s="64"/>
      <c r="C226" s="65"/>
      <c r="D226" s="66"/>
      <c r="E226" s="65"/>
      <c r="F226" s="67"/>
      <c r="G226" s="14"/>
      <c r="H226" s="14"/>
      <c r="I226" s="43"/>
    </row>
    <row r="227" spans="2:9" x14ac:dyDescent="0.3">
      <c r="B227" s="64"/>
      <c r="C227" s="69"/>
      <c r="D227" s="68"/>
      <c r="E227" s="69"/>
      <c r="F227" s="70"/>
      <c r="G227" s="23"/>
      <c r="H227" s="23"/>
      <c r="I227" s="55"/>
    </row>
    <row r="228" spans="2:9" x14ac:dyDescent="0.3">
      <c r="B228" s="64"/>
      <c r="C228" s="65"/>
      <c r="D228" s="66"/>
      <c r="E228" s="65"/>
      <c r="F228" s="67"/>
      <c r="G228" s="14"/>
      <c r="H228" s="14"/>
      <c r="I228" s="43"/>
    </row>
    <row r="229" spans="2:9" x14ac:dyDescent="0.3">
      <c r="B229" s="64"/>
      <c r="C229" s="69"/>
      <c r="D229" s="68"/>
      <c r="E229" s="69"/>
      <c r="F229" s="70"/>
      <c r="G229" s="23"/>
      <c r="H229" s="23"/>
      <c r="I229" s="55"/>
    </row>
    <row r="230" spans="2:9" x14ac:dyDescent="0.3">
      <c r="B230" s="64"/>
      <c r="C230" s="65"/>
      <c r="D230" s="66"/>
      <c r="E230" s="65"/>
      <c r="F230" s="67"/>
      <c r="G230" s="14"/>
      <c r="H230" s="14"/>
      <c r="I230" s="43"/>
    </row>
    <row r="231" spans="2:9" x14ac:dyDescent="0.3">
      <c r="B231" s="64"/>
      <c r="C231" s="69"/>
      <c r="D231" s="68"/>
      <c r="E231" s="69"/>
      <c r="F231" s="70"/>
      <c r="G231" s="23"/>
      <c r="H231" s="23"/>
      <c r="I231" s="55"/>
    </row>
    <row r="232" spans="2:9" x14ac:dyDescent="0.3">
      <c r="B232" s="64"/>
      <c r="C232" s="65"/>
      <c r="D232" s="66"/>
      <c r="E232" s="65"/>
      <c r="F232" s="67"/>
      <c r="G232" s="14"/>
      <c r="H232" s="14"/>
      <c r="I232" s="43"/>
    </row>
    <row r="233" spans="2:9" x14ac:dyDescent="0.3">
      <c r="B233" s="64"/>
      <c r="C233" s="69"/>
      <c r="D233" s="68"/>
      <c r="E233" s="69"/>
      <c r="F233" s="70"/>
      <c r="G233" s="23"/>
      <c r="H233" s="23"/>
      <c r="I233" s="55"/>
    </row>
    <row r="234" spans="2:9" x14ac:dyDescent="0.3">
      <c r="B234" s="64"/>
      <c r="C234" s="65"/>
      <c r="D234" s="66"/>
      <c r="E234" s="65"/>
      <c r="F234" s="67"/>
      <c r="G234" s="14"/>
      <c r="H234" s="14"/>
      <c r="I234" s="43"/>
    </row>
    <row r="235" spans="2:9" x14ac:dyDescent="0.3">
      <c r="B235" s="64"/>
      <c r="C235" s="69"/>
      <c r="D235" s="68"/>
      <c r="E235" s="69"/>
      <c r="F235" s="70"/>
      <c r="G235" s="23"/>
      <c r="H235" s="23"/>
      <c r="I235" s="55"/>
    </row>
    <row r="236" spans="2:9" x14ac:dyDescent="0.3">
      <c r="B236" s="64"/>
      <c r="C236" s="65"/>
      <c r="D236" s="66"/>
      <c r="E236" s="65"/>
      <c r="F236" s="67"/>
      <c r="G236" s="14"/>
      <c r="H236" s="14"/>
      <c r="I236" s="43"/>
    </row>
    <row r="237" spans="2:9" x14ac:dyDescent="0.3">
      <c r="B237" s="64"/>
      <c r="C237" s="69"/>
      <c r="D237" s="68"/>
      <c r="E237" s="69"/>
      <c r="F237" s="70"/>
      <c r="G237" s="23"/>
      <c r="H237" s="23"/>
      <c r="I237" s="55"/>
    </row>
    <row r="238" spans="2:9" x14ac:dyDescent="0.3">
      <c r="B238" s="64"/>
      <c r="C238" s="65"/>
      <c r="D238" s="66"/>
      <c r="E238" s="65"/>
      <c r="F238" s="67"/>
      <c r="G238" s="14"/>
      <c r="H238" s="14"/>
      <c r="I238" s="43"/>
    </row>
    <row r="239" spans="2:9" x14ac:dyDescent="0.3">
      <c r="B239" s="64"/>
      <c r="C239" s="69"/>
      <c r="D239" s="68"/>
      <c r="E239" s="69"/>
      <c r="F239" s="70"/>
      <c r="G239" s="23"/>
      <c r="H239" s="23"/>
      <c r="I239" s="55"/>
    </row>
    <row r="240" spans="2:9" x14ac:dyDescent="0.3">
      <c r="B240" s="64"/>
      <c r="C240" s="65"/>
      <c r="D240" s="66"/>
      <c r="E240" s="65"/>
      <c r="F240" s="67"/>
      <c r="G240" s="14"/>
      <c r="H240" s="14"/>
      <c r="I240" s="43"/>
    </row>
    <row r="241" spans="2:9" x14ac:dyDescent="0.3">
      <c r="B241" s="64"/>
      <c r="C241" s="69"/>
      <c r="D241" s="68"/>
      <c r="E241" s="69"/>
      <c r="F241" s="70"/>
      <c r="G241" s="23"/>
      <c r="H241" s="23"/>
      <c r="I241" s="55"/>
    </row>
    <row r="242" spans="2:9" x14ac:dyDescent="0.3">
      <c r="B242" s="64"/>
      <c r="C242" s="65"/>
      <c r="D242" s="66"/>
      <c r="E242" s="65"/>
      <c r="F242" s="67"/>
      <c r="G242" s="14"/>
      <c r="H242" s="14"/>
      <c r="I242" s="43"/>
    </row>
    <row r="243" spans="2:9" x14ac:dyDescent="0.3">
      <c r="B243" s="64"/>
      <c r="C243" s="69"/>
      <c r="D243" s="68"/>
      <c r="E243" s="69"/>
      <c r="F243" s="70"/>
      <c r="G243" s="23"/>
      <c r="H243" s="23"/>
      <c r="I243" s="55"/>
    </row>
    <row r="244" spans="2:9" x14ac:dyDescent="0.3">
      <c r="B244" s="64"/>
      <c r="C244" s="65"/>
      <c r="D244" s="66"/>
      <c r="E244" s="65"/>
      <c r="F244" s="67"/>
      <c r="G244" s="14"/>
      <c r="H244" s="14"/>
      <c r="I244" s="43"/>
    </row>
    <row r="245" spans="2:9" x14ac:dyDescent="0.3">
      <c r="B245" s="64"/>
      <c r="C245" s="69"/>
      <c r="D245" s="68"/>
      <c r="E245" s="69"/>
      <c r="F245" s="70"/>
      <c r="G245" s="23"/>
      <c r="H245" s="23"/>
      <c r="I245" s="55"/>
    </row>
    <row r="246" spans="2:9" x14ac:dyDescent="0.3">
      <c r="B246" s="64"/>
      <c r="C246" s="65"/>
      <c r="D246" s="66"/>
      <c r="E246" s="65"/>
      <c r="F246" s="67"/>
      <c r="G246" s="14"/>
      <c r="H246" s="14"/>
      <c r="I246" s="43"/>
    </row>
    <row r="247" spans="2:9" x14ac:dyDescent="0.3">
      <c r="B247" s="64"/>
      <c r="C247" s="69"/>
      <c r="D247" s="68"/>
      <c r="E247" s="69"/>
      <c r="F247" s="70"/>
      <c r="G247" s="23"/>
      <c r="H247" s="23"/>
      <c r="I247" s="55"/>
    </row>
    <row r="248" spans="2:9" x14ac:dyDescent="0.3">
      <c r="B248" s="64"/>
      <c r="C248" s="65"/>
      <c r="D248" s="66"/>
      <c r="E248" s="65"/>
      <c r="F248" s="67"/>
      <c r="G248" s="14"/>
      <c r="H248" s="14"/>
      <c r="I248" s="43"/>
    </row>
    <row r="249" spans="2:9" x14ac:dyDescent="0.3">
      <c r="B249" s="64"/>
      <c r="C249" s="69"/>
      <c r="D249" s="68"/>
      <c r="E249" s="69"/>
      <c r="F249" s="70"/>
      <c r="G249" s="23"/>
      <c r="H249" s="23"/>
      <c r="I249" s="55"/>
    </row>
    <row r="250" spans="2:9" x14ac:dyDescent="0.3">
      <c r="B250" s="64"/>
      <c r="C250" s="65"/>
      <c r="D250" s="66"/>
      <c r="E250" s="65"/>
      <c r="F250" s="67"/>
      <c r="G250" s="14"/>
      <c r="H250" s="14"/>
      <c r="I250" s="43"/>
    </row>
    <row r="251" spans="2:9" x14ac:dyDescent="0.3">
      <c r="B251" s="64"/>
      <c r="C251" s="69"/>
      <c r="D251" s="68"/>
      <c r="E251" s="69"/>
      <c r="F251" s="70"/>
      <c r="G251" s="23"/>
      <c r="H251" s="23"/>
      <c r="I251" s="55"/>
    </row>
    <row r="252" spans="2:9" x14ac:dyDescent="0.3">
      <c r="B252" s="64"/>
      <c r="C252" s="65"/>
      <c r="D252" s="66"/>
      <c r="E252" s="65"/>
      <c r="F252" s="67"/>
      <c r="G252" s="14"/>
      <c r="H252" s="14"/>
      <c r="I252" s="43"/>
    </row>
    <row r="253" spans="2:9" x14ac:dyDescent="0.3">
      <c r="B253" s="64"/>
      <c r="C253" s="69"/>
      <c r="D253" s="68"/>
      <c r="E253" s="69"/>
      <c r="F253" s="70"/>
      <c r="G253" s="23"/>
      <c r="H253" s="23"/>
      <c r="I253" s="55"/>
    </row>
    <row r="254" spans="2:9" x14ac:dyDescent="0.3">
      <c r="B254" s="64"/>
      <c r="C254" s="65"/>
      <c r="D254" s="66"/>
      <c r="E254" s="65"/>
      <c r="F254" s="67"/>
      <c r="G254" s="14"/>
      <c r="H254" s="14"/>
      <c r="I254" s="43"/>
    </row>
    <row r="255" spans="2:9" x14ac:dyDescent="0.3">
      <c r="B255" s="64"/>
      <c r="C255" s="69"/>
      <c r="D255" s="68"/>
      <c r="E255" s="69"/>
      <c r="F255" s="70"/>
      <c r="G255" s="23"/>
      <c r="H255" s="23"/>
      <c r="I255" s="55"/>
    </row>
    <row r="256" spans="2:9" x14ac:dyDescent="0.3">
      <c r="B256" s="64"/>
      <c r="C256" s="65"/>
      <c r="D256" s="66"/>
      <c r="E256" s="65"/>
      <c r="F256" s="67"/>
      <c r="G256" s="14"/>
      <c r="H256" s="14"/>
      <c r="I256" s="43"/>
    </row>
    <row r="257" spans="2:9" x14ac:dyDescent="0.3">
      <c r="B257" s="64"/>
      <c r="C257" s="69"/>
      <c r="D257" s="68"/>
      <c r="E257" s="69"/>
      <c r="F257" s="70"/>
      <c r="G257" s="23"/>
      <c r="H257" s="23"/>
      <c r="I257" s="55"/>
    </row>
    <row r="258" spans="2:9" x14ac:dyDescent="0.3">
      <c r="B258" s="64"/>
      <c r="C258" s="65"/>
      <c r="D258" s="66"/>
      <c r="E258" s="65"/>
      <c r="F258" s="67"/>
      <c r="G258" s="14"/>
      <c r="H258" s="14"/>
      <c r="I258" s="43"/>
    </row>
    <row r="259" spans="2:9" x14ac:dyDescent="0.3">
      <c r="B259" s="64"/>
      <c r="C259" s="69"/>
      <c r="D259" s="68"/>
      <c r="E259" s="69"/>
      <c r="F259" s="70"/>
      <c r="G259" s="23"/>
      <c r="H259" s="23"/>
      <c r="I259" s="55"/>
    </row>
    <row r="260" spans="2:9" x14ac:dyDescent="0.3">
      <c r="B260" s="64"/>
      <c r="C260" s="65"/>
      <c r="D260" s="66"/>
      <c r="E260" s="65"/>
      <c r="F260" s="67"/>
      <c r="G260" s="14"/>
      <c r="H260" s="14"/>
      <c r="I260" s="43"/>
    </row>
    <row r="261" spans="2:9" x14ac:dyDescent="0.3">
      <c r="B261" s="64"/>
      <c r="C261" s="69"/>
      <c r="D261" s="68"/>
      <c r="E261" s="69"/>
      <c r="F261" s="70"/>
      <c r="G261" s="23"/>
      <c r="H261" s="23"/>
      <c r="I261" s="55"/>
    </row>
    <row r="262" spans="2:9" x14ac:dyDescent="0.3">
      <c r="B262" s="64"/>
      <c r="C262" s="65"/>
      <c r="D262" s="66"/>
      <c r="E262" s="65"/>
      <c r="F262" s="67"/>
      <c r="G262" s="14"/>
      <c r="H262" s="14"/>
      <c r="I262" s="43"/>
    </row>
    <row r="263" spans="2:9" x14ac:dyDescent="0.3">
      <c r="B263" s="64"/>
      <c r="C263" s="69"/>
      <c r="D263" s="68"/>
      <c r="E263" s="69"/>
      <c r="F263" s="70"/>
      <c r="G263" s="23"/>
      <c r="H263" s="23"/>
      <c r="I263" s="55"/>
    </row>
    <row r="264" spans="2:9" x14ac:dyDescent="0.3">
      <c r="B264" s="64"/>
      <c r="C264" s="65"/>
      <c r="D264" s="66"/>
      <c r="E264" s="65"/>
      <c r="F264" s="67"/>
      <c r="G264" s="14"/>
      <c r="H264" s="14"/>
      <c r="I264" s="43"/>
    </row>
    <row r="265" spans="2:9" x14ac:dyDescent="0.3">
      <c r="B265" s="64"/>
      <c r="C265" s="69"/>
      <c r="D265" s="68"/>
      <c r="E265" s="69"/>
      <c r="F265" s="70"/>
      <c r="G265" s="23"/>
      <c r="H265" s="23"/>
      <c r="I265" s="55"/>
    </row>
    <row r="266" spans="2:9" x14ac:dyDescent="0.3">
      <c r="B266" s="64"/>
      <c r="C266" s="65"/>
      <c r="D266" s="66"/>
      <c r="E266" s="65"/>
      <c r="F266" s="67"/>
      <c r="G266" s="14"/>
      <c r="H266" s="14"/>
      <c r="I266" s="43"/>
    </row>
    <row r="267" spans="2:9" x14ac:dyDescent="0.3">
      <c r="B267" s="64"/>
      <c r="C267" s="69"/>
      <c r="D267" s="68"/>
      <c r="E267" s="69"/>
      <c r="F267" s="70"/>
      <c r="G267" s="23"/>
      <c r="H267" s="23"/>
      <c r="I267" s="55"/>
    </row>
    <row r="268" spans="2:9" x14ac:dyDescent="0.3">
      <c r="B268" s="64"/>
      <c r="C268" s="65"/>
      <c r="D268" s="66"/>
      <c r="E268" s="65"/>
      <c r="F268" s="67"/>
      <c r="G268" s="14"/>
      <c r="H268" s="14"/>
      <c r="I268" s="43"/>
    </row>
    <row r="269" spans="2:9" x14ac:dyDescent="0.3">
      <c r="B269" s="64"/>
      <c r="C269" s="69"/>
      <c r="D269" s="68"/>
      <c r="E269" s="69"/>
      <c r="F269" s="70"/>
      <c r="G269" s="23"/>
      <c r="H269" s="23"/>
      <c r="I269" s="55"/>
    </row>
    <row r="270" spans="2:9" x14ac:dyDescent="0.3">
      <c r="B270" s="64"/>
      <c r="C270" s="65"/>
      <c r="D270" s="66"/>
      <c r="E270" s="65"/>
      <c r="F270" s="67"/>
      <c r="G270" s="14"/>
      <c r="H270" s="14"/>
      <c r="I270" s="43"/>
    </row>
    <row r="271" spans="2:9" x14ac:dyDescent="0.3">
      <c r="B271" s="64"/>
      <c r="C271" s="69"/>
      <c r="D271" s="68"/>
      <c r="E271" s="69"/>
      <c r="F271" s="70"/>
      <c r="G271" s="23"/>
      <c r="H271" s="23"/>
      <c r="I271" s="55"/>
    </row>
    <row r="272" spans="2:9" x14ac:dyDescent="0.3">
      <c r="B272" s="64"/>
      <c r="C272" s="65"/>
      <c r="D272" s="66"/>
      <c r="E272" s="65"/>
      <c r="F272" s="67"/>
      <c r="G272" s="14"/>
      <c r="H272" s="14"/>
      <c r="I272" s="43"/>
    </row>
    <row r="273" spans="2:9" x14ac:dyDescent="0.3">
      <c r="B273" s="64"/>
      <c r="C273" s="69"/>
      <c r="D273" s="68"/>
      <c r="E273" s="69"/>
      <c r="F273" s="70"/>
      <c r="G273" s="23"/>
      <c r="H273" s="23"/>
      <c r="I273" s="55"/>
    </row>
    <row r="274" spans="2:9" x14ac:dyDescent="0.3">
      <c r="B274" s="64"/>
      <c r="C274" s="65"/>
      <c r="D274" s="66"/>
      <c r="E274" s="65"/>
      <c r="F274" s="67"/>
      <c r="G274" s="14"/>
      <c r="H274" s="14"/>
      <c r="I274" s="43"/>
    </row>
    <row r="275" spans="2:9" x14ac:dyDescent="0.3">
      <c r="B275" s="64"/>
      <c r="C275" s="69"/>
      <c r="D275" s="68"/>
      <c r="E275" s="69"/>
      <c r="F275" s="70"/>
      <c r="G275" s="23"/>
      <c r="H275" s="23"/>
      <c r="I275" s="55"/>
    </row>
    <row r="276" spans="2:9" x14ac:dyDescent="0.3">
      <c r="B276" s="64"/>
      <c r="C276" s="65"/>
      <c r="D276" s="66"/>
      <c r="E276" s="65"/>
      <c r="F276" s="67"/>
      <c r="G276" s="14"/>
      <c r="H276" s="14"/>
      <c r="I276" s="43"/>
    </row>
    <row r="277" spans="2:9" x14ac:dyDescent="0.3">
      <c r="B277" s="64"/>
      <c r="C277" s="69"/>
      <c r="D277" s="68"/>
      <c r="E277" s="69"/>
      <c r="F277" s="70"/>
      <c r="G277" s="23"/>
      <c r="H277" s="23"/>
      <c r="I277" s="55"/>
    </row>
    <row r="278" spans="2:9" x14ac:dyDescent="0.3">
      <c r="B278" s="64"/>
      <c r="C278" s="65"/>
      <c r="D278" s="66"/>
      <c r="E278" s="65"/>
      <c r="F278" s="67"/>
      <c r="G278" s="14"/>
      <c r="H278" s="14"/>
      <c r="I278" s="43"/>
    </row>
    <row r="279" spans="2:9" x14ac:dyDescent="0.3">
      <c r="B279" s="64"/>
      <c r="C279" s="69"/>
      <c r="D279" s="68"/>
      <c r="E279" s="69"/>
      <c r="F279" s="70"/>
      <c r="G279" s="23"/>
      <c r="H279" s="23"/>
      <c r="I279" s="55"/>
    </row>
    <row r="280" spans="2:9" x14ac:dyDescent="0.3">
      <c r="B280" s="64"/>
      <c r="C280" s="65"/>
      <c r="D280" s="66"/>
      <c r="E280" s="65"/>
      <c r="F280" s="67"/>
      <c r="G280" s="14"/>
      <c r="H280" s="14"/>
      <c r="I280" s="43"/>
    </row>
    <row r="281" spans="2:9" x14ac:dyDescent="0.3">
      <c r="B281" s="64"/>
      <c r="C281" s="69"/>
      <c r="D281" s="68"/>
      <c r="E281" s="69"/>
      <c r="F281" s="70"/>
      <c r="G281" s="23"/>
      <c r="H281" s="23"/>
      <c r="I281" s="55"/>
    </row>
    <row r="282" spans="2:9" x14ac:dyDescent="0.3">
      <c r="B282" s="64"/>
      <c r="C282" s="65"/>
      <c r="D282" s="66"/>
      <c r="E282" s="65"/>
      <c r="F282" s="67"/>
      <c r="G282" s="14"/>
      <c r="H282" s="14"/>
      <c r="I282" s="43"/>
    </row>
    <row r="283" spans="2:9" x14ac:dyDescent="0.3">
      <c r="B283" s="64"/>
      <c r="C283" s="69"/>
      <c r="D283" s="68"/>
      <c r="E283" s="69"/>
      <c r="F283" s="70"/>
      <c r="G283" s="23"/>
      <c r="H283" s="23"/>
      <c r="I283" s="55"/>
    </row>
    <row r="284" spans="2:9" x14ac:dyDescent="0.3">
      <c r="B284" s="64"/>
      <c r="C284" s="65"/>
      <c r="D284" s="66"/>
      <c r="E284" s="65"/>
      <c r="F284" s="67"/>
      <c r="G284" s="14"/>
      <c r="H284" s="14"/>
      <c r="I284" s="43"/>
    </row>
    <row r="285" spans="2:9" x14ac:dyDescent="0.3">
      <c r="B285" s="64"/>
      <c r="C285" s="69"/>
      <c r="D285" s="68"/>
      <c r="E285" s="69"/>
      <c r="F285" s="70"/>
      <c r="G285" s="23"/>
      <c r="H285" s="23"/>
      <c r="I285" s="55"/>
    </row>
    <row r="286" spans="2:9" x14ac:dyDescent="0.3">
      <c r="B286" s="64"/>
      <c r="C286" s="65"/>
      <c r="D286" s="66"/>
      <c r="E286" s="65"/>
      <c r="F286" s="67"/>
      <c r="G286" s="14"/>
      <c r="H286" s="14"/>
      <c r="I286" s="43"/>
    </row>
    <row r="287" spans="2:9" x14ac:dyDescent="0.3">
      <c r="B287" s="64"/>
      <c r="C287" s="69"/>
      <c r="D287" s="68"/>
      <c r="E287" s="69"/>
      <c r="F287" s="70"/>
      <c r="G287" s="23"/>
      <c r="H287" s="23"/>
      <c r="I287" s="55"/>
    </row>
    <row r="288" spans="2:9" x14ac:dyDescent="0.3">
      <c r="B288" s="64"/>
      <c r="C288" s="65"/>
      <c r="D288" s="66"/>
      <c r="E288" s="65"/>
      <c r="F288" s="67"/>
      <c r="G288" s="14"/>
      <c r="H288" s="14"/>
      <c r="I288" s="43"/>
    </row>
    <row r="289" spans="2:9" x14ac:dyDescent="0.3">
      <c r="B289" s="64"/>
      <c r="C289" s="69"/>
      <c r="D289" s="68"/>
      <c r="E289" s="69"/>
      <c r="F289" s="70"/>
      <c r="G289" s="23"/>
      <c r="H289" s="23"/>
      <c r="I289" s="55"/>
    </row>
    <row r="290" spans="2:9" x14ac:dyDescent="0.3">
      <c r="B290" s="64"/>
      <c r="C290" s="65"/>
      <c r="D290" s="66"/>
      <c r="E290" s="65"/>
      <c r="F290" s="67"/>
      <c r="G290" s="14"/>
      <c r="H290" s="14"/>
      <c r="I290" s="43"/>
    </row>
    <row r="291" spans="2:9" x14ac:dyDescent="0.3">
      <c r="B291" s="64"/>
      <c r="C291" s="69"/>
      <c r="D291" s="68"/>
      <c r="E291" s="69"/>
      <c r="F291" s="70"/>
      <c r="G291" s="23"/>
      <c r="H291" s="23"/>
      <c r="I291" s="55"/>
    </row>
    <row r="292" spans="2:9" x14ac:dyDescent="0.3">
      <c r="B292" s="64"/>
      <c r="C292" s="65"/>
      <c r="D292" s="66"/>
      <c r="E292" s="65"/>
      <c r="F292" s="67"/>
      <c r="G292" s="14"/>
      <c r="H292" s="14"/>
      <c r="I292" s="43"/>
    </row>
    <row r="293" spans="2:9" x14ac:dyDescent="0.3">
      <c r="B293" s="64"/>
      <c r="C293" s="69"/>
      <c r="D293" s="68"/>
      <c r="E293" s="69"/>
      <c r="F293" s="70"/>
      <c r="G293" s="23"/>
      <c r="H293" s="23"/>
      <c r="I293" s="55"/>
    </row>
    <row r="294" spans="2:9" x14ac:dyDescent="0.3">
      <c r="B294" s="64"/>
      <c r="C294" s="65"/>
      <c r="D294" s="66"/>
      <c r="E294" s="65"/>
      <c r="F294" s="67"/>
      <c r="G294" s="14"/>
      <c r="H294" s="14"/>
      <c r="I294" s="43"/>
    </row>
    <row r="295" spans="2:9" x14ac:dyDescent="0.3">
      <c r="B295" s="64"/>
      <c r="C295" s="69"/>
      <c r="D295" s="68"/>
      <c r="E295" s="69"/>
      <c r="F295" s="70"/>
      <c r="G295" s="23"/>
      <c r="H295" s="23"/>
      <c r="I295" s="55"/>
    </row>
    <row r="296" spans="2:9" x14ac:dyDescent="0.3">
      <c r="B296" s="64"/>
      <c r="C296" s="65"/>
      <c r="D296" s="66"/>
      <c r="E296" s="65"/>
      <c r="F296" s="67"/>
      <c r="G296" s="14"/>
      <c r="H296" s="14"/>
      <c r="I296" s="43"/>
    </row>
    <row r="297" spans="2:9" x14ac:dyDescent="0.3">
      <c r="B297" s="64"/>
      <c r="C297" s="69"/>
      <c r="D297" s="68"/>
      <c r="E297" s="69"/>
      <c r="F297" s="70"/>
      <c r="G297" s="23"/>
      <c r="H297" s="23"/>
      <c r="I297" s="55"/>
    </row>
    <row r="298" spans="2:9" x14ac:dyDescent="0.3">
      <c r="B298" s="64"/>
      <c r="C298" s="65"/>
      <c r="D298" s="66"/>
      <c r="E298" s="65"/>
      <c r="F298" s="67"/>
      <c r="G298" s="14"/>
      <c r="H298" s="14"/>
      <c r="I298" s="43"/>
    </row>
    <row r="299" spans="2:9" x14ac:dyDescent="0.3">
      <c r="B299" s="64"/>
      <c r="C299" s="69"/>
      <c r="D299" s="68"/>
      <c r="E299" s="69"/>
      <c r="F299" s="70"/>
      <c r="G299" s="23"/>
      <c r="H299" s="23"/>
      <c r="I299" s="55"/>
    </row>
    <row r="300" spans="2:9" x14ac:dyDescent="0.3">
      <c r="B300" s="64"/>
      <c r="C300" s="65"/>
      <c r="D300" s="66"/>
      <c r="E300" s="65"/>
      <c r="F300" s="67"/>
      <c r="G300" s="14"/>
      <c r="H300" s="14"/>
      <c r="I300" s="43"/>
    </row>
    <row r="301" spans="2:9" x14ac:dyDescent="0.3">
      <c r="B301" s="64"/>
      <c r="C301" s="69"/>
      <c r="D301" s="68"/>
      <c r="E301" s="69"/>
      <c r="F301" s="70"/>
      <c r="G301" s="23"/>
      <c r="H301" s="23"/>
      <c r="I301" s="55"/>
    </row>
    <row r="302" spans="2:9" x14ac:dyDescent="0.3">
      <c r="B302" s="64"/>
      <c r="C302" s="65"/>
      <c r="D302" s="66"/>
      <c r="E302" s="65"/>
      <c r="F302" s="67"/>
      <c r="G302" s="14"/>
      <c r="H302" s="14"/>
      <c r="I302" s="43"/>
    </row>
    <row r="303" spans="2:9" x14ac:dyDescent="0.3">
      <c r="B303" s="64"/>
      <c r="C303" s="69"/>
      <c r="D303" s="68"/>
      <c r="E303" s="69"/>
      <c r="F303" s="70"/>
      <c r="G303" s="23"/>
      <c r="H303" s="23"/>
      <c r="I303" s="55"/>
    </row>
    <row r="304" spans="2:9" x14ac:dyDescent="0.3">
      <c r="B304" s="64"/>
      <c r="C304" s="65"/>
      <c r="D304" s="66"/>
      <c r="E304" s="65"/>
      <c r="F304" s="67"/>
      <c r="G304" s="14"/>
      <c r="H304" s="14"/>
      <c r="I304" s="43"/>
    </row>
    <row r="305" spans="2:9" x14ac:dyDescent="0.3">
      <c r="B305" s="64"/>
      <c r="C305" s="69"/>
      <c r="D305" s="68"/>
      <c r="E305" s="69"/>
      <c r="F305" s="70"/>
      <c r="G305" s="23"/>
      <c r="H305" s="23"/>
      <c r="I305" s="55"/>
    </row>
    <row r="306" spans="2:9" x14ac:dyDescent="0.3">
      <c r="B306" s="64"/>
      <c r="C306" s="65"/>
      <c r="D306" s="66"/>
      <c r="E306" s="65"/>
      <c r="F306" s="67"/>
      <c r="G306" s="14"/>
      <c r="H306" s="14"/>
      <c r="I306" s="43"/>
    </row>
    <row r="307" spans="2:9" x14ac:dyDescent="0.3">
      <c r="B307" s="64"/>
      <c r="C307" s="69"/>
      <c r="D307" s="68"/>
      <c r="E307" s="69"/>
      <c r="F307" s="70"/>
      <c r="G307" s="23"/>
      <c r="H307" s="23"/>
      <c r="I307" s="55"/>
    </row>
    <row r="308" spans="2:9" x14ac:dyDescent="0.3">
      <c r="B308" s="64"/>
      <c r="C308" s="65"/>
      <c r="D308" s="66"/>
      <c r="E308" s="65"/>
      <c r="F308" s="67"/>
      <c r="G308" s="14"/>
      <c r="H308" s="14"/>
      <c r="I308" s="43"/>
    </row>
    <row r="309" spans="2:9" x14ac:dyDescent="0.3">
      <c r="B309" s="64"/>
      <c r="C309" s="69"/>
      <c r="D309" s="68"/>
      <c r="E309" s="69"/>
      <c r="F309" s="70"/>
      <c r="G309" s="23"/>
      <c r="H309" s="23"/>
      <c r="I309" s="55"/>
    </row>
    <row r="310" spans="2:9" x14ac:dyDescent="0.3">
      <c r="B310" s="64"/>
      <c r="C310" s="65"/>
      <c r="D310" s="66"/>
      <c r="E310" s="65"/>
      <c r="F310" s="67"/>
      <c r="G310" s="14"/>
      <c r="H310" s="14"/>
      <c r="I310" s="43"/>
    </row>
    <row r="311" spans="2:9" x14ac:dyDescent="0.3">
      <c r="B311" s="64"/>
      <c r="C311" s="69"/>
      <c r="D311" s="68"/>
      <c r="E311" s="69"/>
      <c r="F311" s="70"/>
      <c r="G311" s="23"/>
      <c r="H311" s="23"/>
      <c r="I311" s="55"/>
    </row>
    <row r="312" spans="2:9" x14ac:dyDescent="0.3">
      <c r="B312" s="64"/>
      <c r="C312" s="65"/>
      <c r="D312" s="66"/>
      <c r="E312" s="65"/>
      <c r="F312" s="67"/>
      <c r="G312" s="14"/>
      <c r="H312" s="14"/>
      <c r="I312" s="43"/>
    </row>
    <row r="313" spans="2:9" x14ac:dyDescent="0.3">
      <c r="B313" s="64"/>
      <c r="C313" s="69"/>
      <c r="D313" s="68"/>
      <c r="E313" s="69"/>
      <c r="F313" s="70"/>
      <c r="G313" s="23"/>
      <c r="H313" s="23"/>
      <c r="I313" s="55"/>
    </row>
    <row r="314" spans="2:9" x14ac:dyDescent="0.3">
      <c r="B314" s="64"/>
      <c r="C314" s="65"/>
      <c r="D314" s="66"/>
      <c r="E314" s="65"/>
      <c r="F314" s="67"/>
      <c r="G314" s="14"/>
      <c r="H314" s="14"/>
      <c r="I314" s="43"/>
    </row>
    <row r="315" spans="2:9" x14ac:dyDescent="0.3">
      <c r="B315" s="64"/>
      <c r="C315" s="69"/>
      <c r="D315" s="68"/>
      <c r="E315" s="69"/>
      <c r="F315" s="70"/>
      <c r="G315" s="23"/>
      <c r="H315" s="23"/>
      <c r="I315" s="55"/>
    </row>
    <row r="316" spans="2:9" x14ac:dyDescent="0.3">
      <c r="B316" s="64"/>
      <c r="C316" s="65"/>
      <c r="D316" s="66"/>
      <c r="E316" s="65"/>
      <c r="F316" s="67"/>
      <c r="G316" s="14"/>
      <c r="H316" s="14"/>
      <c r="I316" s="43"/>
    </row>
    <row r="317" spans="2:9" x14ac:dyDescent="0.3">
      <c r="B317" s="64"/>
      <c r="C317" s="69"/>
      <c r="D317" s="68"/>
      <c r="E317" s="69"/>
      <c r="F317" s="70"/>
      <c r="G317" s="23"/>
      <c r="H317" s="23"/>
      <c r="I317" s="55"/>
    </row>
    <row r="318" spans="2:9" x14ac:dyDescent="0.3">
      <c r="B318" s="64"/>
      <c r="C318" s="65"/>
      <c r="D318" s="66"/>
      <c r="E318" s="65"/>
      <c r="F318" s="67"/>
      <c r="G318" s="14"/>
      <c r="H318" s="14"/>
      <c r="I318" s="43"/>
    </row>
    <row r="319" spans="2:9" x14ac:dyDescent="0.3">
      <c r="B319" s="64"/>
      <c r="C319" s="69"/>
      <c r="D319" s="68"/>
      <c r="E319" s="69"/>
      <c r="F319" s="70"/>
      <c r="G319" s="23"/>
      <c r="H319" s="23"/>
      <c r="I319" s="55"/>
    </row>
    <row r="320" spans="2:9" x14ac:dyDescent="0.3">
      <c r="B320" s="64"/>
      <c r="C320" s="65"/>
      <c r="D320" s="66"/>
      <c r="E320" s="65"/>
      <c r="F320" s="67"/>
      <c r="G320" s="14"/>
      <c r="H320" s="14"/>
      <c r="I320" s="43"/>
    </row>
    <row r="321" spans="2:9" x14ac:dyDescent="0.3">
      <c r="B321" s="64"/>
      <c r="C321" s="69"/>
      <c r="D321" s="68"/>
      <c r="E321" s="69"/>
      <c r="F321" s="70"/>
      <c r="G321" s="23"/>
      <c r="H321" s="23"/>
      <c r="I321" s="55"/>
    </row>
    <row r="322" spans="2:9" x14ac:dyDescent="0.3">
      <c r="B322" s="64"/>
      <c r="C322" s="65"/>
      <c r="D322" s="66"/>
      <c r="E322" s="65"/>
      <c r="F322" s="67"/>
      <c r="G322" s="14"/>
      <c r="H322" s="14"/>
      <c r="I322" s="43"/>
    </row>
    <row r="323" spans="2:9" x14ac:dyDescent="0.3">
      <c r="B323" s="64"/>
      <c r="C323" s="69"/>
      <c r="D323" s="68"/>
      <c r="E323" s="69"/>
      <c r="F323" s="70"/>
      <c r="G323" s="23"/>
      <c r="H323" s="23"/>
      <c r="I323" s="55"/>
    </row>
    <row r="324" spans="2:9" x14ac:dyDescent="0.3">
      <c r="B324" s="64"/>
      <c r="C324" s="65"/>
      <c r="D324" s="66"/>
      <c r="E324" s="65"/>
      <c r="F324" s="67"/>
      <c r="G324" s="14"/>
      <c r="H324" s="14"/>
      <c r="I324" s="43"/>
    </row>
    <row r="325" spans="2:9" x14ac:dyDescent="0.3">
      <c r="B325" s="64"/>
      <c r="C325" s="69"/>
      <c r="D325" s="68"/>
      <c r="E325" s="69"/>
      <c r="F325" s="70"/>
      <c r="G325" s="23"/>
      <c r="H325" s="23"/>
      <c r="I325" s="55"/>
    </row>
    <row r="326" spans="2:9" x14ac:dyDescent="0.3">
      <c r="B326" s="64"/>
      <c r="C326" s="65"/>
      <c r="D326" s="66"/>
      <c r="E326" s="65"/>
      <c r="F326" s="67"/>
      <c r="G326" s="14"/>
      <c r="H326" s="14"/>
      <c r="I326" s="43"/>
    </row>
    <row r="327" spans="2:9" x14ac:dyDescent="0.3">
      <c r="B327" s="64"/>
      <c r="C327" s="69"/>
      <c r="D327" s="68"/>
      <c r="E327" s="69"/>
      <c r="F327" s="70"/>
      <c r="G327" s="23"/>
      <c r="H327" s="23"/>
      <c r="I327" s="55"/>
    </row>
    <row r="328" spans="2:9" x14ac:dyDescent="0.3">
      <c r="B328" s="64"/>
      <c r="C328" s="65"/>
      <c r="D328" s="66"/>
      <c r="E328" s="65"/>
      <c r="F328" s="67"/>
      <c r="G328" s="14"/>
      <c r="H328" s="14"/>
      <c r="I328" s="43"/>
    </row>
    <row r="329" spans="2:9" x14ac:dyDescent="0.3">
      <c r="B329" s="64"/>
      <c r="C329" s="69"/>
      <c r="D329" s="68"/>
      <c r="E329" s="69"/>
      <c r="F329" s="70"/>
      <c r="G329" s="23"/>
      <c r="H329" s="23"/>
      <c r="I329" s="55"/>
    </row>
    <row r="330" spans="2:9" x14ac:dyDescent="0.3">
      <c r="B330" s="64"/>
      <c r="C330" s="65"/>
      <c r="D330" s="66"/>
      <c r="E330" s="65"/>
      <c r="F330" s="67"/>
      <c r="G330" s="14"/>
      <c r="H330" s="14"/>
      <c r="I330" s="43"/>
    </row>
    <row r="331" spans="2:9" x14ac:dyDescent="0.3">
      <c r="B331" s="64"/>
      <c r="C331" s="69"/>
      <c r="D331" s="68"/>
      <c r="E331" s="69"/>
      <c r="F331" s="70"/>
      <c r="G331" s="23"/>
      <c r="H331" s="23"/>
      <c r="I331" s="55"/>
    </row>
    <row r="332" spans="2:9" x14ac:dyDescent="0.3">
      <c r="B332" s="64"/>
      <c r="C332" s="65"/>
      <c r="D332" s="66"/>
      <c r="E332" s="65"/>
      <c r="F332" s="67"/>
      <c r="G332" s="14"/>
      <c r="H332" s="14"/>
      <c r="I332" s="43"/>
    </row>
    <row r="333" spans="2:9" x14ac:dyDescent="0.3">
      <c r="B333" s="64"/>
      <c r="C333" s="69"/>
      <c r="D333" s="68"/>
      <c r="E333" s="69"/>
      <c r="F333" s="70"/>
      <c r="G333" s="23"/>
      <c r="H333" s="23"/>
      <c r="I333" s="55"/>
    </row>
    <row r="334" spans="2:9" x14ac:dyDescent="0.3">
      <c r="B334" s="64"/>
      <c r="C334" s="65"/>
      <c r="D334" s="66"/>
      <c r="E334" s="65"/>
      <c r="F334" s="67"/>
      <c r="G334" s="14"/>
      <c r="H334" s="14"/>
      <c r="I334" s="43"/>
    </row>
    <row r="335" spans="2:9" x14ac:dyDescent="0.3">
      <c r="B335" s="64"/>
      <c r="C335" s="69"/>
      <c r="D335" s="68"/>
      <c r="E335" s="69"/>
      <c r="F335" s="70"/>
      <c r="G335" s="23"/>
      <c r="H335" s="23"/>
      <c r="I335" s="55"/>
    </row>
    <row r="336" spans="2:9" x14ac:dyDescent="0.3">
      <c r="B336" s="64"/>
      <c r="C336" s="65"/>
      <c r="D336" s="66"/>
      <c r="E336" s="65"/>
      <c r="F336" s="67"/>
      <c r="G336" s="14"/>
      <c r="H336" s="14"/>
      <c r="I336" s="43"/>
    </row>
    <row r="337" spans="2:9" x14ac:dyDescent="0.3">
      <c r="B337" s="64"/>
      <c r="C337" s="69"/>
      <c r="D337" s="68"/>
      <c r="E337" s="69"/>
      <c r="F337" s="70"/>
      <c r="G337" s="23"/>
      <c r="H337" s="23"/>
      <c r="I337" s="55"/>
    </row>
    <row r="338" spans="2:9" x14ac:dyDescent="0.3">
      <c r="B338" s="64"/>
      <c r="C338" s="65"/>
      <c r="D338" s="66"/>
      <c r="E338" s="65"/>
      <c r="F338" s="67"/>
      <c r="G338" s="14"/>
      <c r="H338" s="14"/>
      <c r="I338" s="43"/>
    </row>
    <row r="339" spans="2:9" x14ac:dyDescent="0.3">
      <c r="B339" s="64"/>
      <c r="C339" s="69"/>
      <c r="D339" s="68"/>
      <c r="E339" s="69"/>
      <c r="F339" s="70"/>
      <c r="G339" s="23"/>
      <c r="H339" s="23"/>
      <c r="I339" s="55"/>
    </row>
    <row r="340" spans="2:9" x14ac:dyDescent="0.3">
      <c r="B340" s="64"/>
      <c r="C340" s="65"/>
      <c r="D340" s="66"/>
      <c r="E340" s="65"/>
      <c r="F340" s="67"/>
      <c r="G340" s="14"/>
      <c r="H340" s="14"/>
      <c r="I340" s="43"/>
    </row>
    <row r="341" spans="2:9" x14ac:dyDescent="0.3">
      <c r="B341" s="64"/>
      <c r="C341" s="69"/>
      <c r="D341" s="68"/>
      <c r="E341" s="69"/>
      <c r="F341" s="70"/>
      <c r="G341" s="23"/>
      <c r="H341" s="23"/>
      <c r="I341" s="55"/>
    </row>
    <row r="342" spans="2:9" x14ac:dyDescent="0.3">
      <c r="B342" s="64"/>
      <c r="C342" s="65"/>
      <c r="D342" s="66"/>
      <c r="E342" s="65"/>
      <c r="F342" s="67"/>
      <c r="G342" s="14"/>
      <c r="H342" s="14"/>
      <c r="I342" s="43"/>
    </row>
    <row r="343" spans="2:9" x14ac:dyDescent="0.3">
      <c r="B343" s="64"/>
      <c r="C343" s="69"/>
      <c r="D343" s="68"/>
      <c r="E343" s="69"/>
      <c r="F343" s="70"/>
      <c r="G343" s="23"/>
      <c r="H343" s="23"/>
      <c r="I343" s="55"/>
    </row>
    <row r="344" spans="2:9" x14ac:dyDescent="0.3">
      <c r="B344" s="64"/>
      <c r="C344" s="65"/>
      <c r="D344" s="66"/>
      <c r="E344" s="65"/>
      <c r="F344" s="67"/>
      <c r="G344" s="14"/>
      <c r="H344" s="14"/>
      <c r="I344" s="43"/>
    </row>
    <row r="345" spans="2:9" x14ac:dyDescent="0.3">
      <c r="B345" s="64"/>
      <c r="C345" s="69"/>
      <c r="D345" s="68"/>
      <c r="E345" s="69"/>
      <c r="F345" s="70"/>
      <c r="G345" s="23"/>
      <c r="H345" s="23"/>
      <c r="I345" s="55"/>
    </row>
    <row r="346" spans="2:9" x14ac:dyDescent="0.3">
      <c r="B346" s="64"/>
      <c r="C346" s="65"/>
      <c r="D346" s="66"/>
      <c r="E346" s="65"/>
      <c r="F346" s="67"/>
      <c r="G346" s="14"/>
      <c r="H346" s="14"/>
      <c r="I346" s="43"/>
    </row>
    <row r="347" spans="2:9" x14ac:dyDescent="0.3">
      <c r="B347" s="64"/>
      <c r="C347" s="69"/>
      <c r="D347" s="68"/>
      <c r="E347" s="69"/>
      <c r="F347" s="70"/>
      <c r="G347" s="23"/>
      <c r="H347" s="23"/>
      <c r="I347" s="55"/>
    </row>
    <row r="348" spans="2:9" x14ac:dyDescent="0.3">
      <c r="B348" s="64"/>
      <c r="C348" s="65"/>
      <c r="D348" s="66"/>
      <c r="E348" s="65"/>
      <c r="F348" s="67"/>
      <c r="G348" s="14"/>
      <c r="H348" s="14"/>
      <c r="I348" s="43"/>
    </row>
    <row r="349" spans="2:9" x14ac:dyDescent="0.3">
      <c r="B349" s="64"/>
      <c r="C349" s="69"/>
      <c r="D349" s="68"/>
      <c r="E349" s="69"/>
      <c r="F349" s="70"/>
      <c r="G349" s="23"/>
      <c r="H349" s="23"/>
      <c r="I349" s="55"/>
    </row>
    <row r="350" spans="2:9" x14ac:dyDescent="0.3">
      <c r="B350" s="64"/>
      <c r="C350" s="65"/>
      <c r="D350" s="66"/>
      <c r="E350" s="65"/>
      <c r="F350" s="67"/>
      <c r="G350" s="14"/>
      <c r="H350" s="14"/>
      <c r="I350" s="43"/>
    </row>
    <row r="351" spans="2:9" x14ac:dyDescent="0.3">
      <c r="B351" s="64"/>
      <c r="C351" s="69"/>
      <c r="D351" s="68"/>
      <c r="E351" s="69"/>
      <c r="F351" s="70"/>
      <c r="G351" s="23"/>
      <c r="H351" s="23"/>
      <c r="I351" s="55"/>
    </row>
    <row r="352" spans="2:9" x14ac:dyDescent="0.3">
      <c r="B352" s="64"/>
      <c r="C352" s="65"/>
      <c r="D352" s="66"/>
      <c r="E352" s="65"/>
      <c r="F352" s="67"/>
      <c r="G352" s="14"/>
      <c r="H352" s="14"/>
      <c r="I352" s="43"/>
    </row>
    <row r="353" spans="2:9" x14ac:dyDescent="0.3">
      <c r="B353" s="64"/>
      <c r="C353" s="69"/>
      <c r="D353" s="68"/>
      <c r="E353" s="69"/>
      <c r="F353" s="70"/>
      <c r="G353" s="23"/>
      <c r="H353" s="23"/>
      <c r="I353" s="55"/>
    </row>
    <row r="354" spans="2:9" x14ac:dyDescent="0.3">
      <c r="B354" s="64"/>
      <c r="C354" s="65"/>
      <c r="D354" s="66"/>
      <c r="E354" s="65"/>
      <c r="F354" s="67"/>
      <c r="G354" s="14"/>
      <c r="H354" s="14"/>
      <c r="I354" s="43"/>
    </row>
    <row r="355" spans="2:9" x14ac:dyDescent="0.3">
      <c r="B355" s="64"/>
      <c r="C355" s="69"/>
      <c r="D355" s="68"/>
      <c r="E355" s="69"/>
      <c r="F355" s="70"/>
      <c r="G355" s="23"/>
      <c r="H355" s="23"/>
      <c r="I355" s="55"/>
    </row>
    <row r="356" spans="2:9" x14ac:dyDescent="0.3">
      <c r="B356" s="64"/>
      <c r="C356" s="65"/>
      <c r="D356" s="66"/>
      <c r="E356" s="65"/>
      <c r="F356" s="67"/>
      <c r="G356" s="14"/>
      <c r="H356" s="14"/>
      <c r="I356" s="43"/>
    </row>
    <row r="357" spans="2:9" x14ac:dyDescent="0.3">
      <c r="B357" s="64"/>
      <c r="C357" s="69"/>
      <c r="D357" s="68"/>
      <c r="E357" s="69"/>
      <c r="F357" s="70"/>
      <c r="G357" s="23"/>
      <c r="H357" s="23"/>
      <c r="I357" s="55"/>
    </row>
    <row r="358" spans="2:9" x14ac:dyDescent="0.3">
      <c r="B358" s="64"/>
      <c r="C358" s="65"/>
      <c r="D358" s="66"/>
      <c r="E358" s="65"/>
      <c r="F358" s="67"/>
      <c r="G358" s="14"/>
      <c r="H358" s="14"/>
      <c r="I358" s="43"/>
    </row>
    <row r="359" spans="2:9" x14ac:dyDescent="0.3">
      <c r="B359" s="64"/>
      <c r="C359" s="69"/>
      <c r="D359" s="68"/>
      <c r="E359" s="69"/>
      <c r="F359" s="70"/>
      <c r="G359" s="23"/>
      <c r="H359" s="23"/>
      <c r="I359" s="55"/>
    </row>
    <row r="360" spans="2:9" x14ac:dyDescent="0.3">
      <c r="B360" s="64"/>
      <c r="C360" s="65"/>
      <c r="D360" s="66"/>
      <c r="E360" s="65"/>
      <c r="F360" s="67"/>
      <c r="G360" s="14"/>
      <c r="H360" s="14"/>
      <c r="I360" s="43"/>
    </row>
    <row r="361" spans="2:9" x14ac:dyDescent="0.3">
      <c r="B361" s="64"/>
      <c r="C361" s="69"/>
      <c r="D361" s="68"/>
      <c r="E361" s="69"/>
      <c r="F361" s="70"/>
      <c r="G361" s="23"/>
      <c r="H361" s="23"/>
      <c r="I361" s="55"/>
    </row>
    <row r="362" spans="2:9" x14ac:dyDescent="0.3">
      <c r="B362" s="64"/>
      <c r="C362" s="65"/>
      <c r="D362" s="66"/>
      <c r="E362" s="65"/>
      <c r="F362" s="67"/>
      <c r="G362" s="14"/>
      <c r="H362" s="14"/>
      <c r="I362" s="43"/>
    </row>
    <row r="363" spans="2:9" x14ac:dyDescent="0.3">
      <c r="B363" s="64"/>
      <c r="C363" s="69"/>
      <c r="D363" s="68"/>
      <c r="E363" s="69"/>
      <c r="F363" s="70"/>
      <c r="G363" s="23"/>
      <c r="H363" s="23"/>
      <c r="I363" s="55"/>
    </row>
    <row r="364" spans="2:9" x14ac:dyDescent="0.3">
      <c r="B364" s="64"/>
      <c r="C364" s="65"/>
      <c r="D364" s="66"/>
      <c r="E364" s="65"/>
      <c r="F364" s="67"/>
      <c r="G364" s="14"/>
      <c r="H364" s="14"/>
      <c r="I364" s="43"/>
    </row>
    <row r="365" spans="2:9" x14ac:dyDescent="0.3">
      <c r="B365" s="64"/>
      <c r="C365" s="69"/>
      <c r="D365" s="68"/>
      <c r="E365" s="69"/>
      <c r="F365" s="70"/>
      <c r="G365" s="23"/>
      <c r="H365" s="23"/>
      <c r="I365" s="55"/>
    </row>
    <row r="366" spans="2:9" x14ac:dyDescent="0.3">
      <c r="B366" s="64"/>
      <c r="C366" s="65"/>
      <c r="D366" s="66"/>
      <c r="E366" s="65"/>
      <c r="F366" s="67"/>
      <c r="G366" s="14"/>
      <c r="H366" s="14"/>
      <c r="I366" s="43"/>
    </row>
    <row r="367" spans="2:9" x14ac:dyDescent="0.3">
      <c r="B367" s="64"/>
      <c r="C367" s="69"/>
      <c r="D367" s="68"/>
      <c r="E367" s="69"/>
      <c r="F367" s="70"/>
      <c r="G367" s="23"/>
      <c r="H367" s="23"/>
      <c r="I367" s="55"/>
    </row>
    <row r="368" spans="2:9" x14ac:dyDescent="0.3">
      <c r="B368" s="64"/>
      <c r="C368" s="65"/>
      <c r="D368" s="66"/>
      <c r="E368" s="65"/>
      <c r="F368" s="67"/>
      <c r="G368" s="14"/>
      <c r="H368" s="14"/>
      <c r="I368" s="43"/>
    </row>
    <row r="369" spans="2:9" x14ac:dyDescent="0.3">
      <c r="B369" s="64"/>
      <c r="C369" s="69"/>
      <c r="D369" s="68"/>
      <c r="E369" s="69"/>
      <c r="F369" s="70"/>
      <c r="G369" s="23"/>
      <c r="H369" s="23"/>
      <c r="I369" s="55"/>
    </row>
    <row r="370" spans="2:9" x14ac:dyDescent="0.3">
      <c r="B370" s="64"/>
      <c r="C370" s="65"/>
      <c r="D370" s="66"/>
      <c r="E370" s="65"/>
      <c r="F370" s="67"/>
      <c r="G370" s="14"/>
      <c r="H370" s="14"/>
      <c r="I370" s="43"/>
    </row>
    <row r="371" spans="2:9" x14ac:dyDescent="0.3">
      <c r="B371" s="64"/>
      <c r="C371" s="69"/>
      <c r="D371" s="68"/>
      <c r="E371" s="69"/>
      <c r="F371" s="70"/>
      <c r="G371" s="23"/>
      <c r="H371" s="23"/>
      <c r="I371" s="55"/>
    </row>
    <row r="372" spans="2:9" x14ac:dyDescent="0.3">
      <c r="B372" s="64"/>
      <c r="C372" s="65"/>
      <c r="D372" s="66"/>
      <c r="E372" s="65"/>
      <c r="F372" s="67"/>
      <c r="G372" s="14"/>
      <c r="H372" s="14"/>
      <c r="I372" s="43"/>
    </row>
    <row r="373" spans="2:9" x14ac:dyDescent="0.3">
      <c r="B373" s="64"/>
      <c r="C373" s="69"/>
      <c r="D373" s="68"/>
      <c r="E373" s="69"/>
      <c r="F373" s="70"/>
      <c r="G373" s="23"/>
      <c r="H373" s="23"/>
      <c r="I373" s="55"/>
    </row>
    <row r="374" spans="2:9" x14ac:dyDescent="0.3">
      <c r="B374" s="64"/>
      <c r="C374" s="65"/>
      <c r="D374" s="66"/>
      <c r="E374" s="65"/>
      <c r="F374" s="67"/>
      <c r="G374" s="14"/>
      <c r="H374" s="14"/>
      <c r="I374" s="43"/>
    </row>
    <row r="375" spans="2:9" x14ac:dyDescent="0.3">
      <c r="B375" s="64"/>
      <c r="C375" s="69"/>
      <c r="D375" s="68"/>
      <c r="E375" s="69"/>
      <c r="F375" s="70"/>
      <c r="G375" s="23"/>
      <c r="H375" s="23"/>
      <c r="I375" s="55"/>
    </row>
    <row r="376" spans="2:9" x14ac:dyDescent="0.3">
      <c r="B376" s="64"/>
      <c r="C376" s="65"/>
      <c r="D376" s="66"/>
      <c r="E376" s="65"/>
      <c r="F376" s="67"/>
      <c r="G376" s="14"/>
      <c r="H376" s="14"/>
      <c r="I376" s="43"/>
    </row>
    <row r="377" spans="2:9" x14ac:dyDescent="0.3">
      <c r="B377" s="64"/>
      <c r="C377" s="69"/>
      <c r="D377" s="68"/>
      <c r="E377" s="69"/>
      <c r="F377" s="70"/>
      <c r="G377" s="23"/>
      <c r="H377" s="23"/>
      <c r="I377" s="55"/>
    </row>
    <row r="378" spans="2:9" x14ac:dyDescent="0.3">
      <c r="B378" s="64"/>
      <c r="C378" s="65"/>
      <c r="D378" s="66"/>
      <c r="E378" s="65"/>
      <c r="F378" s="67"/>
      <c r="G378" s="14"/>
      <c r="H378" s="14"/>
      <c r="I378" s="43"/>
    </row>
    <row r="379" spans="2:9" x14ac:dyDescent="0.3">
      <c r="B379" s="64"/>
      <c r="C379" s="69"/>
      <c r="D379" s="68"/>
      <c r="E379" s="69"/>
      <c r="F379" s="70"/>
      <c r="G379" s="23"/>
      <c r="H379" s="23"/>
      <c r="I379" s="55"/>
    </row>
    <row r="380" spans="2:9" x14ac:dyDescent="0.3">
      <c r="B380" s="64"/>
      <c r="C380" s="65"/>
      <c r="D380" s="66"/>
      <c r="E380" s="65"/>
      <c r="F380" s="67"/>
      <c r="G380" s="14"/>
      <c r="H380" s="14"/>
      <c r="I380" s="43"/>
    </row>
    <row r="381" spans="2:9" x14ac:dyDescent="0.3">
      <c r="B381" s="64"/>
      <c r="C381" s="69"/>
      <c r="D381" s="68"/>
      <c r="E381" s="69"/>
      <c r="F381" s="70"/>
      <c r="G381" s="23"/>
      <c r="H381" s="23"/>
      <c r="I381" s="55"/>
    </row>
    <row r="382" spans="2:9" x14ac:dyDescent="0.3">
      <c r="B382" s="64"/>
      <c r="C382" s="65"/>
      <c r="D382" s="66"/>
      <c r="E382" s="65"/>
      <c r="F382" s="67"/>
      <c r="G382" s="14"/>
      <c r="H382" s="14"/>
      <c r="I382" s="43"/>
    </row>
    <row r="383" spans="2:9" x14ac:dyDescent="0.3">
      <c r="B383" s="64"/>
      <c r="C383" s="69"/>
      <c r="D383" s="68"/>
      <c r="E383" s="69"/>
      <c r="F383" s="70"/>
      <c r="G383" s="23"/>
      <c r="H383" s="23"/>
      <c r="I383" s="55"/>
    </row>
    <row r="384" spans="2:9" x14ac:dyDescent="0.3">
      <c r="B384" s="64"/>
      <c r="C384" s="65"/>
      <c r="D384" s="66"/>
      <c r="E384" s="65"/>
      <c r="F384" s="67"/>
      <c r="G384" s="14"/>
      <c r="H384" s="14"/>
      <c r="I384" s="43"/>
    </row>
    <row r="385" spans="2:9" x14ac:dyDescent="0.3">
      <c r="B385" s="64"/>
      <c r="C385" s="69"/>
      <c r="D385" s="68"/>
      <c r="E385" s="69"/>
      <c r="F385" s="70"/>
      <c r="G385" s="23"/>
      <c r="H385" s="23"/>
      <c r="I385" s="55"/>
    </row>
    <row r="386" spans="2:9" x14ac:dyDescent="0.3">
      <c r="B386" s="64"/>
      <c r="C386" s="65"/>
      <c r="D386" s="66"/>
      <c r="E386" s="65"/>
      <c r="F386" s="67"/>
      <c r="G386" s="14"/>
      <c r="H386" s="14"/>
      <c r="I386" s="43"/>
    </row>
    <row r="387" spans="2:9" x14ac:dyDescent="0.3">
      <c r="B387" s="64"/>
      <c r="C387" s="69"/>
      <c r="D387" s="68"/>
      <c r="E387" s="69"/>
      <c r="F387" s="70"/>
      <c r="G387" s="23"/>
      <c r="H387" s="23"/>
      <c r="I387" s="55"/>
    </row>
    <row r="388" spans="2:9" x14ac:dyDescent="0.3">
      <c r="B388" s="64"/>
      <c r="C388" s="65"/>
      <c r="D388" s="66"/>
      <c r="E388" s="65"/>
      <c r="F388" s="67"/>
      <c r="G388" s="14"/>
      <c r="H388" s="14"/>
      <c r="I388" s="43"/>
    </row>
    <row r="389" spans="2:9" x14ac:dyDescent="0.3">
      <c r="B389" s="64"/>
      <c r="C389" s="69"/>
      <c r="D389" s="68"/>
      <c r="E389" s="69"/>
      <c r="F389" s="70"/>
      <c r="G389" s="23"/>
      <c r="H389" s="23"/>
      <c r="I389" s="55"/>
    </row>
    <row r="390" spans="2:9" x14ac:dyDescent="0.3">
      <c r="B390" s="64"/>
      <c r="C390" s="65"/>
      <c r="D390" s="66"/>
      <c r="E390" s="65"/>
      <c r="F390" s="67"/>
      <c r="G390" s="14"/>
      <c r="H390" s="14"/>
      <c r="I390" s="43"/>
    </row>
    <row r="391" spans="2:9" x14ac:dyDescent="0.3">
      <c r="B391" s="64"/>
      <c r="C391" s="69"/>
      <c r="D391" s="68"/>
      <c r="E391" s="69"/>
      <c r="F391" s="70"/>
      <c r="G391" s="23"/>
      <c r="H391" s="23"/>
      <c r="I391" s="55"/>
    </row>
    <row r="392" spans="2:9" x14ac:dyDescent="0.3">
      <c r="B392" s="64"/>
      <c r="C392" s="65"/>
      <c r="D392" s="66"/>
      <c r="E392" s="65"/>
      <c r="F392" s="67"/>
      <c r="G392" s="14"/>
      <c r="H392" s="14"/>
      <c r="I392" s="43"/>
    </row>
    <row r="393" spans="2:9" x14ac:dyDescent="0.3">
      <c r="B393" s="64"/>
      <c r="C393" s="69"/>
      <c r="D393" s="68"/>
      <c r="E393" s="69"/>
      <c r="F393" s="70"/>
      <c r="G393" s="23"/>
      <c r="H393" s="23"/>
      <c r="I393" s="55"/>
    </row>
    <row r="394" spans="2:9" x14ac:dyDescent="0.3">
      <c r="B394" s="64"/>
      <c r="C394" s="65"/>
      <c r="D394" s="66"/>
      <c r="E394" s="65"/>
      <c r="F394" s="67"/>
      <c r="G394" s="14"/>
      <c r="H394" s="14"/>
      <c r="I394" s="43"/>
    </row>
    <row r="395" spans="2:9" x14ac:dyDescent="0.3">
      <c r="B395" s="64"/>
      <c r="C395" s="69"/>
      <c r="D395" s="68"/>
      <c r="E395" s="69"/>
      <c r="F395" s="70"/>
      <c r="G395" s="23"/>
      <c r="H395" s="23"/>
      <c r="I395" s="55"/>
    </row>
    <row r="396" spans="2:9" x14ac:dyDescent="0.3">
      <c r="B396" s="64"/>
      <c r="C396" s="65"/>
      <c r="D396" s="66"/>
      <c r="E396" s="65"/>
      <c r="F396" s="67"/>
      <c r="G396" s="14"/>
      <c r="H396" s="14"/>
      <c r="I396" s="43"/>
    </row>
    <row r="397" spans="2:9" x14ac:dyDescent="0.3">
      <c r="B397" s="64"/>
      <c r="C397" s="69"/>
      <c r="D397" s="68"/>
      <c r="E397" s="69"/>
      <c r="F397" s="70"/>
      <c r="G397" s="23"/>
      <c r="H397" s="23"/>
      <c r="I397" s="55"/>
    </row>
    <row r="398" spans="2:9" x14ac:dyDescent="0.3">
      <c r="B398" s="64"/>
      <c r="C398" s="65"/>
      <c r="D398" s="66"/>
      <c r="E398" s="65"/>
      <c r="F398" s="67"/>
      <c r="G398" s="14"/>
      <c r="H398" s="14"/>
      <c r="I398" s="43"/>
    </row>
    <row r="399" spans="2:9" x14ac:dyDescent="0.3">
      <c r="B399" s="64"/>
      <c r="C399" s="69"/>
      <c r="D399" s="68"/>
      <c r="E399" s="69"/>
      <c r="F399" s="70"/>
      <c r="G399" s="23"/>
      <c r="H399" s="23"/>
      <c r="I399" s="55"/>
    </row>
    <row r="400" spans="2:9" x14ac:dyDescent="0.3">
      <c r="B400" s="64"/>
      <c r="C400" s="65"/>
      <c r="D400" s="66"/>
      <c r="E400" s="65"/>
      <c r="F400" s="67"/>
      <c r="G400" s="14"/>
      <c r="H400" s="14"/>
      <c r="I400" s="43"/>
    </row>
    <row r="401" spans="2:9" x14ac:dyDescent="0.3">
      <c r="B401" s="64"/>
      <c r="C401" s="69"/>
      <c r="D401" s="68"/>
      <c r="E401" s="69"/>
      <c r="F401" s="70"/>
      <c r="G401" s="23"/>
      <c r="H401" s="23"/>
      <c r="I401" s="55"/>
    </row>
    <row r="402" spans="2:9" x14ac:dyDescent="0.3">
      <c r="B402" s="64"/>
      <c r="C402" s="65"/>
      <c r="D402" s="66"/>
      <c r="E402" s="65"/>
      <c r="F402" s="67"/>
      <c r="G402" s="14"/>
      <c r="H402" s="14"/>
      <c r="I402" s="43"/>
    </row>
    <row r="403" spans="2:9" x14ac:dyDescent="0.3">
      <c r="B403" s="64"/>
      <c r="C403" s="69"/>
      <c r="D403" s="68"/>
      <c r="E403" s="69"/>
      <c r="F403" s="70"/>
      <c r="G403" s="23"/>
      <c r="H403" s="23"/>
      <c r="I403" s="55"/>
    </row>
    <row r="404" spans="2:9" x14ac:dyDescent="0.3">
      <c r="B404" s="64"/>
      <c r="C404" s="65"/>
      <c r="D404" s="66"/>
      <c r="E404" s="65"/>
      <c r="F404" s="67"/>
      <c r="G404" s="14"/>
      <c r="H404" s="14"/>
      <c r="I404" s="43"/>
    </row>
    <row r="405" spans="2:9" x14ac:dyDescent="0.3">
      <c r="B405" s="64"/>
      <c r="C405" s="69"/>
      <c r="D405" s="68"/>
      <c r="E405" s="69"/>
      <c r="F405" s="70"/>
      <c r="G405" s="23"/>
      <c r="H405" s="23"/>
      <c r="I405" s="55"/>
    </row>
    <row r="406" spans="2:9" x14ac:dyDescent="0.3">
      <c r="B406" s="64"/>
      <c r="C406" s="65"/>
      <c r="D406" s="66"/>
      <c r="E406" s="65"/>
      <c r="F406" s="67"/>
      <c r="G406" s="14"/>
      <c r="H406" s="14"/>
      <c r="I406" s="43"/>
    </row>
    <row r="407" spans="2:9" x14ac:dyDescent="0.3">
      <c r="B407" s="64"/>
      <c r="C407" s="69"/>
      <c r="D407" s="68"/>
      <c r="E407" s="69"/>
      <c r="F407" s="70"/>
      <c r="G407" s="23"/>
      <c r="H407" s="23"/>
      <c r="I407" s="55"/>
    </row>
    <row r="408" spans="2:9" x14ac:dyDescent="0.3">
      <c r="B408" s="64"/>
      <c r="C408" s="65"/>
      <c r="D408" s="66"/>
      <c r="E408" s="65"/>
      <c r="F408" s="67"/>
      <c r="G408" s="14"/>
      <c r="H408" s="14"/>
      <c r="I408" s="43"/>
    </row>
    <row r="409" spans="2:9" x14ac:dyDescent="0.3">
      <c r="B409" s="64"/>
      <c r="C409" s="69"/>
      <c r="D409" s="68"/>
      <c r="E409" s="69"/>
      <c r="F409" s="70"/>
      <c r="G409" s="23"/>
      <c r="H409" s="23"/>
      <c r="I409" s="55"/>
    </row>
    <row r="410" spans="2:9" x14ac:dyDescent="0.3">
      <c r="B410" s="64"/>
      <c r="C410" s="65"/>
      <c r="D410" s="66"/>
      <c r="E410" s="65"/>
      <c r="F410" s="67"/>
      <c r="G410" s="14"/>
      <c r="H410" s="14"/>
      <c r="I410" s="43"/>
    </row>
    <row r="411" spans="2:9" x14ac:dyDescent="0.3">
      <c r="B411" s="64"/>
      <c r="C411" s="69"/>
      <c r="D411" s="68"/>
      <c r="E411" s="69"/>
      <c r="F411" s="70"/>
      <c r="G411" s="23"/>
      <c r="H411" s="23"/>
      <c r="I411" s="55"/>
    </row>
    <row r="412" spans="2:9" x14ac:dyDescent="0.3">
      <c r="B412" s="64"/>
      <c r="C412" s="65"/>
      <c r="D412" s="66"/>
      <c r="E412" s="65"/>
      <c r="F412" s="67"/>
      <c r="G412" s="14"/>
      <c r="H412" s="14"/>
      <c r="I412" s="43"/>
    </row>
    <row r="413" spans="2:9" x14ac:dyDescent="0.3">
      <c r="B413" s="64"/>
      <c r="C413" s="69"/>
      <c r="D413" s="68"/>
      <c r="E413" s="69"/>
      <c r="F413" s="70"/>
      <c r="G413" s="23"/>
      <c r="H413" s="23"/>
      <c r="I413" s="55"/>
    </row>
    <row r="414" spans="2:9" x14ac:dyDescent="0.3">
      <c r="B414" s="64"/>
      <c r="C414" s="65"/>
      <c r="D414" s="66"/>
      <c r="E414" s="65"/>
      <c r="F414" s="67"/>
      <c r="G414" s="14"/>
      <c r="H414" s="14"/>
      <c r="I414" s="43"/>
    </row>
    <row r="415" spans="2:9" x14ac:dyDescent="0.3">
      <c r="B415" s="64"/>
      <c r="C415" s="69"/>
      <c r="D415" s="68"/>
      <c r="E415" s="69"/>
      <c r="F415" s="70"/>
      <c r="G415" s="23"/>
      <c r="H415" s="23"/>
      <c r="I415" s="55"/>
    </row>
    <row r="416" spans="2:9" x14ac:dyDescent="0.3">
      <c r="B416" s="64"/>
      <c r="C416" s="65"/>
      <c r="D416" s="66"/>
      <c r="E416" s="65"/>
      <c r="F416" s="67"/>
      <c r="G416" s="14"/>
      <c r="H416" s="14"/>
      <c r="I416" s="43"/>
    </row>
    <row r="417" spans="2:9" x14ac:dyDescent="0.3">
      <c r="B417" s="64"/>
      <c r="C417" s="69"/>
      <c r="D417" s="68"/>
      <c r="E417" s="69"/>
      <c r="F417" s="70"/>
      <c r="G417" s="23"/>
      <c r="H417" s="23"/>
      <c r="I417" s="55"/>
    </row>
    <row r="418" spans="2:9" x14ac:dyDescent="0.3">
      <c r="B418" s="64"/>
      <c r="C418" s="65"/>
      <c r="D418" s="66"/>
      <c r="E418" s="65"/>
      <c r="F418" s="67"/>
      <c r="G418" s="14"/>
      <c r="H418" s="14"/>
      <c r="I418" s="43"/>
    </row>
    <row r="419" spans="2:9" x14ac:dyDescent="0.3">
      <c r="B419" s="64"/>
      <c r="C419" s="69"/>
      <c r="D419" s="68"/>
      <c r="E419" s="69"/>
      <c r="F419" s="70"/>
      <c r="G419" s="23"/>
      <c r="H419" s="23"/>
      <c r="I419" s="55"/>
    </row>
    <row r="420" spans="2:9" x14ac:dyDescent="0.3">
      <c r="B420" s="64"/>
      <c r="C420" s="65"/>
      <c r="D420" s="66"/>
      <c r="E420" s="65"/>
      <c r="F420" s="67"/>
      <c r="G420" s="14"/>
      <c r="H420" s="14"/>
      <c r="I420" s="43"/>
    </row>
    <row r="421" spans="2:9" x14ac:dyDescent="0.3">
      <c r="B421" s="64"/>
      <c r="C421" s="69"/>
      <c r="D421" s="68"/>
      <c r="E421" s="69"/>
      <c r="F421" s="70"/>
      <c r="G421" s="23"/>
      <c r="H421" s="23"/>
      <c r="I421" s="55"/>
    </row>
    <row r="422" spans="2:9" x14ac:dyDescent="0.3">
      <c r="B422" s="64"/>
      <c r="C422" s="65"/>
      <c r="D422" s="66"/>
      <c r="E422" s="65"/>
      <c r="F422" s="67"/>
      <c r="G422" s="14"/>
      <c r="H422" s="14"/>
      <c r="I422" s="43"/>
    </row>
    <row r="423" spans="2:9" x14ac:dyDescent="0.3">
      <c r="B423" s="64"/>
      <c r="C423" s="69"/>
      <c r="D423" s="68"/>
      <c r="E423" s="69"/>
      <c r="F423" s="70"/>
      <c r="G423" s="23"/>
      <c r="H423" s="23"/>
      <c r="I423" s="55"/>
    </row>
    <row r="424" spans="2:9" x14ac:dyDescent="0.3">
      <c r="B424" s="64"/>
      <c r="C424" s="65"/>
      <c r="D424" s="66"/>
      <c r="E424" s="65"/>
      <c r="F424" s="67"/>
      <c r="G424" s="14"/>
      <c r="H424" s="14"/>
      <c r="I424" s="43"/>
    </row>
    <row r="425" spans="2:9" x14ac:dyDescent="0.3">
      <c r="B425" s="64"/>
      <c r="C425" s="69"/>
      <c r="D425" s="68"/>
      <c r="E425" s="69"/>
      <c r="F425" s="70"/>
      <c r="G425" s="23"/>
      <c r="H425" s="23"/>
      <c r="I425" s="55"/>
    </row>
    <row r="426" spans="2:9" x14ac:dyDescent="0.3">
      <c r="B426" s="64"/>
      <c r="C426" s="65"/>
      <c r="D426" s="66"/>
      <c r="E426" s="65"/>
      <c r="F426" s="67"/>
      <c r="G426" s="14"/>
      <c r="H426" s="14"/>
      <c r="I426" s="43"/>
    </row>
    <row r="427" spans="2:9" x14ac:dyDescent="0.3">
      <c r="B427" s="64"/>
      <c r="C427" s="69"/>
      <c r="D427" s="68"/>
      <c r="E427" s="69"/>
      <c r="F427" s="70"/>
      <c r="G427" s="23"/>
      <c r="H427" s="23"/>
      <c r="I427" s="55"/>
    </row>
    <row r="428" spans="2:9" x14ac:dyDescent="0.3">
      <c r="B428" s="64"/>
      <c r="C428" s="65"/>
      <c r="D428" s="66"/>
      <c r="E428" s="65"/>
      <c r="F428" s="67"/>
      <c r="G428" s="14"/>
      <c r="H428" s="14"/>
      <c r="I428" s="43"/>
    </row>
    <row r="429" spans="2:9" x14ac:dyDescent="0.3">
      <c r="B429" s="64"/>
      <c r="C429" s="69"/>
      <c r="D429" s="68"/>
      <c r="E429" s="69"/>
      <c r="F429" s="70"/>
      <c r="G429" s="23"/>
      <c r="H429" s="23"/>
      <c r="I429" s="55"/>
    </row>
    <row r="430" spans="2:9" x14ac:dyDescent="0.3">
      <c r="B430" s="64"/>
      <c r="C430" s="65"/>
      <c r="D430" s="66"/>
      <c r="E430" s="65"/>
      <c r="F430" s="67"/>
      <c r="G430" s="14"/>
      <c r="H430" s="14"/>
      <c r="I430" s="43"/>
    </row>
    <row r="431" spans="2:9" x14ac:dyDescent="0.3">
      <c r="B431" s="64"/>
      <c r="C431" s="69"/>
      <c r="D431" s="68"/>
      <c r="E431" s="69"/>
      <c r="F431" s="70"/>
      <c r="G431" s="23"/>
      <c r="H431" s="23"/>
      <c r="I431" s="55"/>
    </row>
    <row r="432" spans="2:9" x14ac:dyDescent="0.3">
      <c r="B432" s="64"/>
      <c r="C432" s="65"/>
      <c r="D432" s="66"/>
      <c r="E432" s="65"/>
      <c r="F432" s="67"/>
      <c r="G432" s="14"/>
      <c r="H432" s="14"/>
      <c r="I432" s="43"/>
    </row>
    <row r="433" spans="2:9" x14ac:dyDescent="0.3">
      <c r="B433" s="64"/>
      <c r="C433" s="69"/>
      <c r="D433" s="68"/>
      <c r="E433" s="69"/>
      <c r="F433" s="70"/>
      <c r="G433" s="23"/>
      <c r="H433" s="23"/>
      <c r="I433" s="55"/>
    </row>
    <row r="434" spans="2:9" x14ac:dyDescent="0.3">
      <c r="B434" s="64"/>
      <c r="C434" s="65"/>
      <c r="D434" s="66"/>
      <c r="E434" s="65"/>
      <c r="F434" s="67"/>
      <c r="G434" s="14"/>
      <c r="H434" s="14"/>
      <c r="I434" s="43"/>
    </row>
    <row r="435" spans="2:9" x14ac:dyDescent="0.3">
      <c r="B435" s="64"/>
      <c r="C435" s="69"/>
      <c r="D435" s="68"/>
      <c r="E435" s="69"/>
      <c r="F435" s="70"/>
      <c r="G435" s="23"/>
      <c r="H435" s="23"/>
      <c r="I435" s="55"/>
    </row>
    <row r="436" spans="2:9" x14ac:dyDescent="0.3">
      <c r="B436" s="64"/>
      <c r="C436" s="65"/>
      <c r="D436" s="66"/>
      <c r="E436" s="65"/>
      <c r="F436" s="67"/>
      <c r="G436" s="14"/>
      <c r="H436" s="14"/>
      <c r="I436" s="43"/>
    </row>
    <row r="437" spans="2:9" x14ac:dyDescent="0.3">
      <c r="B437" s="64"/>
      <c r="C437" s="69"/>
      <c r="D437" s="68"/>
      <c r="E437" s="69"/>
      <c r="F437" s="70"/>
      <c r="G437" s="23"/>
      <c r="H437" s="23"/>
      <c r="I437" s="55"/>
    </row>
    <row r="438" spans="2:9" x14ac:dyDescent="0.3">
      <c r="B438" s="64"/>
      <c r="C438" s="65"/>
      <c r="D438" s="66"/>
      <c r="E438" s="65"/>
      <c r="F438" s="67"/>
      <c r="G438" s="14"/>
      <c r="H438" s="14"/>
      <c r="I438" s="43"/>
    </row>
    <row r="439" spans="2:9" x14ac:dyDescent="0.3">
      <c r="B439" s="64"/>
      <c r="C439" s="69"/>
      <c r="D439" s="68"/>
      <c r="E439" s="69"/>
      <c r="F439" s="70"/>
      <c r="G439" s="23"/>
      <c r="H439" s="23"/>
      <c r="I439" s="55"/>
    </row>
    <row r="440" spans="2:9" x14ac:dyDescent="0.3">
      <c r="B440" s="64"/>
      <c r="C440" s="65"/>
      <c r="D440" s="66"/>
      <c r="E440" s="65"/>
      <c r="F440" s="67"/>
      <c r="G440" s="14"/>
      <c r="H440" s="14"/>
      <c r="I440" s="43"/>
    </row>
    <row r="441" spans="2:9" x14ac:dyDescent="0.3">
      <c r="B441" s="64"/>
      <c r="C441" s="69"/>
      <c r="D441" s="68"/>
      <c r="E441" s="69"/>
      <c r="F441" s="70"/>
      <c r="G441" s="23"/>
      <c r="H441" s="23"/>
      <c r="I441" s="55"/>
    </row>
    <row r="442" spans="2:9" x14ac:dyDescent="0.3">
      <c r="B442" s="64"/>
      <c r="C442" s="65"/>
      <c r="D442" s="66"/>
      <c r="E442" s="65"/>
      <c r="F442" s="67"/>
      <c r="G442" s="14"/>
      <c r="H442" s="14"/>
      <c r="I442" s="43"/>
    </row>
    <row r="443" spans="2:9" x14ac:dyDescent="0.3">
      <c r="B443" s="64"/>
      <c r="C443" s="69"/>
      <c r="D443" s="68"/>
      <c r="E443" s="69"/>
      <c r="F443" s="70"/>
      <c r="G443" s="23"/>
      <c r="H443" s="23"/>
      <c r="I443" s="55"/>
    </row>
    <row r="444" spans="2:9" x14ac:dyDescent="0.3">
      <c r="B444" s="64"/>
      <c r="C444" s="65"/>
      <c r="D444" s="66"/>
      <c r="E444" s="65"/>
      <c r="F444" s="67"/>
      <c r="G444" s="14"/>
      <c r="H444" s="14"/>
      <c r="I444" s="43"/>
    </row>
    <row r="445" spans="2:9" x14ac:dyDescent="0.3">
      <c r="B445" s="64"/>
      <c r="C445" s="69"/>
      <c r="D445" s="68"/>
      <c r="E445" s="69"/>
      <c r="F445" s="70"/>
      <c r="G445" s="23"/>
      <c r="H445" s="23"/>
      <c r="I445" s="55"/>
    </row>
    <row r="446" spans="2:9" x14ac:dyDescent="0.3">
      <c r="B446" s="64"/>
      <c r="C446" s="65"/>
      <c r="D446" s="66"/>
      <c r="E446" s="65"/>
      <c r="F446" s="67"/>
      <c r="G446" s="14"/>
      <c r="H446" s="14"/>
      <c r="I446" s="43"/>
    </row>
    <row r="447" spans="2:9" x14ac:dyDescent="0.3">
      <c r="B447" s="64"/>
      <c r="C447" s="69"/>
      <c r="D447" s="68"/>
      <c r="E447" s="69"/>
      <c r="F447" s="70"/>
      <c r="G447" s="23"/>
      <c r="H447" s="23"/>
      <c r="I447" s="55"/>
    </row>
    <row r="448" spans="2:9" x14ac:dyDescent="0.3">
      <c r="B448" s="64"/>
      <c r="C448" s="65"/>
      <c r="D448" s="66"/>
      <c r="E448" s="65"/>
      <c r="F448" s="67"/>
      <c r="G448" s="14"/>
      <c r="H448" s="14"/>
      <c r="I448" s="43"/>
    </row>
    <row r="449" spans="2:9" x14ac:dyDescent="0.3">
      <c r="B449" s="64"/>
      <c r="C449" s="69"/>
      <c r="D449" s="68"/>
      <c r="E449" s="69"/>
      <c r="F449" s="70"/>
      <c r="G449" s="23"/>
      <c r="H449" s="23"/>
      <c r="I449" s="55"/>
    </row>
    <row r="450" spans="2:9" x14ac:dyDescent="0.3">
      <c r="B450" s="64"/>
      <c r="C450" s="65"/>
      <c r="D450" s="66"/>
      <c r="E450" s="65"/>
      <c r="F450" s="67"/>
      <c r="G450" s="14"/>
      <c r="H450" s="14"/>
      <c r="I450" s="43"/>
    </row>
    <row r="451" spans="2:9" x14ac:dyDescent="0.3">
      <c r="B451" s="64"/>
      <c r="C451" s="69"/>
      <c r="D451" s="68"/>
      <c r="E451" s="69"/>
      <c r="F451" s="70"/>
      <c r="G451" s="23"/>
      <c r="H451" s="23"/>
      <c r="I451" s="55"/>
    </row>
    <row r="452" spans="2:9" x14ac:dyDescent="0.3">
      <c r="B452" s="64"/>
      <c r="C452" s="65"/>
      <c r="D452" s="66"/>
      <c r="E452" s="65"/>
      <c r="F452" s="67"/>
      <c r="G452" s="14"/>
      <c r="H452" s="14"/>
      <c r="I452" s="43"/>
    </row>
    <row r="453" spans="2:9" x14ac:dyDescent="0.3">
      <c r="B453" s="64"/>
      <c r="C453" s="69"/>
      <c r="D453" s="68"/>
      <c r="E453" s="69"/>
      <c r="F453" s="70"/>
      <c r="G453" s="23"/>
      <c r="H453" s="23"/>
      <c r="I453" s="55"/>
    </row>
    <row r="454" spans="2:9" x14ac:dyDescent="0.3">
      <c r="B454" s="64"/>
      <c r="C454" s="65"/>
      <c r="D454" s="66"/>
      <c r="E454" s="65"/>
      <c r="F454" s="67"/>
      <c r="G454" s="14"/>
      <c r="H454" s="14"/>
      <c r="I454" s="43"/>
    </row>
    <row r="455" spans="2:9" x14ac:dyDescent="0.3">
      <c r="B455" s="64"/>
      <c r="C455" s="69"/>
      <c r="D455" s="68"/>
      <c r="E455" s="69"/>
      <c r="F455" s="70"/>
      <c r="G455" s="23"/>
      <c r="H455" s="23"/>
      <c r="I455" s="55"/>
    </row>
    <row r="456" spans="2:9" x14ac:dyDescent="0.3">
      <c r="B456" s="64"/>
      <c r="C456" s="65"/>
      <c r="D456" s="66"/>
      <c r="E456" s="65"/>
      <c r="F456" s="67"/>
      <c r="G456" s="14"/>
      <c r="H456" s="14"/>
      <c r="I456" s="43"/>
    </row>
    <row r="457" spans="2:9" x14ac:dyDescent="0.3">
      <c r="B457" s="64"/>
      <c r="C457" s="69"/>
      <c r="D457" s="68"/>
      <c r="E457" s="69"/>
      <c r="F457" s="70"/>
      <c r="G457" s="23"/>
      <c r="H457" s="23"/>
      <c r="I457" s="55"/>
    </row>
    <row r="458" spans="2:9" x14ac:dyDescent="0.3">
      <c r="B458" s="64"/>
      <c r="C458" s="65"/>
      <c r="D458" s="66"/>
      <c r="E458" s="65"/>
      <c r="F458" s="67"/>
      <c r="G458" s="14"/>
      <c r="H458" s="14"/>
      <c r="I458" s="43"/>
    </row>
    <row r="459" spans="2:9" x14ac:dyDescent="0.3">
      <c r="B459" s="64"/>
      <c r="C459" s="69"/>
      <c r="D459" s="68"/>
      <c r="E459" s="69"/>
      <c r="F459" s="70"/>
      <c r="G459" s="23"/>
      <c r="H459" s="23"/>
      <c r="I459" s="55"/>
    </row>
    <row r="460" spans="2:9" x14ac:dyDescent="0.3">
      <c r="B460" s="64"/>
      <c r="C460" s="65"/>
      <c r="D460" s="66"/>
      <c r="E460" s="65"/>
      <c r="F460" s="67"/>
      <c r="G460" s="14"/>
      <c r="H460" s="14"/>
      <c r="I460" s="43"/>
    </row>
    <row r="461" spans="2:9" x14ac:dyDescent="0.3">
      <c r="B461" s="64"/>
      <c r="C461" s="69"/>
      <c r="D461" s="68"/>
      <c r="E461" s="69"/>
      <c r="F461" s="70"/>
      <c r="G461" s="23"/>
      <c r="H461" s="23"/>
      <c r="I461" s="55"/>
    </row>
    <row r="462" spans="2:9" x14ac:dyDescent="0.3">
      <c r="B462" s="64"/>
      <c r="C462" s="65"/>
      <c r="D462" s="66"/>
      <c r="E462" s="65"/>
      <c r="F462" s="67"/>
      <c r="G462" s="14"/>
      <c r="H462" s="14"/>
      <c r="I462" s="43"/>
    </row>
    <row r="463" spans="2:9" x14ac:dyDescent="0.3">
      <c r="B463" s="64"/>
      <c r="C463" s="69"/>
      <c r="D463" s="68"/>
      <c r="E463" s="69"/>
      <c r="F463" s="70"/>
      <c r="G463" s="23"/>
      <c r="H463" s="23"/>
      <c r="I463" s="55"/>
    </row>
    <row r="464" spans="2:9" x14ac:dyDescent="0.3">
      <c r="B464" s="64"/>
      <c r="C464" s="65"/>
      <c r="D464" s="66"/>
      <c r="E464" s="65"/>
      <c r="F464" s="67"/>
      <c r="G464" s="14"/>
      <c r="H464" s="14"/>
      <c r="I464" s="43"/>
    </row>
    <row r="465" spans="2:9" x14ac:dyDescent="0.3">
      <c r="B465" s="64"/>
      <c r="C465" s="69"/>
      <c r="D465" s="68"/>
      <c r="E465" s="69"/>
      <c r="F465" s="70"/>
      <c r="G465" s="23"/>
      <c r="H465" s="23"/>
      <c r="I465" s="55"/>
    </row>
    <row r="466" spans="2:9" x14ac:dyDescent="0.3">
      <c r="B466" s="64"/>
      <c r="C466" s="65"/>
      <c r="D466" s="66"/>
      <c r="E466" s="65"/>
      <c r="F466" s="67"/>
      <c r="G466" s="14"/>
      <c r="H466" s="14"/>
      <c r="I466" s="43"/>
    </row>
    <row r="467" spans="2:9" x14ac:dyDescent="0.3">
      <c r="B467" s="64"/>
      <c r="C467" s="69"/>
      <c r="D467" s="68"/>
      <c r="E467" s="69"/>
      <c r="F467" s="70"/>
      <c r="G467" s="23"/>
      <c r="H467" s="23"/>
      <c r="I467" s="55"/>
    </row>
    <row r="468" spans="2:9" x14ac:dyDescent="0.3">
      <c r="B468" s="64"/>
      <c r="C468" s="65"/>
      <c r="D468" s="66"/>
      <c r="E468" s="65"/>
      <c r="F468" s="67"/>
      <c r="G468" s="14"/>
      <c r="H468" s="14"/>
      <c r="I468" s="43"/>
    </row>
    <row r="469" spans="2:9" x14ac:dyDescent="0.3">
      <c r="B469" s="64"/>
      <c r="C469" s="69"/>
      <c r="D469" s="68"/>
      <c r="E469" s="69"/>
      <c r="F469" s="70"/>
      <c r="G469" s="23"/>
      <c r="H469" s="23"/>
      <c r="I469" s="55"/>
    </row>
    <row r="470" spans="2:9" x14ac:dyDescent="0.3">
      <c r="B470" s="64"/>
      <c r="C470" s="65"/>
      <c r="D470" s="66"/>
      <c r="E470" s="65"/>
      <c r="F470" s="67"/>
      <c r="G470" s="14"/>
      <c r="H470" s="14"/>
      <c r="I470" s="43"/>
    </row>
    <row r="471" spans="2:9" x14ac:dyDescent="0.3">
      <c r="B471" s="64"/>
      <c r="C471" s="69"/>
      <c r="D471" s="68"/>
      <c r="E471" s="69"/>
      <c r="F471" s="70"/>
      <c r="G471" s="23"/>
      <c r="H471" s="23"/>
      <c r="I471" s="55"/>
    </row>
    <row r="472" spans="2:9" x14ac:dyDescent="0.3">
      <c r="B472" s="64"/>
      <c r="C472" s="65"/>
      <c r="D472" s="66"/>
      <c r="E472" s="65"/>
      <c r="F472" s="67"/>
      <c r="G472" s="14"/>
      <c r="H472" s="14"/>
      <c r="I472" s="43"/>
    </row>
    <row r="473" spans="2:9" x14ac:dyDescent="0.3">
      <c r="B473" s="64"/>
      <c r="C473" s="69"/>
      <c r="D473" s="68"/>
      <c r="E473" s="69"/>
      <c r="F473" s="70"/>
      <c r="G473" s="23"/>
      <c r="H473" s="23"/>
      <c r="I473" s="55"/>
    </row>
    <row r="474" spans="2:9" x14ac:dyDescent="0.3">
      <c r="B474" s="64"/>
      <c r="C474" s="65"/>
      <c r="D474" s="66"/>
      <c r="E474" s="65"/>
      <c r="F474" s="67"/>
      <c r="G474" s="14"/>
      <c r="H474" s="14"/>
      <c r="I474" s="43"/>
    </row>
    <row r="475" spans="2:9" x14ac:dyDescent="0.3">
      <c r="B475" s="64"/>
      <c r="C475" s="69"/>
      <c r="D475" s="68"/>
      <c r="E475" s="69"/>
      <c r="F475" s="70"/>
      <c r="G475" s="23"/>
      <c r="H475" s="23"/>
      <c r="I475" s="55"/>
    </row>
    <row r="476" spans="2:9" x14ac:dyDescent="0.3">
      <c r="B476" s="64"/>
      <c r="C476" s="65"/>
      <c r="D476" s="66"/>
      <c r="E476" s="65"/>
      <c r="F476" s="67"/>
      <c r="G476" s="14"/>
      <c r="H476" s="14"/>
      <c r="I476" s="43"/>
    </row>
    <row r="477" spans="2:9" x14ac:dyDescent="0.3">
      <c r="B477" s="64"/>
      <c r="C477" s="69"/>
      <c r="D477" s="68"/>
      <c r="E477" s="69"/>
      <c r="F477" s="70"/>
      <c r="G477" s="23"/>
      <c r="H477" s="23"/>
      <c r="I477" s="55"/>
    </row>
    <row r="478" spans="2:9" x14ac:dyDescent="0.3">
      <c r="B478" s="64"/>
      <c r="C478" s="65"/>
      <c r="D478" s="66"/>
      <c r="E478" s="65"/>
      <c r="F478" s="67"/>
      <c r="G478" s="14"/>
      <c r="H478" s="14"/>
      <c r="I478" s="43"/>
    </row>
    <row r="479" spans="2:9" x14ac:dyDescent="0.3">
      <c r="B479" s="64"/>
      <c r="C479" s="69"/>
      <c r="D479" s="68"/>
      <c r="E479" s="69"/>
      <c r="F479" s="70"/>
      <c r="G479" s="23"/>
      <c r="H479" s="23"/>
      <c r="I479" s="55"/>
    </row>
    <row r="480" spans="2:9" x14ac:dyDescent="0.3">
      <c r="B480" s="64"/>
      <c r="C480" s="65"/>
      <c r="D480" s="66"/>
      <c r="E480" s="65"/>
      <c r="F480" s="67"/>
      <c r="G480" s="14"/>
      <c r="H480" s="14"/>
      <c r="I480" s="43"/>
    </row>
    <row r="481" spans="2:9" x14ac:dyDescent="0.3">
      <c r="B481" s="64"/>
      <c r="C481" s="69"/>
      <c r="D481" s="68"/>
      <c r="E481" s="69"/>
      <c r="F481" s="70"/>
      <c r="G481" s="23"/>
      <c r="H481" s="23"/>
      <c r="I481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208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27" t="s">
        <v>722</v>
      </c>
      <c r="B2" s="261"/>
      <c r="C2" s="261"/>
      <c r="D2" s="261"/>
      <c r="E2" s="261"/>
      <c r="F2" s="300" t="s">
        <v>723</v>
      </c>
      <c r="G2" s="261"/>
      <c r="H2" s="261"/>
      <c r="I2" s="261"/>
      <c r="J2" s="261"/>
      <c r="K2" s="261"/>
    </row>
    <row r="3" spans="1:11" ht="3.75" customHeight="1" x14ac:dyDescent="0.3">
      <c r="A3" s="310"/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1" ht="7.5" customHeight="1" x14ac:dyDescent="0.3"/>
    <row r="5" spans="1:11" ht="18" customHeight="1" x14ac:dyDescent="0.3">
      <c r="B5" s="59" t="s">
        <v>724</v>
      </c>
      <c r="D5" s="59" t="s">
        <v>725</v>
      </c>
      <c r="E5" s="59" t="s">
        <v>726</v>
      </c>
      <c r="F5" s="59" t="s">
        <v>727</v>
      </c>
      <c r="H5" s="59" t="s">
        <v>728</v>
      </c>
      <c r="J5" s="59" t="s">
        <v>729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46181</v>
      </c>
    </row>
    <row r="7" spans="1:11" ht="7.5" customHeight="1" x14ac:dyDescent="0.3"/>
    <row r="8" spans="1:11" ht="19.5" customHeight="1" x14ac:dyDescent="0.3">
      <c r="B8" s="336" t="s">
        <v>730</v>
      </c>
      <c r="C8" s="271"/>
      <c r="D8" s="271"/>
      <c r="E8" s="271"/>
      <c r="F8" s="271"/>
      <c r="G8" s="271"/>
      <c r="H8" s="271"/>
      <c r="I8" s="271"/>
      <c r="J8" s="271"/>
      <c r="K8" s="271"/>
    </row>
    <row r="9" spans="1:11" ht="27.75" customHeight="1" x14ac:dyDescent="0.3">
      <c r="B9" s="6" t="s">
        <v>731</v>
      </c>
      <c r="C9" s="6" t="s">
        <v>369</v>
      </c>
      <c r="D9" s="6" t="s">
        <v>732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733</v>
      </c>
      <c r="C10" s="15" t="s">
        <v>369</v>
      </c>
      <c r="D10" s="14" t="s">
        <v>732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389</v>
      </c>
      <c r="C11" s="24" t="s">
        <v>369</v>
      </c>
      <c r="D11" s="23" t="s">
        <v>732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734</v>
      </c>
      <c r="C12" s="15" t="s">
        <v>369</v>
      </c>
      <c r="D12" s="14" t="s">
        <v>732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735</v>
      </c>
      <c r="C13" s="24" t="s">
        <v>369</v>
      </c>
      <c r="D13" s="23" t="s">
        <v>732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387</v>
      </c>
      <c r="C14" s="15" t="s">
        <v>388</v>
      </c>
      <c r="D14" s="14" t="s">
        <v>732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736</v>
      </c>
      <c r="C15" s="24" t="s">
        <v>388</v>
      </c>
      <c r="D15" s="23" t="s">
        <v>732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403</v>
      </c>
      <c r="C16" s="15" t="s">
        <v>382</v>
      </c>
      <c r="D16" s="14" t="s">
        <v>732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384</v>
      </c>
      <c r="C17" s="24" t="s">
        <v>382</v>
      </c>
      <c r="D17" s="23" t="s">
        <v>737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458</v>
      </c>
      <c r="C18" s="15" t="s">
        <v>382</v>
      </c>
      <c r="D18" s="14" t="s">
        <v>732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596</v>
      </c>
      <c r="C19" s="24" t="s">
        <v>382</v>
      </c>
      <c r="D19" s="23" t="s">
        <v>737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738</v>
      </c>
      <c r="C20" s="15" t="s">
        <v>382</v>
      </c>
      <c r="D20" s="14" t="s">
        <v>737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739</v>
      </c>
      <c r="C21" s="24" t="s">
        <v>382</v>
      </c>
      <c r="D21" s="23" t="s">
        <v>732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682</v>
      </c>
      <c r="C22" s="15" t="s">
        <v>382</v>
      </c>
      <c r="D22" s="14" t="s">
        <v>737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740</v>
      </c>
      <c r="C23" s="24" t="s">
        <v>382</v>
      </c>
      <c r="D23" s="23" t="s">
        <v>732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464</v>
      </c>
      <c r="C24" s="15" t="s">
        <v>382</v>
      </c>
      <c r="D24" s="14" t="s">
        <v>732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462</v>
      </c>
      <c r="C25" s="24" t="s">
        <v>382</v>
      </c>
      <c r="D25" s="23" t="s">
        <v>732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741</v>
      </c>
      <c r="C26" s="15" t="s">
        <v>405</v>
      </c>
      <c r="D26" s="14" t="s">
        <v>732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742</v>
      </c>
      <c r="C27" s="24" t="s">
        <v>405</v>
      </c>
      <c r="D27" s="23" t="s">
        <v>732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743</v>
      </c>
      <c r="C28" s="15" t="s">
        <v>405</v>
      </c>
      <c r="D28" s="14" t="s">
        <v>732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744</v>
      </c>
      <c r="C29" s="24" t="s">
        <v>405</v>
      </c>
      <c r="D29" s="23" t="s">
        <v>732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745</v>
      </c>
      <c r="C30" s="15" t="s">
        <v>405</v>
      </c>
      <c r="D30" s="14" t="s">
        <v>732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746</v>
      </c>
      <c r="C31" s="24" t="s">
        <v>405</v>
      </c>
      <c r="D31" s="23" t="s">
        <v>732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747</v>
      </c>
      <c r="C32" s="15" t="s">
        <v>405</v>
      </c>
      <c r="D32" s="14" t="s">
        <v>732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748</v>
      </c>
      <c r="C33" s="24" t="s">
        <v>405</v>
      </c>
      <c r="D33" s="23" t="s">
        <v>732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390</v>
      </c>
      <c r="C34" s="15" t="s">
        <v>391</v>
      </c>
      <c r="D34" s="14" t="s">
        <v>732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749</v>
      </c>
      <c r="C35" s="24" t="s">
        <v>391</v>
      </c>
      <c r="D35" s="23" t="s">
        <v>732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750</v>
      </c>
      <c r="C36" s="15" t="s">
        <v>391</v>
      </c>
      <c r="D36" s="14" t="s">
        <v>751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752</v>
      </c>
      <c r="C37" s="24" t="s">
        <v>391</v>
      </c>
      <c r="D37" s="23" t="s">
        <v>751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414</v>
      </c>
      <c r="C38" s="15" t="s">
        <v>391</v>
      </c>
      <c r="D38" s="14" t="s">
        <v>751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383</v>
      </c>
      <c r="C39" s="24" t="s">
        <v>373</v>
      </c>
      <c r="D39" s="23" t="s">
        <v>732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385</v>
      </c>
      <c r="C40" s="15" t="s">
        <v>373</v>
      </c>
      <c r="D40" s="14" t="s">
        <v>732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402</v>
      </c>
      <c r="C41" s="24" t="s">
        <v>373</v>
      </c>
      <c r="D41" s="23" t="s">
        <v>732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413</v>
      </c>
      <c r="C42" s="15" t="s">
        <v>373</v>
      </c>
      <c r="D42" s="14" t="s">
        <v>751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753</v>
      </c>
      <c r="C43" s="24" t="s">
        <v>373</v>
      </c>
      <c r="D43" s="23" t="s">
        <v>732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754</v>
      </c>
      <c r="C44" s="15" t="s">
        <v>373</v>
      </c>
      <c r="D44" s="14" t="s">
        <v>23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755</v>
      </c>
      <c r="C45" s="24" t="s">
        <v>376</v>
      </c>
      <c r="D45" s="23" t="s">
        <v>737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756</v>
      </c>
      <c r="C46" s="15" t="s">
        <v>376</v>
      </c>
      <c r="D46" s="14" t="s">
        <v>737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757</v>
      </c>
      <c r="C47" s="24" t="s">
        <v>376</v>
      </c>
      <c r="D47" s="23" t="s">
        <v>732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758</v>
      </c>
      <c r="C48" s="15" t="s">
        <v>376</v>
      </c>
      <c r="D48" s="14" t="s">
        <v>737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476</v>
      </c>
      <c r="C49" s="24" t="s">
        <v>376</v>
      </c>
      <c r="D49" s="23" t="s">
        <v>737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759</v>
      </c>
      <c r="C50" s="15" t="s">
        <v>440</v>
      </c>
      <c r="D50" s="14" t="s">
        <v>751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760</v>
      </c>
      <c r="C51" s="24" t="s">
        <v>440</v>
      </c>
      <c r="D51" s="23" t="s">
        <v>751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761</v>
      </c>
      <c r="C52" s="15" t="s">
        <v>440</v>
      </c>
      <c r="D52" s="14" t="s">
        <v>751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762</v>
      </c>
      <c r="C53" s="24" t="s">
        <v>388</v>
      </c>
      <c r="D53" s="23" t="s">
        <v>732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763</v>
      </c>
      <c r="C54" s="15" t="s">
        <v>376</v>
      </c>
      <c r="D54" s="14" t="s">
        <v>737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499</v>
      </c>
      <c r="C55" s="24" t="s">
        <v>369</v>
      </c>
      <c r="D55" s="23" t="s">
        <v>732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764</v>
      </c>
      <c r="C56" s="15" t="s">
        <v>373</v>
      </c>
      <c r="D56" s="14" t="s">
        <v>732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765</v>
      </c>
      <c r="C57" s="24" t="s">
        <v>440</v>
      </c>
      <c r="D57" s="23" t="s">
        <v>737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766</v>
      </c>
      <c r="C58" s="15" t="s">
        <v>391</v>
      </c>
      <c r="D58" s="14" t="s">
        <v>751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446</v>
      </c>
      <c r="C59" s="24" t="s">
        <v>391</v>
      </c>
      <c r="D59" s="23" t="s">
        <v>751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767</v>
      </c>
      <c r="C60" s="15" t="s">
        <v>373</v>
      </c>
      <c r="D60" s="14" t="s">
        <v>737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768</v>
      </c>
      <c r="C61" s="24" t="s">
        <v>382</v>
      </c>
      <c r="D61" s="23" t="s">
        <v>737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513</v>
      </c>
      <c r="C62" s="15" t="s">
        <v>369</v>
      </c>
      <c r="D62" s="14" t="s">
        <v>732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769</v>
      </c>
      <c r="C63" s="24" t="s">
        <v>369</v>
      </c>
      <c r="D63" s="23" t="s">
        <v>732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770</v>
      </c>
      <c r="C64" s="15" t="s">
        <v>369</v>
      </c>
      <c r="D64" s="14" t="s">
        <v>732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771</v>
      </c>
      <c r="C65" s="24" t="s">
        <v>369</v>
      </c>
      <c r="D65" s="23" t="s">
        <v>732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772</v>
      </c>
      <c r="C66" s="15" t="s">
        <v>373</v>
      </c>
      <c r="D66" s="14" t="s">
        <v>737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773</v>
      </c>
      <c r="C67" s="24" t="s">
        <v>382</v>
      </c>
      <c r="D67" s="23" t="s">
        <v>732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774</v>
      </c>
      <c r="C68" s="15" t="s">
        <v>391</v>
      </c>
      <c r="D68" s="14" t="s">
        <v>732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775</v>
      </c>
      <c r="C69" s="24" t="s">
        <v>393</v>
      </c>
      <c r="D69" s="23" t="s">
        <v>737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776</v>
      </c>
      <c r="C70" s="15" t="s">
        <v>376</v>
      </c>
      <c r="D70" s="14" t="s">
        <v>737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541</v>
      </c>
      <c r="C71" s="24" t="s">
        <v>376</v>
      </c>
      <c r="D71" s="23" t="s">
        <v>737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777</v>
      </c>
      <c r="C72" s="15" t="s">
        <v>373</v>
      </c>
      <c r="D72" s="14" t="s">
        <v>737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778</v>
      </c>
      <c r="C73" s="24" t="s">
        <v>373</v>
      </c>
      <c r="D73" s="23" t="s">
        <v>737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75"/>
  <sheetViews>
    <sheetView showGridLines="0" tabSelected="1" zoomScaleNormal="100" workbookViewId="0">
      <selection activeCell="N16" sqref="N16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38" t="s">
        <v>0</v>
      </c>
      <c r="B2" s="338"/>
      <c r="C2" s="338"/>
      <c r="D2" s="341" t="s">
        <v>1</v>
      </c>
      <c r="E2" s="341"/>
      <c r="F2" s="341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285" t="s">
        <v>2</v>
      </c>
      <c r="B6" s="337"/>
      <c r="C6" s="154"/>
      <c r="D6" s="215">
        <f ca="1">TODAY()-WEEKDAY(TODAY(),2)+1</f>
        <v>46181</v>
      </c>
      <c r="E6" s="158"/>
      <c r="F6" s="158"/>
      <c r="G6" s="158"/>
      <c r="H6" s="158"/>
      <c r="I6" s="158"/>
      <c r="J6" s="158"/>
      <c r="K6" s="158"/>
      <c r="L6" s="158"/>
    </row>
    <row r="7" spans="1:12" ht="27.75" customHeight="1" thickBot="1" x14ac:dyDescent="0.3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</row>
    <row r="8" spans="1:12" ht="19.5" customHeight="1" thickBot="1" x14ac:dyDescent="0.35">
      <c r="A8" s="97" t="s">
        <v>15</v>
      </c>
      <c r="B8" s="98" t="s">
        <v>16</v>
      </c>
      <c r="C8" s="99">
        <v>625</v>
      </c>
      <c r="D8" s="100" t="s">
        <v>17</v>
      </c>
      <c r="E8" s="100" t="s">
        <v>17</v>
      </c>
      <c r="F8" s="100" t="s">
        <v>17</v>
      </c>
      <c r="G8" s="100" t="s">
        <v>17</v>
      </c>
      <c r="H8" s="100" t="s">
        <v>17</v>
      </c>
      <c r="I8" s="100" t="s">
        <v>17</v>
      </c>
      <c r="J8" s="100" t="s">
        <v>18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19</v>
      </c>
      <c r="B9" s="103" t="s">
        <v>20</v>
      </c>
      <c r="C9" s="104">
        <v>250</v>
      </c>
      <c r="D9" s="105" t="s">
        <v>17</v>
      </c>
      <c r="E9" s="105" t="s">
        <v>17</v>
      </c>
      <c r="F9" s="105" t="s">
        <v>17</v>
      </c>
      <c r="G9" s="105" t="s">
        <v>17</v>
      </c>
      <c r="H9" s="105" t="s">
        <v>17</v>
      </c>
      <c r="I9" s="105" t="s">
        <v>17</v>
      </c>
      <c r="J9" s="105" t="s">
        <v>18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21</v>
      </c>
      <c r="B10" s="98" t="s">
        <v>22</v>
      </c>
      <c r="C10" s="104">
        <v>0</v>
      </c>
      <c r="D10" s="100" t="s">
        <v>23</v>
      </c>
      <c r="E10" s="100" t="s">
        <v>23</v>
      </c>
      <c r="F10" s="100" t="s">
        <v>23</v>
      </c>
      <c r="G10" s="100" t="s">
        <v>23</v>
      </c>
      <c r="H10" s="100" t="s">
        <v>23</v>
      </c>
      <c r="I10" s="100" t="s">
        <v>23</v>
      </c>
      <c r="J10" s="100" t="s">
        <v>23</v>
      </c>
      <c r="K10" s="101">
        <v>0</v>
      </c>
      <c r="L10" s="102">
        <v>0</v>
      </c>
    </row>
    <row r="11" spans="1:12" ht="19.5" customHeight="1" thickBot="1" x14ac:dyDescent="0.35">
      <c r="A11" s="97" t="s">
        <v>24</v>
      </c>
      <c r="B11" s="103" t="s">
        <v>25</v>
      </c>
      <c r="C11" s="104">
        <v>333.33</v>
      </c>
      <c r="D11" s="105" t="s">
        <v>17</v>
      </c>
      <c r="E11" s="105" t="s">
        <v>17</v>
      </c>
      <c r="F11" s="105" t="s">
        <v>17</v>
      </c>
      <c r="G11" s="105" t="s">
        <v>17</v>
      </c>
      <c r="H11" s="105" t="s">
        <v>17</v>
      </c>
      <c r="I11" s="105" t="s">
        <v>17</v>
      </c>
      <c r="J11" s="105" t="s">
        <v>18</v>
      </c>
      <c r="K11" s="106">
        <f>COUNTIF(D11:J11,"Full Day")</f>
        <v>6</v>
      </c>
      <c r="L11" s="107">
        <f>K11*2000/6</f>
        <v>2000</v>
      </c>
    </row>
    <row r="12" spans="1:12" ht="19.5" customHeight="1" thickBot="1" x14ac:dyDescent="0.35">
      <c r="A12" s="97"/>
      <c r="B12" s="98"/>
      <c r="C12" s="99"/>
      <c r="D12" s="100"/>
      <c r="E12" s="100"/>
      <c r="F12" s="100"/>
      <c r="G12" s="100"/>
      <c r="H12" s="100"/>
      <c r="I12" s="100"/>
      <c r="J12" s="100"/>
      <c r="K12" s="101"/>
      <c r="L12" s="102"/>
    </row>
    <row r="13" spans="1:12" ht="19.5" customHeight="1" thickBot="1" x14ac:dyDescent="0.35">
      <c r="A13" s="97"/>
      <c r="B13" s="98"/>
      <c r="C13" s="99"/>
      <c r="D13" s="100"/>
      <c r="E13" s="100"/>
      <c r="F13" s="100"/>
      <c r="G13" s="100"/>
      <c r="H13" s="100"/>
      <c r="I13" s="100"/>
      <c r="J13" s="100"/>
      <c r="K13" s="101"/>
      <c r="L13" s="102"/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285" t="s">
        <v>26</v>
      </c>
      <c r="B20" s="337"/>
      <c r="C20" s="154"/>
      <c r="D20" s="154"/>
      <c r="E20" s="154"/>
      <c r="F20" s="154"/>
      <c r="G20" s="154"/>
      <c r="H20" s="154"/>
      <c r="I20" s="154"/>
      <c r="J20" s="154"/>
      <c r="K20" s="154"/>
      <c r="L20" s="154"/>
    </row>
    <row r="21" spans="1:12" ht="18" customHeight="1" x14ac:dyDescent="0.3">
      <c r="A21" s="6" t="s">
        <v>3</v>
      </c>
      <c r="B21" s="6" t="s">
        <v>4</v>
      </c>
      <c r="C21" s="6" t="s">
        <v>14</v>
      </c>
      <c r="D21" s="6" t="s">
        <v>27</v>
      </c>
      <c r="E21" s="6" t="s">
        <v>28</v>
      </c>
      <c r="F21" s="6" t="s">
        <v>29</v>
      </c>
      <c r="G21" s="6" t="s">
        <v>30</v>
      </c>
      <c r="H21" s="6" t="s">
        <v>31</v>
      </c>
    </row>
    <row r="22" spans="1:12" ht="18" customHeight="1" x14ac:dyDescent="0.3">
      <c r="A22" s="109" t="str">
        <f t="shared" ref="A22:A29" si="0">A8</f>
        <v>John</v>
      </c>
      <c r="B22" s="15" t="s">
        <v>16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32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33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</v>
      </c>
      <c r="B25" s="24" t="s">
        <v>34</v>
      </c>
      <c r="C25" s="116">
        <f t="shared" si="1"/>
        <v>2000</v>
      </c>
      <c r="D25" s="117">
        <v>4</v>
      </c>
      <c r="E25" s="118">
        <f t="shared" si="2"/>
        <v>8000</v>
      </c>
      <c r="F25" s="119">
        <v>0.08</v>
      </c>
      <c r="G25" s="120">
        <f t="shared" si="3"/>
        <v>8640</v>
      </c>
      <c r="H25" s="96"/>
    </row>
    <row r="26" spans="1:12" ht="18" customHeight="1" x14ac:dyDescent="0.3">
      <c r="A26" s="109">
        <f t="shared" si="0"/>
        <v>0</v>
      </c>
      <c r="B26" s="15" t="s">
        <v>35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>
        <f t="shared" si="0"/>
        <v>0</v>
      </c>
      <c r="B27" s="24" t="s">
        <v>36</v>
      </c>
      <c r="C27" s="116">
        <f t="shared" si="1"/>
        <v>0</v>
      </c>
      <c r="D27" s="117">
        <v>4</v>
      </c>
      <c r="E27" s="118">
        <f t="shared" si="2"/>
        <v>0</v>
      </c>
      <c r="F27" s="119">
        <v>0.08</v>
      </c>
      <c r="G27" s="120">
        <f t="shared" si="3"/>
        <v>0</v>
      </c>
      <c r="H27" s="96"/>
    </row>
    <row r="28" spans="1:12" ht="18" customHeight="1" x14ac:dyDescent="0.3">
      <c r="A28" s="109">
        <f t="shared" si="0"/>
        <v>0</v>
      </c>
      <c r="B28" s="15" t="s">
        <v>37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58"/>
      <c r="C29" s="158"/>
      <c r="D29" s="158"/>
      <c r="E29" s="217">
        <f t="shared" si="2"/>
        <v>0</v>
      </c>
      <c r="F29" s="157"/>
      <c r="G29" s="120">
        <f t="shared" si="3"/>
        <v>0</v>
      </c>
      <c r="H29" s="96"/>
    </row>
    <row r="30" spans="1:12" ht="17.399999999999999" customHeight="1" x14ac:dyDescent="0.3">
      <c r="A30" s="339" t="s">
        <v>38</v>
      </c>
      <c r="B30" s="340"/>
      <c r="C30" s="158"/>
      <c r="D30" s="158"/>
      <c r="E30" s="158"/>
      <c r="F30" s="157"/>
      <c r="G30" s="108">
        <f>SUM(G21:G28)</f>
        <v>31320</v>
      </c>
    </row>
    <row r="33" spans="1:8" ht="15.6" x14ac:dyDescent="0.3">
      <c r="A33" s="218" t="s">
        <v>39</v>
      </c>
      <c r="B33" s="218"/>
      <c r="C33" s="218"/>
      <c r="D33" s="218"/>
      <c r="E33" s="218"/>
      <c r="F33" s="218"/>
      <c r="G33" s="218"/>
      <c r="H33" s="218"/>
    </row>
    <row r="34" spans="1:8" x14ac:dyDescent="0.3">
      <c r="A34" s="219" t="s">
        <v>40</v>
      </c>
      <c r="B34" s="219" t="s">
        <v>41</v>
      </c>
      <c r="C34" s="219" t="s">
        <v>42</v>
      </c>
      <c r="D34" s="219" t="s">
        <v>43</v>
      </c>
      <c r="E34" s="219"/>
      <c r="F34" s="219"/>
      <c r="G34" s="219"/>
      <c r="H34" s="219"/>
    </row>
    <row r="35" spans="1:8" x14ac:dyDescent="0.3">
      <c r="A35" s="216" t="s">
        <v>44</v>
      </c>
      <c r="B35" s="220">
        <v>3750</v>
      </c>
      <c r="C35" s="221">
        <v>15000</v>
      </c>
      <c r="D35" s="216" t="s">
        <v>45</v>
      </c>
    </row>
    <row r="36" spans="1:8" x14ac:dyDescent="0.3">
      <c r="A36" s="222" t="s">
        <v>46</v>
      </c>
      <c r="B36" s="223">
        <v>1500</v>
      </c>
      <c r="C36" s="224">
        <v>6000</v>
      </c>
      <c r="D36" s="222" t="s">
        <v>45</v>
      </c>
    </row>
    <row r="37" spans="1:8" x14ac:dyDescent="0.3">
      <c r="A37" s="216" t="s">
        <v>47</v>
      </c>
      <c r="B37" s="220">
        <v>5000</v>
      </c>
      <c r="C37" s="221">
        <v>20000</v>
      </c>
      <c r="D37" s="216" t="s">
        <v>48</v>
      </c>
    </row>
    <row r="38" spans="1:8" x14ac:dyDescent="0.3">
      <c r="A38" s="222" t="s">
        <v>49</v>
      </c>
      <c r="B38" s="223">
        <v>1000</v>
      </c>
      <c r="C38" s="224">
        <v>4000</v>
      </c>
      <c r="D38" s="222" t="s">
        <v>50</v>
      </c>
    </row>
    <row r="39" spans="1:8" x14ac:dyDescent="0.3">
      <c r="A39" s="219" t="s">
        <v>51</v>
      </c>
      <c r="B39" s="225">
        <f>SUM(B35:B38)</f>
        <v>11250</v>
      </c>
      <c r="C39" s="225">
        <f>SUM(C35:C38)</f>
        <v>45000</v>
      </c>
      <c r="D39" s="219" t="s">
        <v>52</v>
      </c>
    </row>
    <row r="41" spans="1:8" x14ac:dyDescent="0.3">
      <c r="A41" s="226" t="s">
        <v>53</v>
      </c>
      <c r="B41" s="226"/>
      <c r="C41" s="226"/>
      <c r="D41" s="226"/>
      <c r="E41" s="226"/>
      <c r="F41" s="226"/>
      <c r="G41" s="226"/>
      <c r="H41" s="226"/>
    </row>
    <row r="42" spans="1:8" x14ac:dyDescent="0.3">
      <c r="A42" s="216" t="s">
        <v>54</v>
      </c>
      <c r="B42" s="220">
        <v>2000</v>
      </c>
      <c r="C42" s="221">
        <v>8000</v>
      </c>
      <c r="D42" s="216" t="s">
        <v>55</v>
      </c>
    </row>
    <row r="43" spans="1:8" x14ac:dyDescent="0.3">
      <c r="A43" s="226" t="s">
        <v>56</v>
      </c>
      <c r="B43" s="226">
        <v>13250</v>
      </c>
      <c r="C43" s="226"/>
      <c r="D43" s="226">
        <v>23750</v>
      </c>
      <c r="E43" s="226">
        <v>3959</v>
      </c>
      <c r="F43" s="226"/>
      <c r="G43" s="226" t="s">
        <v>57</v>
      </c>
      <c r="H43" s="226"/>
    </row>
    <row r="45" spans="1:8" ht="15.6" x14ac:dyDescent="0.3">
      <c r="A45" s="218" t="s">
        <v>58</v>
      </c>
      <c r="B45" s="218"/>
      <c r="C45" s="218"/>
      <c r="D45" s="218"/>
      <c r="E45" s="218"/>
      <c r="F45" s="218"/>
      <c r="G45" s="218"/>
      <c r="H45" s="218"/>
    </row>
    <row r="46" spans="1:8" x14ac:dyDescent="0.3">
      <c r="A46" s="219" t="s">
        <v>59</v>
      </c>
      <c r="B46" s="219" t="s">
        <v>60</v>
      </c>
      <c r="C46" s="219" t="s">
        <v>61</v>
      </c>
      <c r="D46" s="219" t="s">
        <v>62</v>
      </c>
      <c r="E46" s="219" t="s">
        <v>63</v>
      </c>
      <c r="F46" s="219" t="s">
        <v>64</v>
      </c>
      <c r="G46" s="219" t="s">
        <v>65</v>
      </c>
      <c r="H46" s="219"/>
    </row>
    <row r="47" spans="1:8" x14ac:dyDescent="0.3">
      <c r="A47" s="227" t="s">
        <v>66</v>
      </c>
      <c r="B47" s="228">
        <v>11250</v>
      </c>
      <c r="C47" s="229">
        <v>10500</v>
      </c>
      <c r="D47" s="230">
        <v>21750</v>
      </c>
      <c r="E47" s="231">
        <v>3625</v>
      </c>
      <c r="F47" s="227">
        <v>4011</v>
      </c>
      <c r="G47" s="227" t="s">
        <v>67</v>
      </c>
    </row>
    <row r="48" spans="1:8" x14ac:dyDescent="0.3">
      <c r="A48" s="232" t="s">
        <v>68</v>
      </c>
      <c r="B48" s="233">
        <v>13500</v>
      </c>
      <c r="C48" s="234">
        <v>10500</v>
      </c>
      <c r="D48" s="235">
        <v>24000</v>
      </c>
      <c r="E48" s="236">
        <v>4000</v>
      </c>
      <c r="F48" s="232">
        <v>4011</v>
      </c>
      <c r="G48" s="232" t="s">
        <v>69</v>
      </c>
    </row>
    <row r="49" spans="1:8" x14ac:dyDescent="0.3">
      <c r="A49" s="237" t="s">
        <v>70</v>
      </c>
      <c r="B49" s="238">
        <v>11250</v>
      </c>
      <c r="C49" s="239">
        <v>10500</v>
      </c>
      <c r="D49" s="240">
        <v>25012</v>
      </c>
      <c r="E49" s="241">
        <v>4169</v>
      </c>
      <c r="F49" s="237">
        <v>4011</v>
      </c>
      <c r="G49" s="237" t="s">
        <v>71</v>
      </c>
    </row>
    <row r="51" spans="1:8" x14ac:dyDescent="0.3">
      <c r="A51" s="242" t="s">
        <v>72</v>
      </c>
      <c r="B51" s="242"/>
      <c r="C51" s="242"/>
      <c r="D51" s="242"/>
      <c r="E51" s="242"/>
      <c r="F51" s="242"/>
      <c r="G51" s="242"/>
      <c r="H51" s="242"/>
    </row>
    <row r="52" spans="1:8" x14ac:dyDescent="0.3">
      <c r="A52" s="242" t="s">
        <v>73</v>
      </c>
      <c r="B52" s="242"/>
      <c r="C52" s="242"/>
      <c r="D52" s="242"/>
      <c r="E52" s="242"/>
      <c r="F52" s="242"/>
      <c r="G52" s="242"/>
      <c r="H52" s="242"/>
    </row>
    <row r="53" spans="1:8" x14ac:dyDescent="0.3">
      <c r="A53" s="242" t="s">
        <v>74</v>
      </c>
      <c r="B53" s="242"/>
      <c r="C53" s="242"/>
      <c r="D53" s="242"/>
      <c r="E53" s="242"/>
      <c r="F53" s="242"/>
      <c r="G53" s="242"/>
      <c r="H53" s="242"/>
    </row>
    <row r="54" spans="1:8" x14ac:dyDescent="0.3">
      <c r="A54" s="242" t="s">
        <v>75</v>
      </c>
      <c r="B54" s="242"/>
      <c r="C54" s="242"/>
      <c r="D54" s="242"/>
      <c r="E54" s="242"/>
      <c r="F54" s="242"/>
      <c r="G54" s="242"/>
      <c r="H54" s="242"/>
    </row>
    <row r="55" spans="1:8" x14ac:dyDescent="0.3">
      <c r="A55" s="242" t="s">
        <v>76</v>
      </c>
      <c r="B55" s="242"/>
      <c r="C55" s="242"/>
      <c r="D55" s="242"/>
      <c r="E55" s="242"/>
      <c r="F55" s="242"/>
      <c r="G55" s="242"/>
      <c r="H55" s="242"/>
    </row>
    <row r="59" spans="1:8" ht="15.6" x14ac:dyDescent="0.3">
      <c r="A59" s="218" t="s">
        <v>77</v>
      </c>
      <c r="B59" s="218"/>
      <c r="C59" s="218"/>
      <c r="D59" s="218"/>
      <c r="E59" s="218"/>
      <c r="F59" s="218"/>
      <c r="G59" s="218"/>
      <c r="H59" s="218"/>
    </row>
    <row r="60" spans="1:8" x14ac:dyDescent="0.3">
      <c r="A60" s="219" t="s">
        <v>78</v>
      </c>
      <c r="B60" s="219" t="s">
        <v>79</v>
      </c>
      <c r="C60" s="219" t="s">
        <v>80</v>
      </c>
      <c r="D60" s="219" t="s">
        <v>81</v>
      </c>
      <c r="E60" s="219" t="s">
        <v>82</v>
      </c>
      <c r="F60" s="219" t="s">
        <v>83</v>
      </c>
      <c r="G60" s="219" t="s">
        <v>84</v>
      </c>
      <c r="H60" s="219" t="s">
        <v>31</v>
      </c>
    </row>
    <row r="61" spans="1:8" x14ac:dyDescent="0.3">
      <c r="A61" s="243">
        <v>46174</v>
      </c>
      <c r="B61" s="244" t="s">
        <v>85</v>
      </c>
      <c r="C61" s="245" t="s">
        <v>86</v>
      </c>
      <c r="D61" s="246">
        <v>349</v>
      </c>
      <c r="E61" s="247"/>
      <c r="F61" s="248">
        <f>IFERROR(D61-E61,0)</f>
        <v>349</v>
      </c>
      <c r="G61" s="244" t="s">
        <v>87</v>
      </c>
      <c r="H61" s="249" t="s">
        <v>88</v>
      </c>
    </row>
    <row r="62" spans="1:8" x14ac:dyDescent="0.3">
      <c r="A62" s="250">
        <v>46174</v>
      </c>
      <c r="B62" s="227" t="s">
        <v>89</v>
      </c>
      <c r="C62" s="251" t="s">
        <v>90</v>
      </c>
      <c r="D62" s="231"/>
      <c r="E62" s="230">
        <v>310</v>
      </c>
      <c r="F62" s="228">
        <f t="shared" ref="F62:F69" si="4">IFERROR(F61+D62-E62,0)</f>
        <v>39</v>
      </c>
      <c r="G62" s="227" t="s">
        <v>91</v>
      </c>
      <c r="H62" s="252" t="s">
        <v>92</v>
      </c>
    </row>
    <row r="63" spans="1:8" x14ac:dyDescent="0.3">
      <c r="A63" s="250">
        <v>46175</v>
      </c>
      <c r="B63" s="227" t="s">
        <v>93</v>
      </c>
      <c r="C63" s="251" t="s">
        <v>90</v>
      </c>
      <c r="D63" s="231"/>
      <c r="E63" s="230">
        <v>283</v>
      </c>
      <c r="F63" s="228">
        <f t="shared" si="4"/>
        <v>-244</v>
      </c>
      <c r="G63" s="227" t="s">
        <v>91</v>
      </c>
      <c r="H63" s="252" t="s">
        <v>92</v>
      </c>
    </row>
    <row r="64" spans="1:8" x14ac:dyDescent="0.3">
      <c r="A64" s="250">
        <v>46176</v>
      </c>
      <c r="B64" s="227" t="s">
        <v>94</v>
      </c>
      <c r="C64" s="251" t="s">
        <v>90</v>
      </c>
      <c r="D64" s="231"/>
      <c r="E64" s="230">
        <v>120</v>
      </c>
      <c r="F64" s="228">
        <f t="shared" si="4"/>
        <v>-364</v>
      </c>
      <c r="G64" s="227" t="s">
        <v>91</v>
      </c>
      <c r="H64" s="252" t="s">
        <v>92</v>
      </c>
    </row>
    <row r="65" spans="1:8" x14ac:dyDescent="0.3">
      <c r="A65" s="243">
        <v>46177</v>
      </c>
      <c r="B65" s="244" t="s">
        <v>95</v>
      </c>
      <c r="C65" s="245" t="s">
        <v>86</v>
      </c>
      <c r="D65" s="246">
        <v>358</v>
      </c>
      <c r="E65" s="247"/>
      <c r="F65" s="248">
        <f t="shared" si="4"/>
        <v>-6</v>
      </c>
      <c r="G65" s="244" t="s">
        <v>87</v>
      </c>
      <c r="H65" s="249" t="s">
        <v>96</v>
      </c>
    </row>
    <row r="66" spans="1:8" x14ac:dyDescent="0.3">
      <c r="A66" s="253">
        <v>46177</v>
      </c>
      <c r="B66" s="232" t="s">
        <v>97</v>
      </c>
      <c r="C66" s="254" t="s">
        <v>86</v>
      </c>
      <c r="D66" s="236">
        <v>6</v>
      </c>
      <c r="E66" s="235"/>
      <c r="F66" s="233">
        <f t="shared" si="4"/>
        <v>0</v>
      </c>
      <c r="G66" s="232" t="s">
        <v>98</v>
      </c>
      <c r="H66" s="255" t="s">
        <v>99</v>
      </c>
    </row>
    <row r="67" spans="1:8" x14ac:dyDescent="0.3">
      <c r="A67" s="250">
        <v>46178</v>
      </c>
      <c r="B67" s="227" t="s">
        <v>100</v>
      </c>
      <c r="C67" s="251" t="s">
        <v>90</v>
      </c>
      <c r="D67" s="231"/>
      <c r="E67" s="230">
        <v>135</v>
      </c>
      <c r="F67" s="228">
        <f t="shared" si="4"/>
        <v>-135</v>
      </c>
      <c r="G67" s="227" t="s">
        <v>101</v>
      </c>
      <c r="H67" s="252" t="s">
        <v>102</v>
      </c>
    </row>
    <row r="68" spans="1:8" x14ac:dyDescent="0.3">
      <c r="A68" s="243">
        <v>46177</v>
      </c>
      <c r="B68" s="244" t="s">
        <v>103</v>
      </c>
      <c r="C68" s="245" t="s">
        <v>86</v>
      </c>
      <c r="D68" s="246">
        <v>20000</v>
      </c>
      <c r="E68" s="247"/>
      <c r="F68" s="248">
        <f t="shared" si="4"/>
        <v>19865</v>
      </c>
      <c r="G68" s="244" t="s">
        <v>87</v>
      </c>
      <c r="H68" s="249" t="s">
        <v>104</v>
      </c>
    </row>
    <row r="69" spans="1:8" x14ac:dyDescent="0.3">
      <c r="A69" s="250">
        <v>46181</v>
      </c>
      <c r="B69" s="227" t="s">
        <v>105</v>
      </c>
      <c r="C69" s="251" t="s">
        <v>90</v>
      </c>
      <c r="D69" s="231"/>
      <c r="E69" s="230">
        <v>99</v>
      </c>
      <c r="F69" s="228">
        <f t="shared" si="4"/>
        <v>19766</v>
      </c>
      <c r="G69" s="227" t="s">
        <v>101</v>
      </c>
      <c r="H69" s="252" t="s">
        <v>106</v>
      </c>
    </row>
    <row r="70" spans="1:8" x14ac:dyDescent="0.3">
      <c r="A70" s="226" t="s">
        <v>107</v>
      </c>
      <c r="B70" s="219"/>
      <c r="C70" s="219"/>
      <c r="D70" s="256">
        <f>SUM(D61:D69)</f>
        <v>20713</v>
      </c>
      <c r="E70" s="257">
        <f>SUM(E61:E69)</f>
        <v>947</v>
      </c>
      <c r="F70" s="258">
        <f>F69</f>
        <v>19766</v>
      </c>
      <c r="G70" s="226" t="str">
        <f>IF(F69&gt;0,"⏳ Restaurant owes Lohith $"&amp;TEXT(F69,"#,##0"),IF(F69&lt;0,"💵 Lohith holds $"&amp;TEXT(ABS(F69),"#,##0")&amp;" of restaurant funds","✅ Zero balance"))</f>
        <v>⏳ Restaurant owes Lohith $19,766</v>
      </c>
    </row>
    <row r="72" spans="1:8" x14ac:dyDescent="0.3">
      <c r="A72" s="242" t="s">
        <v>108</v>
      </c>
      <c r="B72" s="242"/>
      <c r="C72" s="242"/>
      <c r="D72" s="242"/>
      <c r="E72" s="242"/>
      <c r="F72" s="242"/>
      <c r="G72" s="242"/>
      <c r="H72" s="242"/>
    </row>
    <row r="73" spans="1:8" x14ac:dyDescent="0.3">
      <c r="A73" s="242" t="s">
        <v>109</v>
      </c>
      <c r="B73" s="242"/>
      <c r="C73" s="242"/>
      <c r="D73" s="242"/>
      <c r="E73" s="242"/>
      <c r="F73" s="242"/>
      <c r="G73" s="242"/>
      <c r="H73" s="242"/>
    </row>
    <row r="74" spans="1:8" x14ac:dyDescent="0.3">
      <c r="A74" s="242" t="s">
        <v>110</v>
      </c>
      <c r="B74" s="242"/>
      <c r="C74" s="242"/>
      <c r="D74" s="242"/>
      <c r="E74" s="242"/>
      <c r="F74" s="242"/>
      <c r="G74" s="242"/>
      <c r="H74" s="242"/>
    </row>
    <row r="75" spans="1:8" x14ac:dyDescent="0.3">
      <c r="A75" s="242" t="s">
        <v>111</v>
      </c>
      <c r="B75" s="242"/>
      <c r="C75" s="242"/>
      <c r="D75" s="242"/>
      <c r="E75" s="242"/>
      <c r="F75" s="242"/>
      <c r="G75" s="242"/>
      <c r="H75" s="242"/>
    </row>
  </sheetData>
  <mergeCells count="5">
    <mergeCell ref="A6:B6"/>
    <mergeCell ref="A20:B20"/>
    <mergeCell ref="A30:B30"/>
    <mergeCell ref="A2:C2"/>
    <mergeCell ref="D2:F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27" t="s">
        <v>779</v>
      </c>
      <c r="B2" s="261"/>
      <c r="C2" s="261"/>
      <c r="D2" s="261"/>
      <c r="E2" s="261"/>
      <c r="F2" s="300" t="s">
        <v>780</v>
      </c>
      <c r="G2" s="261"/>
      <c r="H2" s="261"/>
      <c r="I2" s="261"/>
      <c r="J2" s="261"/>
      <c r="K2" s="261"/>
    </row>
    <row r="3" spans="1:11" ht="3.75" customHeight="1" x14ac:dyDescent="0.3">
      <c r="A3" s="310"/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1" ht="7.5" customHeight="1" x14ac:dyDescent="0.3"/>
    <row r="5" spans="1:11" ht="18" customHeight="1" x14ac:dyDescent="0.3">
      <c r="B5" s="59" t="s">
        <v>781</v>
      </c>
      <c r="C5" s="59" t="s">
        <v>782</v>
      </c>
      <c r="D5" s="59" t="s">
        <v>783</v>
      </c>
      <c r="E5" s="59" t="s">
        <v>784</v>
      </c>
      <c r="F5" s="59" t="s">
        <v>785</v>
      </c>
      <c r="G5" s="59" t="s">
        <v>786</v>
      </c>
      <c r="H5" s="59" t="s">
        <v>787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36"/>
      <c r="C8" s="271"/>
      <c r="D8" s="271"/>
      <c r="E8" s="271"/>
      <c r="F8" s="271"/>
      <c r="G8" s="271"/>
      <c r="H8" s="271"/>
      <c r="I8" s="271"/>
      <c r="J8" s="271"/>
      <c r="K8" s="271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788</v>
      </c>
    </row>
    <row r="3" spans="2:6" x14ac:dyDescent="0.3">
      <c r="B3" t="s">
        <v>789</v>
      </c>
    </row>
    <row r="6" spans="2:6" x14ac:dyDescent="0.3">
      <c r="B6" t="s">
        <v>790</v>
      </c>
      <c r="C6" t="s">
        <v>791</v>
      </c>
      <c r="D6" t="s">
        <v>792</v>
      </c>
      <c r="E6" t="s">
        <v>793</v>
      </c>
      <c r="F6" t="s">
        <v>31</v>
      </c>
    </row>
    <row r="7" spans="2:6" x14ac:dyDescent="0.3">
      <c r="B7" t="s">
        <v>794</v>
      </c>
      <c r="C7" t="s">
        <v>795</v>
      </c>
      <c r="D7" t="s">
        <v>389</v>
      </c>
      <c r="E7" t="s">
        <v>796</v>
      </c>
    </row>
    <row r="8" spans="2:6" x14ac:dyDescent="0.3">
      <c r="B8" t="s">
        <v>797</v>
      </c>
      <c r="C8" t="s">
        <v>798</v>
      </c>
      <c r="D8" t="s">
        <v>799</v>
      </c>
      <c r="E8" t="s">
        <v>800</v>
      </c>
    </row>
    <row r="9" spans="2:6" x14ac:dyDescent="0.3">
      <c r="B9" t="s">
        <v>801</v>
      </c>
      <c r="C9" t="s">
        <v>802</v>
      </c>
      <c r="D9" t="s">
        <v>803</v>
      </c>
      <c r="E9" t="s">
        <v>23</v>
      </c>
      <c r="F9" t="s">
        <v>804</v>
      </c>
    </row>
    <row r="10" spans="2:6" x14ac:dyDescent="0.3">
      <c r="B10" t="s">
        <v>805</v>
      </c>
      <c r="C10" t="s">
        <v>23</v>
      </c>
      <c r="D10" t="s">
        <v>806</v>
      </c>
      <c r="E10" t="s">
        <v>807</v>
      </c>
    </row>
    <row r="11" spans="2:6" x14ac:dyDescent="0.3">
      <c r="B11" t="s">
        <v>530</v>
      </c>
      <c r="C11" t="s">
        <v>808</v>
      </c>
      <c r="D11" t="s">
        <v>809</v>
      </c>
      <c r="E11" t="s">
        <v>810</v>
      </c>
    </row>
    <row r="12" spans="2:6" x14ac:dyDescent="0.3">
      <c r="B12" t="s">
        <v>811</v>
      </c>
      <c r="C12" t="s">
        <v>812</v>
      </c>
      <c r="D12" t="s">
        <v>813</v>
      </c>
      <c r="E12" t="s">
        <v>814</v>
      </c>
      <c r="F12" t="s">
        <v>815</v>
      </c>
    </row>
    <row r="13" spans="2:6" x14ac:dyDescent="0.3">
      <c r="B13" t="s">
        <v>816</v>
      </c>
      <c r="C13" t="s">
        <v>817</v>
      </c>
      <c r="D13" t="s">
        <v>818</v>
      </c>
      <c r="E13" t="s">
        <v>819</v>
      </c>
    </row>
    <row r="16" spans="2:6" x14ac:dyDescent="0.3">
      <c r="B16" t="s">
        <v>820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4" customWidth="1"/>
    <col min="2" max="2" width="30" customWidth="1"/>
    <col min="3" max="8" width="16" customWidth="1"/>
    <col min="9" max="9" width="18" customWidth="1"/>
  </cols>
  <sheetData>
    <row r="1" spans="1:9" ht="4.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37.5" customHeight="1" x14ac:dyDescent="0.3">
      <c r="A2" s="327" t="s">
        <v>821</v>
      </c>
      <c r="B2" s="261"/>
      <c r="C2" s="261"/>
      <c r="D2" s="261"/>
      <c r="E2" s="300" t="s">
        <v>822</v>
      </c>
      <c r="F2" s="261"/>
      <c r="G2" s="261"/>
      <c r="H2" s="261"/>
      <c r="I2" s="261"/>
    </row>
    <row r="3" spans="1:9" ht="3.75" customHeight="1" x14ac:dyDescent="0.3">
      <c r="A3" s="310"/>
      <c r="B3" s="261"/>
      <c r="C3" s="261"/>
      <c r="D3" s="261"/>
      <c r="E3" s="261"/>
      <c r="F3" s="261"/>
      <c r="G3" s="261"/>
      <c r="H3" s="261"/>
      <c r="I3" s="261"/>
    </row>
    <row r="4" spans="1:9" ht="7.5" customHeight="1" x14ac:dyDescent="0.3"/>
    <row r="5" spans="1:9" ht="9.75" customHeight="1" x14ac:dyDescent="0.3"/>
    <row r="6" spans="1:9" ht="21.75" customHeight="1" x14ac:dyDescent="0.3">
      <c r="B6" s="133" t="s">
        <v>823</v>
      </c>
      <c r="C6" s="134">
        <v>2025</v>
      </c>
    </row>
    <row r="7" spans="1:9" ht="7.5" customHeight="1" x14ac:dyDescent="0.3">
      <c r="C7">
        <v>2026</v>
      </c>
    </row>
    <row r="8" spans="1:9" ht="27.75" customHeight="1" x14ac:dyDescent="0.3">
      <c r="B8" s="6"/>
      <c r="C8" s="6"/>
      <c r="D8" s="6"/>
      <c r="E8" s="6"/>
      <c r="F8" s="6"/>
      <c r="G8" s="6"/>
      <c r="H8" s="6"/>
      <c r="I8" s="6"/>
    </row>
    <row r="9" spans="1:9" ht="19.5" customHeight="1" x14ac:dyDescent="0.3">
      <c r="B9" s="285"/>
      <c r="C9" s="286"/>
      <c r="D9" s="286"/>
      <c r="E9" s="286"/>
      <c r="F9" s="286"/>
      <c r="G9" s="286"/>
      <c r="H9" s="286"/>
      <c r="I9" s="286"/>
    </row>
    <row r="10" spans="1:9" ht="18" customHeight="1" x14ac:dyDescent="0.3">
      <c r="B10" s="135"/>
      <c r="C10" s="93"/>
      <c r="D10" s="93"/>
      <c r="E10" s="93"/>
      <c r="F10" s="93"/>
      <c r="G10" s="93"/>
      <c r="H10" s="93"/>
      <c r="I10" s="116"/>
    </row>
    <row r="11" spans="1:9" ht="19.5" customHeight="1" x14ac:dyDescent="0.3">
      <c r="B11" s="285"/>
      <c r="C11" s="286"/>
      <c r="D11" s="286"/>
      <c r="E11" s="286"/>
      <c r="F11" s="286"/>
      <c r="G11" s="286"/>
      <c r="H11" s="286"/>
      <c r="I11" s="286"/>
    </row>
    <row r="12" spans="1:9" ht="18" customHeight="1" x14ac:dyDescent="0.3">
      <c r="B12" s="136"/>
      <c r="C12" s="93"/>
      <c r="D12" s="93"/>
      <c r="E12" s="93"/>
      <c r="F12" s="93"/>
      <c r="G12" s="93"/>
      <c r="H12" s="93"/>
      <c r="I12" s="137"/>
    </row>
    <row r="13" spans="1:9" ht="18" customHeight="1" x14ac:dyDescent="0.3">
      <c r="B13" s="138"/>
      <c r="C13" s="86"/>
      <c r="D13" s="86"/>
      <c r="E13" s="86"/>
      <c r="F13" s="86"/>
      <c r="G13" s="86"/>
      <c r="H13" s="86"/>
      <c r="I13" s="139"/>
    </row>
    <row r="14" spans="1:9" ht="18" customHeight="1" x14ac:dyDescent="0.3">
      <c r="B14" s="140"/>
      <c r="C14" s="114"/>
      <c r="D14" s="114"/>
      <c r="E14" s="114"/>
      <c r="F14" s="114"/>
      <c r="G14" s="114"/>
      <c r="H14" s="114"/>
      <c r="I14" s="114"/>
    </row>
    <row r="15" spans="1:9" ht="18" customHeight="1" x14ac:dyDescent="0.3">
      <c r="B15" s="141"/>
      <c r="C15" s="112"/>
      <c r="D15" s="112"/>
      <c r="E15" s="112"/>
      <c r="F15" s="112"/>
      <c r="G15" s="112"/>
      <c r="H15" s="112"/>
      <c r="I15" s="112"/>
    </row>
    <row r="16" spans="1:9" ht="18" customHeight="1" x14ac:dyDescent="0.3">
      <c r="B16" s="142"/>
      <c r="C16" s="143"/>
      <c r="D16" s="143"/>
      <c r="E16" s="143"/>
      <c r="F16" s="143"/>
      <c r="G16" s="143"/>
      <c r="H16" s="143"/>
      <c r="I16" s="143"/>
    </row>
    <row r="17" spans="2:9" ht="19.5" customHeight="1" x14ac:dyDescent="0.3">
      <c r="B17" s="285"/>
      <c r="C17" s="286"/>
      <c r="D17" s="286"/>
      <c r="E17" s="286"/>
      <c r="F17" s="286"/>
      <c r="G17" s="286"/>
      <c r="H17" s="286"/>
      <c r="I17" s="286"/>
    </row>
    <row r="18" spans="2:9" ht="18" customHeight="1" x14ac:dyDescent="0.3">
      <c r="B18" s="136"/>
      <c r="C18" s="93"/>
      <c r="D18" s="93"/>
      <c r="E18" s="93"/>
      <c r="F18" s="93"/>
      <c r="G18" s="93"/>
      <c r="H18" s="93"/>
      <c r="I18" s="137"/>
    </row>
    <row r="19" spans="2:9" ht="18" customHeight="1" x14ac:dyDescent="0.3">
      <c r="B19" s="138"/>
      <c r="C19" s="86"/>
      <c r="D19" s="86"/>
      <c r="E19" s="86"/>
      <c r="F19" s="86"/>
      <c r="G19" s="86"/>
      <c r="H19" s="86"/>
      <c r="I19" s="139"/>
    </row>
    <row r="20" spans="2:9" ht="18" customHeight="1" x14ac:dyDescent="0.3">
      <c r="B20" s="136"/>
      <c r="C20" s="93"/>
      <c r="D20" s="93"/>
      <c r="E20" s="93"/>
      <c r="F20" s="93"/>
      <c r="G20" s="93"/>
      <c r="H20" s="93"/>
      <c r="I20" s="137"/>
    </row>
    <row r="21" spans="2:9" ht="18" customHeight="1" x14ac:dyDescent="0.3">
      <c r="B21" s="138"/>
      <c r="C21" s="86"/>
      <c r="D21" s="86"/>
      <c r="E21" s="86"/>
      <c r="F21" s="86"/>
      <c r="G21" s="86"/>
      <c r="H21" s="86"/>
      <c r="I21" s="139"/>
    </row>
    <row r="22" spans="2:9" ht="18" customHeight="1" x14ac:dyDescent="0.3">
      <c r="B22" s="136"/>
      <c r="C22" s="93"/>
      <c r="D22" s="93"/>
      <c r="E22" s="93"/>
      <c r="F22" s="93"/>
      <c r="G22" s="93"/>
      <c r="H22" s="93"/>
      <c r="I22" s="137"/>
    </row>
    <row r="23" spans="2:9" ht="18" customHeight="1" x14ac:dyDescent="0.3">
      <c r="B23" s="140"/>
      <c r="C23" s="114"/>
      <c r="D23" s="114"/>
      <c r="E23" s="114"/>
      <c r="F23" s="114"/>
      <c r="G23" s="114"/>
      <c r="H23" s="114"/>
      <c r="I23" s="114"/>
    </row>
    <row r="24" spans="2:9" ht="18" customHeight="1" x14ac:dyDescent="0.3">
      <c r="B24" s="144"/>
      <c r="C24" s="145"/>
      <c r="D24" s="145"/>
      <c r="E24" s="145"/>
      <c r="F24" s="145"/>
      <c r="G24" s="145"/>
      <c r="H24" s="145"/>
      <c r="I24" s="145"/>
    </row>
    <row r="25" spans="2:9" ht="18" customHeight="1" x14ac:dyDescent="0.3">
      <c r="B25" s="146"/>
      <c r="C25" s="147"/>
      <c r="D25" s="147"/>
      <c r="E25" s="147"/>
      <c r="F25" s="147"/>
      <c r="G25" s="147"/>
      <c r="H25" s="147"/>
      <c r="I25" s="147"/>
    </row>
    <row r="26" spans="2:9" ht="18" customHeight="1" x14ac:dyDescent="0.3">
      <c r="B26" s="136"/>
      <c r="C26" s="93"/>
      <c r="D26" s="93"/>
      <c r="E26" s="93"/>
      <c r="F26" s="93"/>
      <c r="G26" s="93"/>
      <c r="H26" s="93"/>
      <c r="I26" s="137"/>
    </row>
    <row r="27" spans="2:9" ht="18" customHeight="1" x14ac:dyDescent="0.3">
      <c r="B27" s="138"/>
      <c r="C27" s="86"/>
      <c r="D27" s="86"/>
      <c r="E27" s="86"/>
      <c r="F27" s="86"/>
      <c r="G27" s="86"/>
      <c r="H27" s="86"/>
      <c r="I27" s="139"/>
    </row>
    <row r="28" spans="2:9" ht="18" customHeight="1" x14ac:dyDescent="0.3">
      <c r="B28" s="141"/>
      <c r="C28" s="112"/>
      <c r="D28" s="112"/>
      <c r="E28" s="112"/>
      <c r="F28" s="112"/>
      <c r="G28" s="112"/>
      <c r="H28" s="112"/>
      <c r="I28" s="112"/>
    </row>
    <row r="29" spans="2:9" ht="18" customHeight="1" x14ac:dyDescent="0.3">
      <c r="B29" s="142"/>
      <c r="C29" s="143"/>
      <c r="D29" s="143"/>
      <c r="E29" s="143"/>
      <c r="F29" s="143"/>
      <c r="G29" s="143"/>
      <c r="H29" s="143"/>
      <c r="I29" s="143"/>
    </row>
    <row r="30" spans="2:9" ht="19.5" customHeight="1" x14ac:dyDescent="0.3">
      <c r="B30" s="285"/>
      <c r="C30" s="286"/>
      <c r="D30" s="286"/>
      <c r="E30" s="286"/>
      <c r="F30" s="286"/>
      <c r="G30" s="286"/>
      <c r="H30" s="286"/>
      <c r="I30" s="286"/>
    </row>
    <row r="31" spans="2:9" ht="18" customHeight="1" x14ac:dyDescent="0.3">
      <c r="B31" s="109"/>
      <c r="C31" s="111"/>
      <c r="D31" s="111"/>
      <c r="E31" s="111"/>
      <c r="F31" s="111"/>
      <c r="G31" s="111"/>
      <c r="H31" s="111"/>
      <c r="I31" s="148"/>
    </row>
    <row r="32" spans="2:9" ht="18" customHeight="1" x14ac:dyDescent="0.3">
      <c r="B32" s="115"/>
      <c r="C32" s="149"/>
      <c r="D32" s="149"/>
      <c r="E32" s="149"/>
      <c r="F32" s="149"/>
      <c r="G32" s="149"/>
      <c r="H32" s="149"/>
      <c r="I32" s="149"/>
    </row>
    <row r="33" spans="2:9" ht="18" customHeight="1" x14ac:dyDescent="0.3">
      <c r="B33" s="109"/>
      <c r="C33" s="111"/>
      <c r="D33" s="111"/>
      <c r="E33" s="111"/>
      <c r="F33" s="111"/>
      <c r="G33" s="111"/>
      <c r="H33" s="111"/>
      <c r="I33" s="148"/>
    </row>
    <row r="34" spans="2:9" ht="18" customHeight="1" x14ac:dyDescent="0.3">
      <c r="B34" s="115"/>
      <c r="C34" s="149"/>
      <c r="D34" s="149"/>
      <c r="E34" s="149"/>
      <c r="F34" s="149"/>
      <c r="G34" s="149"/>
      <c r="H34" s="149"/>
      <c r="I34" s="149"/>
    </row>
    <row r="35" spans="2:9" ht="7.5" customHeight="1" x14ac:dyDescent="0.3"/>
    <row r="36" spans="2:9" ht="19.5" customHeight="1" x14ac:dyDescent="0.3">
      <c r="B36" s="285"/>
      <c r="C36" s="286"/>
      <c r="D36" s="286"/>
      <c r="E36" s="286"/>
      <c r="F36" s="286"/>
      <c r="G36" s="286"/>
      <c r="H36" s="286"/>
      <c r="I36" s="286"/>
    </row>
    <row r="37" spans="2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2:9" ht="18" customHeight="1" x14ac:dyDescent="0.3">
      <c r="B38" s="135"/>
      <c r="C38" s="93"/>
      <c r="D38" s="93"/>
      <c r="E38" s="93"/>
      <c r="F38" s="93"/>
      <c r="G38" s="93"/>
      <c r="H38" s="93"/>
      <c r="I38" s="93"/>
    </row>
    <row r="39" spans="2:9" ht="18" customHeight="1" x14ac:dyDescent="0.3">
      <c r="B39" s="136"/>
      <c r="C39" s="93"/>
      <c r="D39" s="93"/>
      <c r="E39" s="93"/>
      <c r="F39" s="93"/>
      <c r="G39" s="93"/>
      <c r="H39" s="93"/>
      <c r="I39" s="93"/>
    </row>
    <row r="40" spans="2:9" ht="18" customHeight="1" x14ac:dyDescent="0.3">
      <c r="B40" s="138"/>
      <c r="C40" s="86"/>
      <c r="D40" s="86"/>
      <c r="E40" s="86"/>
      <c r="F40" s="86"/>
      <c r="G40" s="86"/>
      <c r="H40" s="86"/>
      <c r="I40" s="86"/>
    </row>
    <row r="41" spans="2:9" ht="18" customHeight="1" x14ac:dyDescent="0.3">
      <c r="B41" s="140"/>
      <c r="C41" s="150"/>
      <c r="D41" s="150"/>
      <c r="E41" s="150"/>
      <c r="F41" s="150"/>
      <c r="G41" s="150"/>
      <c r="H41" s="150"/>
      <c r="I41" s="150"/>
    </row>
    <row r="42" spans="2:9" ht="18" customHeight="1" x14ac:dyDescent="0.3">
      <c r="B42" s="141"/>
      <c r="C42" s="151"/>
      <c r="D42" s="151"/>
      <c r="E42" s="151"/>
      <c r="F42" s="151"/>
      <c r="G42" s="151"/>
      <c r="H42" s="151"/>
      <c r="I42" s="151"/>
    </row>
    <row r="43" spans="2:9" ht="18" customHeight="1" x14ac:dyDescent="0.3">
      <c r="B43" s="135"/>
      <c r="C43" s="119"/>
      <c r="D43" s="119"/>
      <c r="E43" s="119"/>
      <c r="F43" s="119"/>
      <c r="G43" s="119"/>
      <c r="H43" s="119"/>
      <c r="I43" s="119"/>
    </row>
    <row r="44" spans="2:9" ht="18" customHeight="1" x14ac:dyDescent="0.3">
      <c r="B44" s="136"/>
      <c r="C44" s="93"/>
      <c r="D44" s="93"/>
      <c r="E44" s="93"/>
      <c r="F44" s="93"/>
      <c r="G44" s="93"/>
      <c r="H44" s="93"/>
      <c r="I44" s="93"/>
    </row>
    <row r="45" spans="2:9" ht="18" customHeight="1" x14ac:dyDescent="0.3">
      <c r="B45" s="138"/>
      <c r="C45" s="86"/>
      <c r="D45" s="86"/>
      <c r="E45" s="86"/>
      <c r="F45" s="86"/>
      <c r="G45" s="86"/>
      <c r="H45" s="86"/>
      <c r="I45" s="86"/>
    </row>
    <row r="46" spans="2:9" ht="18" customHeight="1" x14ac:dyDescent="0.3">
      <c r="B46" s="136"/>
      <c r="C46" s="93"/>
      <c r="D46" s="93"/>
      <c r="E46" s="93"/>
      <c r="F46" s="93"/>
      <c r="G46" s="93"/>
      <c r="H46" s="93"/>
      <c r="I46" s="93"/>
    </row>
    <row r="47" spans="2:9" ht="18" customHeight="1" x14ac:dyDescent="0.3">
      <c r="B47" s="138"/>
      <c r="C47" s="86"/>
      <c r="D47" s="86"/>
      <c r="E47" s="86"/>
      <c r="F47" s="86"/>
      <c r="G47" s="86"/>
      <c r="H47" s="86"/>
      <c r="I47" s="86"/>
    </row>
    <row r="48" spans="2:9" ht="18" customHeight="1" x14ac:dyDescent="0.3">
      <c r="B48" s="136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40"/>
      <c r="C49" s="150"/>
      <c r="D49" s="150"/>
      <c r="E49" s="150"/>
      <c r="F49" s="150"/>
      <c r="G49" s="150"/>
      <c r="H49" s="150"/>
      <c r="I49" s="150"/>
    </row>
    <row r="50" spans="2:9" ht="18" customHeight="1" x14ac:dyDescent="0.3">
      <c r="B50" s="152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3"/>
      <c r="D51" s="113"/>
      <c r="E51" s="113"/>
      <c r="F51" s="113"/>
      <c r="G51" s="113"/>
      <c r="H51" s="113"/>
      <c r="I51" s="113"/>
    </row>
    <row r="52" spans="2:9" ht="18" customHeight="1" x14ac:dyDescent="0.3">
      <c r="B52" s="136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8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41"/>
      <c r="C54" s="151"/>
      <c r="D54" s="151"/>
      <c r="E54" s="151"/>
      <c r="F54" s="151"/>
      <c r="G54" s="151"/>
      <c r="H54" s="151"/>
      <c r="I54" s="151"/>
    </row>
    <row r="55" spans="2:9" ht="18" customHeight="1" x14ac:dyDescent="0.3">
      <c r="B55" s="153"/>
      <c r="C55" s="113"/>
      <c r="D55" s="113"/>
      <c r="E55" s="113"/>
      <c r="F55" s="113"/>
      <c r="G55" s="113"/>
      <c r="H55" s="113"/>
      <c r="I55" s="113"/>
    </row>
    <row r="56" spans="2:9" ht="18" customHeight="1" x14ac:dyDescent="0.3">
      <c r="B56" s="109"/>
      <c r="C56" s="111"/>
      <c r="D56" s="111"/>
      <c r="E56" s="111"/>
      <c r="F56" s="111"/>
      <c r="G56" s="111"/>
      <c r="H56" s="111"/>
      <c r="I56" s="111"/>
    </row>
    <row r="57" spans="2:9" ht="18" customHeight="1" x14ac:dyDescent="0.3">
      <c r="B57" s="115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09"/>
      <c r="C58" s="111"/>
      <c r="D58" s="111"/>
      <c r="E58" s="111"/>
      <c r="F58" s="111"/>
      <c r="G58" s="111"/>
      <c r="H58" s="111"/>
      <c r="I58" s="111"/>
    </row>
    <row r="59" spans="2:9" ht="18" customHeight="1" x14ac:dyDescent="0.3">
      <c r="B59" s="115"/>
      <c r="C59" s="93"/>
      <c r="D59" s="93"/>
      <c r="E59" s="93"/>
      <c r="F59" s="93"/>
      <c r="G59" s="93"/>
      <c r="H59" s="93"/>
      <c r="I59" s="93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824</v>
      </c>
      <c r="C2" t="s">
        <v>824</v>
      </c>
      <c r="D2" t="s">
        <v>824</v>
      </c>
      <c r="E2" t="s">
        <v>824</v>
      </c>
      <c r="F2" t="s">
        <v>824</v>
      </c>
      <c r="G2" t="s">
        <v>824</v>
      </c>
      <c r="H2" t="s">
        <v>824</v>
      </c>
      <c r="I2" t="s">
        <v>824</v>
      </c>
    </row>
    <row r="4" spans="2:9" x14ac:dyDescent="0.3">
      <c r="B4" t="s">
        <v>825</v>
      </c>
      <c r="C4" t="s">
        <v>826</v>
      </c>
      <c r="D4" t="s">
        <v>79</v>
      </c>
      <c r="E4" t="s">
        <v>827</v>
      </c>
      <c r="F4" t="s">
        <v>828</v>
      </c>
      <c r="G4" t="s">
        <v>829</v>
      </c>
      <c r="H4" t="s">
        <v>84</v>
      </c>
      <c r="I4" t="s">
        <v>31</v>
      </c>
    </row>
    <row r="5" spans="2:9" x14ac:dyDescent="0.3">
      <c r="B5" t="s">
        <v>336</v>
      </c>
      <c r="C5" t="s">
        <v>830</v>
      </c>
      <c r="D5" t="s">
        <v>831</v>
      </c>
      <c r="E5">
        <v>25</v>
      </c>
      <c r="F5">
        <v>140</v>
      </c>
      <c r="G5">
        <v>3500</v>
      </c>
      <c r="H5" t="s">
        <v>832</v>
      </c>
      <c r="I5" t="s">
        <v>833</v>
      </c>
    </row>
    <row r="7" spans="2:9" x14ac:dyDescent="0.3">
      <c r="B7" t="s">
        <v>834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835</v>
      </c>
    </row>
    <row r="3" spans="2:6" x14ac:dyDescent="0.3">
      <c r="B3" t="s">
        <v>836</v>
      </c>
    </row>
    <row r="6" spans="2:6" x14ac:dyDescent="0.3">
      <c r="B6" t="s">
        <v>837</v>
      </c>
    </row>
    <row r="7" spans="2:6" x14ac:dyDescent="0.3">
      <c r="B7" t="s">
        <v>838</v>
      </c>
      <c r="D7" t="s">
        <v>839</v>
      </c>
      <c r="F7" t="s">
        <v>43</v>
      </c>
    </row>
    <row r="8" spans="2:6" x14ac:dyDescent="0.3">
      <c r="B8" t="s">
        <v>840</v>
      </c>
      <c r="D8">
        <v>24484</v>
      </c>
      <c r="F8" t="s">
        <v>841</v>
      </c>
    </row>
    <row r="9" spans="2:6" x14ac:dyDescent="0.3">
      <c r="B9" t="s">
        <v>842</v>
      </c>
      <c r="D9">
        <v>18157</v>
      </c>
      <c r="F9" t="s">
        <v>843</v>
      </c>
    </row>
    <row r="10" spans="2:6" x14ac:dyDescent="0.3">
      <c r="B10" t="s">
        <v>844</v>
      </c>
      <c r="D10">
        <v>1030</v>
      </c>
      <c r="F10" t="s">
        <v>845</v>
      </c>
    </row>
    <row r="11" spans="2:6" x14ac:dyDescent="0.3">
      <c r="B11" t="s">
        <v>846</v>
      </c>
      <c r="D11">
        <v>168</v>
      </c>
      <c r="F11" t="s">
        <v>847</v>
      </c>
    </row>
    <row r="12" spans="2:6" x14ac:dyDescent="0.3">
      <c r="B12" t="s">
        <v>848</v>
      </c>
      <c r="D12">
        <v>1198</v>
      </c>
      <c r="F12" t="s">
        <v>849</v>
      </c>
    </row>
    <row r="13" spans="2:6" x14ac:dyDescent="0.3">
      <c r="B13" t="s">
        <v>850</v>
      </c>
      <c r="D13">
        <v>16959</v>
      </c>
      <c r="F13" t="s">
        <v>851</v>
      </c>
    </row>
    <row r="14" spans="2:6" x14ac:dyDescent="0.3">
      <c r="B14" t="s">
        <v>852</v>
      </c>
      <c r="D14">
        <v>7525</v>
      </c>
      <c r="F14" t="e">
        <f>Revenue - Expenses excl. propinas</f>
        <v>#NAME?</v>
      </c>
    </row>
    <row r="16" spans="2:6" x14ac:dyDescent="0.3">
      <c r="B16" t="s">
        <v>853</v>
      </c>
    </row>
    <row r="17" spans="2:7" x14ac:dyDescent="0.3">
      <c r="B17" t="s">
        <v>854</v>
      </c>
      <c r="D17">
        <v>5553</v>
      </c>
      <c r="F17" t="s">
        <v>855</v>
      </c>
    </row>
    <row r="18" spans="2:7" x14ac:dyDescent="0.3">
      <c r="B18" t="s">
        <v>856</v>
      </c>
      <c r="D18">
        <v>3170</v>
      </c>
      <c r="F18" t="s">
        <v>857</v>
      </c>
    </row>
    <row r="19" spans="2:7" x14ac:dyDescent="0.3">
      <c r="B19" t="s">
        <v>858</v>
      </c>
      <c r="D19">
        <v>8723</v>
      </c>
      <c r="F19" t="s">
        <v>859</v>
      </c>
    </row>
    <row r="21" spans="2:7" x14ac:dyDescent="0.3">
      <c r="B21" t="s">
        <v>860</v>
      </c>
    </row>
    <row r="22" spans="2:7" x14ac:dyDescent="0.3">
      <c r="B22" t="s">
        <v>861</v>
      </c>
      <c r="D22">
        <v>1198</v>
      </c>
      <c r="F22" t="e">
        <f>Closing Balance - Net (excl. propinas)</f>
        <v>#NAME?</v>
      </c>
    </row>
    <row r="24" spans="2:7" x14ac:dyDescent="0.3">
      <c r="B24" t="s">
        <v>862</v>
      </c>
    </row>
    <row r="25" spans="2:7" x14ac:dyDescent="0.3">
      <c r="B25" t="s">
        <v>3</v>
      </c>
      <c r="C25" t="s">
        <v>4</v>
      </c>
      <c r="D25" t="s">
        <v>13</v>
      </c>
      <c r="F25" t="s">
        <v>863</v>
      </c>
      <c r="G25" t="s">
        <v>864</v>
      </c>
    </row>
    <row r="26" spans="2:7" x14ac:dyDescent="0.3">
      <c r="B26" t="s">
        <v>15</v>
      </c>
      <c r="C26" t="s">
        <v>16</v>
      </c>
      <c r="D26">
        <v>6</v>
      </c>
      <c r="F26">
        <v>515</v>
      </c>
      <c r="G26" t="s">
        <v>315</v>
      </c>
    </row>
    <row r="27" spans="2:7" x14ac:dyDescent="0.3">
      <c r="B27" t="s">
        <v>19</v>
      </c>
      <c r="C27" t="s">
        <v>865</v>
      </c>
      <c r="D27">
        <v>6</v>
      </c>
      <c r="F27">
        <v>515</v>
      </c>
      <c r="G27" t="s">
        <v>315</v>
      </c>
    </row>
    <row r="28" spans="2:7" x14ac:dyDescent="0.3">
      <c r="B28" t="s">
        <v>866</v>
      </c>
      <c r="C28" t="s">
        <v>867</v>
      </c>
      <c r="D28">
        <v>2</v>
      </c>
      <c r="F28">
        <v>168</v>
      </c>
      <c r="G28" t="s">
        <v>151</v>
      </c>
    </row>
    <row r="29" spans="2:7" x14ac:dyDescent="0.3">
      <c r="B29" t="s">
        <v>868</v>
      </c>
      <c r="F29">
        <v>1198</v>
      </c>
    </row>
    <row r="30" spans="2:7" x14ac:dyDescent="0.3">
      <c r="B30" t="s">
        <v>869</v>
      </c>
      <c r="F30">
        <v>0</v>
      </c>
      <c r="G30" t="s">
        <v>870</v>
      </c>
    </row>
    <row r="34" spans="2:4" x14ac:dyDescent="0.3">
      <c r="B34" t="s">
        <v>871</v>
      </c>
    </row>
    <row r="35" spans="2:4" x14ac:dyDescent="0.3">
      <c r="B35" t="s">
        <v>838</v>
      </c>
      <c r="C35" t="s">
        <v>839</v>
      </c>
      <c r="D35" t="s">
        <v>43</v>
      </c>
    </row>
    <row r="36" spans="2:4" x14ac:dyDescent="0.3">
      <c r="B36" t="s">
        <v>872</v>
      </c>
      <c r="D36" t="s">
        <v>873</v>
      </c>
    </row>
    <row r="37" spans="2:4" x14ac:dyDescent="0.3">
      <c r="B37" t="s">
        <v>842</v>
      </c>
    </row>
    <row r="38" spans="2:4" x14ac:dyDescent="0.3">
      <c r="B38" t="s">
        <v>844</v>
      </c>
    </row>
    <row r="39" spans="2:4" x14ac:dyDescent="0.3">
      <c r="B39" t="s">
        <v>846</v>
      </c>
    </row>
    <row r="40" spans="2:4" x14ac:dyDescent="0.3">
      <c r="B40" t="s">
        <v>848</v>
      </c>
    </row>
    <row r="41" spans="2:4" x14ac:dyDescent="0.3">
      <c r="B41" t="s">
        <v>850</v>
      </c>
    </row>
    <row r="42" spans="2:4" x14ac:dyDescent="0.3">
      <c r="B42" t="s">
        <v>852</v>
      </c>
    </row>
    <row r="44" spans="2:4" x14ac:dyDescent="0.3">
      <c r="B44" t="s">
        <v>853</v>
      </c>
    </row>
    <row r="45" spans="2:4" x14ac:dyDescent="0.3">
      <c r="B45" t="s">
        <v>854</v>
      </c>
      <c r="D45" t="s">
        <v>874</v>
      </c>
    </row>
    <row r="46" spans="2:4" x14ac:dyDescent="0.3">
      <c r="B46" t="s">
        <v>856</v>
      </c>
      <c r="D46" t="s">
        <v>874</v>
      </c>
    </row>
    <row r="47" spans="2:4" x14ac:dyDescent="0.3">
      <c r="B47" t="s">
        <v>858</v>
      </c>
      <c r="D47" t="e">
        <f>MP + Cash</f>
        <v>#NAME?</v>
      </c>
    </row>
    <row r="49" spans="2:7" x14ac:dyDescent="0.3">
      <c r="B49" t="s">
        <v>860</v>
      </c>
    </row>
    <row r="50" spans="2:7" x14ac:dyDescent="0.3">
      <c r="B50" t="s">
        <v>861</v>
      </c>
      <c r="D50" t="e">
        <f>Closing Balance - Net (excl. propinas)</f>
        <v>#NAME?</v>
      </c>
    </row>
    <row r="52" spans="2:7" x14ac:dyDescent="0.3">
      <c r="B52" t="s">
        <v>862</v>
      </c>
    </row>
    <row r="53" spans="2:7" x14ac:dyDescent="0.3">
      <c r="B53" t="s">
        <v>3</v>
      </c>
      <c r="C53" t="s">
        <v>4</v>
      </c>
      <c r="D53" t="s">
        <v>13</v>
      </c>
      <c r="F53" t="s">
        <v>863</v>
      </c>
      <c r="G53" t="s">
        <v>864</v>
      </c>
    </row>
    <row r="54" spans="2:7" x14ac:dyDescent="0.3">
      <c r="B54" t="s">
        <v>15</v>
      </c>
      <c r="C54" t="s">
        <v>16</v>
      </c>
    </row>
    <row r="55" spans="2:7" x14ac:dyDescent="0.3">
      <c r="B55" t="s">
        <v>19</v>
      </c>
      <c r="C55" t="s">
        <v>865</v>
      </c>
    </row>
    <row r="56" spans="2:7" x14ac:dyDescent="0.3">
      <c r="B56" t="s">
        <v>875</v>
      </c>
      <c r="C56" t="s">
        <v>876</v>
      </c>
      <c r="D56">
        <v>0</v>
      </c>
      <c r="F56">
        <v>0</v>
      </c>
      <c r="G56" t="s">
        <v>877</v>
      </c>
    </row>
    <row r="57" spans="2:7" x14ac:dyDescent="0.3">
      <c r="B57" t="s">
        <v>868</v>
      </c>
    </row>
    <row r="58" spans="2:7" x14ac:dyDescent="0.3">
      <c r="B58" t="s">
        <v>869</v>
      </c>
      <c r="G58" t="s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2026-06-09T03:48:13Z</dcterms:modified>
  <dc:language>en-US</dc:language>
</cp:coreProperties>
</file>