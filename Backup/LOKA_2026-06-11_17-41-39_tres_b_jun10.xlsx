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1089.81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/>
      <c r="E32" s="37" t="n"/>
      <c r="F32" s="38">
        <f>IFERROR(D32+E32+G32,0)</f>
        <v/>
      </c>
      <c r="G32" s="39" t="n"/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Expenses logged — revenue pending EOD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74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74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74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Restaurant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Restaurant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9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</t>
        </is>
      </c>
      <c r="B12" s="98" t="inlineStr">
        <is>
          <t>Mesero / Waiter</t>
        </is>
      </c>
      <c r="C12" s="99" t="n">
        <v>333.33</v>
      </c>
      <c r="D12" s="100" t="inlineStr">
        <is>
          <t>Full Day</t>
        </is>
      </c>
      <c r="E12" s="100" t="inlineStr">
        <is>
          <t>Full Day</t>
        </is>
      </c>
      <c r="F12" s="100" t="inlineStr">
        <is>
          <t>Full Day</t>
        </is>
      </c>
      <c r="G12" s="100" t="inlineStr">
        <is>
          <t>Full Day</t>
        </is>
      </c>
      <c r="H12" s="100" t="inlineStr">
        <is>
          <t>Full Day</t>
        </is>
      </c>
      <c r="I12" s="100" t="inlineStr">
        <is>
          <t>Full Day</t>
        </is>
      </c>
      <c r="J12" s="100" t="inlineStr">
        <is>
          <t>Day Off</t>
        </is>
      </c>
      <c r="K12" s="101">
        <f>COUNTIF(D12:J12,"Full Day")</f>
        <v/>
      </c>
      <c r="L12" s="102">
        <f>K12*C12</f>
        <v/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133.33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Full Day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</t>
        </is>
      </c>
      <c r="B37" s="222" t="n">
        <v>2000</v>
      </c>
      <c r="C37" s="259" t="n">
        <v>8000</v>
      </c>
      <c r="D37" s="260" t="inlineStr">
        <is>
          <t>Confirmed — $2,000/week | $333.33/day | Start 9 Jun 2026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$133.33/day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26" t="inlineStr">
        <is>
          <t>TOTALS &amp; CURRENT BALANCE</t>
        </is>
      </c>
      <c r="B74" s="219" t="n"/>
      <c r="C74" s="219" t="n"/>
      <c r="D74" s="256">
        <f>SUM(D63:D73)</f>
        <v/>
      </c>
      <c r="E74" s="257">
        <f>SUM(E63:E73)</f>
        <v/>
      </c>
      <c r="F74" s="258">
        <f>F73</f>
        <v/>
      </c>
      <c r="G74" s="226">
        <f>IF(F73&gt;0,"⏳ Restaurant owes Lohith $"&amp;TEXT(F73,"#,##0"),IF(F73&lt;0,"💵 Lohith holds $"&amp;TEXT(ABS(F73),"#,##0"),"✅ Zero balance"))</f>
        <v/>
      </c>
    </row>
    <row r="76">
      <c r="A76" s="242" t="inlineStr">
        <is>
          <t>HOW TO USE: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Add new rows above TOTALS. Spent by Lohith = restaurant expenses he paid personally.</t>
        </is>
      </c>
      <c r="B77" s="242" t="n"/>
      <c r="C77" s="242" t="n"/>
      <c r="D77" s="242" t="n"/>
      <c r="E77" s="242" t="n"/>
      <c r="F77" s="242" t="n"/>
      <c r="G77" s="242" t="n"/>
      <c r="H77" s="242" t="n"/>
    </row>
    <row r="78">
      <c r="A78" s="242" t="inlineStr">
        <is>
          <t>Transferred to Lohith = customer bank transfers received in his personal account.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Positive balance = restaurant owes Lohith. Negative = Lohith holds restaurant funds.</t>
        </is>
      </c>
      <c r="B79" s="242" t="n"/>
      <c r="C79" s="242" t="n"/>
      <c r="D79" s="242" t="n"/>
      <c r="E79" s="242" t="n"/>
      <c r="F79" s="242" t="n"/>
      <c r="G79" s="242" t="n"/>
      <c r="H79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2026-06-11T23:32:16Z</dcterms:modified>
  <cp:lastModifiedBy>LOHITH REDDY</cp:lastModifiedBy>
</cp:coreProperties>
</file>