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22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18442</v>
      </c>
      <c r="E147" s="286" t="inlineStr">
        <is>
          <t>Operating costs funded from partner capital, net of repayments. Latest addition 22-Sep-2026 $18,442.00. Still owed by Operations: $18,442.00.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Moved INTO company account (capital deposits + repayments kept there)</t>
        </is>
      </c>
      <c r="C169" s="452" t="n">
        <v>125934</v>
      </c>
      <c r="E169" t="inlineStr">
        <is>
          <t>22-Sep-2026: +$125,934.00 Lohith moved all remaining capital to company account.</t>
        </is>
      </c>
    </row>
    <row r="170">
      <c r="B170" s="319" t="inlineStr">
        <is>
          <t xml:space="preserve">   Drawn from reserve (bills paid with capital from company account)</t>
        </is>
      </c>
      <c r="C170" s="452" t="n">
        <v>-18442</v>
      </c>
      <c r="E170" t="inlineStr">
        <is>
          <t>Cumulative draws (menu 5). Negative number. | 22-Sep-2026: -$18,442.00 Impuestos junio, julio y agosto 2026, Honorarios Julio Contador</t>
        </is>
      </c>
    </row>
    <row r="171">
      <c r="B171" s="317" t="inlineStr">
        <is>
          <t>CAPITAL RESERVE BALANCE (in company account)</t>
        </is>
      </c>
      <c r="C171" s="453">
        <f>C169+C170</f>
        <v/>
      </c>
      <c r="E171" t="inlineStr">
        <is>
          <t>Counted in the bank at a cash count, but NOT operating cash. Recount subtracts it.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2710.0</v>
      </c>
      <c r="G6" s="31">
        <f>SUMIFS($G$8:$G$5000,$B$8:$B$5000,TODAY())</f>
        <v>0.0</v>
      </c>
      <c r="H6" s="28">
        <f>SUMIFS($H$8:$H$5000,$B$8:$B$5000,TODAY())</f>
        <v>0.0</v>
      </c>
      <c r="I6" s="32">
        <f>F6-H6</f>
        <v>2710.0</v>
      </c>
      <c r="J6">
        <f>IFERROR(I6/F6,0)</f>
        <v>1.0</v>
      </c>
      <c r="K6" s="28" t="n"/>
      <c r="L6" s="31" t="n"/>
      <c r="M6" s="28">
        <f>SUMIFS($F$8:$F$5000,$B$8:$B$5000,"&gt;="&amp;(TODAY()-WEEKDAY(TODAY(),2)+1),$B$8:$B$5000,"&lt;"&amp;(TODAY()-WEEKDAY(TODAY(),2)+8))</f>
        <v>22255.0</v>
      </c>
      <c r="N6" s="33">
        <f>SUMIFS($F$8:$F$5000,$B$8:$B$5000,"&gt;="&amp;(TODAY()-WEEKDAY(TODAY(),2)+1),$B$8:$B$5000,"&lt;"&amp;(TODAY()-WEEKDAY(TODAY(),2)+8))</f>
        <v>22255.0</v>
      </c>
      <c r="O6" s="33">
        <f>SUMIFS($F$8:$F$5000,$B$8:$B$5000,"&gt;="&amp;DATE(YEAR(TODAY()),MONTH(TODAY()),1),$B$8:$B$5000,"&lt;"&amp;DATE(YEAR(TODAY()),MONTH(TODAY())+1,1))</f>
        <v>95835.0</v>
      </c>
      <c r="P6">
        <f>SUMIFS('💸 Expenses'!$F$8:$F$5000,'💸 Expenses'!$B$8:$B$5000,"&gt;="&amp;(TODAY()-WEEKDAY(TODAY(),2)+1),'💸 Expenses'!$B$8:$B$5000,"&lt;"&amp;(TODAY()-WEEKDAY(TODAY(),2)+8))</f>
        <v>31943.0</v>
      </c>
      <c r="Q6">
        <f>M6-P6</f>
        <v>-9688.0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0.0</v>
      </c>
      <c r="I125" s="259">
        <f>IFERROR(F125-H125,0)</f>
        <v>2710.0</v>
      </c>
      <c r="J125" s="260">
        <f>IFERROR(I125/F125,0)</f>
        <v>1.0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07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Capital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con capital - reserva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Capital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con capital - reserva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Pantry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Bread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Dairy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Utilities/Electricity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Utilities/Internet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Ingredients - Other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Software/Subscription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3" t="n"/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3" t="n"/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inlineStr">
        <is>
          <t>TOTALS &amp; CURRENT BALANCE</t>
        </is>
      </c>
      <c r="B98" s="232" t="n"/>
      <c r="C98" s="232" t="n"/>
      <c r="D98" s="232">
        <f>SUM(D4:D97)</f>
        <v/>
      </c>
      <c r="E98" s="233">
        <f>SUM(E4:E97)</f>
        <v/>
      </c>
      <c r="F98" s="233">
        <f>F97</f>
        <v/>
      </c>
      <c r="G98" s="232">
        <f>IF(F97&gt;0,"Restaurant owes Lohith $"&amp;TEXT(F97,"#,##0"),IF(F97&lt;0,"Lohith holds $"&amp;TEXT(ABS(F97),"#,##0"),"Zero balance"))</f>
        <v/>
      </c>
      <c r="H98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2026-09-26T22:56:30Z</dcterms:modified>
  <cp:lastModifiedBy>LOHITH REDDY</cp:lastModifiedBy>
</cp:coreProperties>
</file>