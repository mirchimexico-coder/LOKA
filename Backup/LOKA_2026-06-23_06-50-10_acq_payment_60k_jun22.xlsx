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$68,235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B26" s="149" t="n"/>
      <c r="C26" s="180" t="n"/>
      <c r="D26" s="157" t="n"/>
      <c r="E26" s="172" t="n"/>
      <c r="F26" s="172" t="n"/>
      <c r="G26" s="149" t="n"/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$306,235 paid (Jun 3-19) − $15,530 electricity offset = $68,235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($385,000 BALANCE DUE)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Advance Credited ($)</t>
        </is>
      </c>
      <c r="F105" s="170" t="inlineStr">
        <is>
          <t>Balance Owed to Prev. Owners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D14</f>
        <v/>
      </c>
      <c r="F106" s="161">
        <f>D106-E106</f>
        <v/>
      </c>
      <c r="G106" s="139" t="inlineStr">
        <is>
          <t>⏳ Pending — $134,500 balance outstanding</t>
        </is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 t="n">
        <v>0</v>
      </c>
      <c r="F107" s="163">
        <f>D107-E107</f>
        <v/>
      </c>
      <c r="G107" s="141" t="inlineStr">
        <is>
          <t>⏳ Pending — $134,500 balance outstanding</t>
        </is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 t="n">
        <v>0</v>
      </c>
      <c r="F108" s="161">
        <f>D108-E108</f>
        <v/>
      </c>
      <c r="G108" s="139" t="inlineStr">
        <is>
          <t>⏳ Pending — $134,500 balance outstanding</t>
        </is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+ Jun 19 $50,735)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2394</v>
      </c>
      <c r="E43" s="49" t="n">
        <v>1665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8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8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Beverages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Pantry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Software / Subscription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Staff - Advance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Utilities / Internet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Packaging / Disposables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Ingredients - Desserts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Staff - Propinas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Office Supplies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Ingredients - Produce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77" t="inlineStr">
        <is>
          <t>TOTAL EXPENSES</t>
        </is>
      </c>
      <c r="B41" s="379">
        <f>SUMIFS('💸 Expenses'!$F$8:$F$500,'💸 Expenses'!$B$8:$B$500,"&gt;="&amp;DATE(2026,5,1),'💸 Expenses'!$B$8:$B$500,"&lt;"&amp;DATE(2026,6,1))</f>
        <v/>
      </c>
      <c r="C41" s="379">
        <f>SUMIFS('💸 Expenses'!$F$8:$F$500,'💸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NET PROFIT / LOSS</t>
        </is>
      </c>
      <c r="B42" s="379">
        <f>B4-B41</f>
        <v/>
      </c>
      <c r="C42" s="379">
        <f>C4-C41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4" t="n"/>
      <c r="B43" s="374" t="n"/>
      <c r="C43" s="374" t="n"/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2026-06-23T12:43:37Z</dcterms:modified>
  <cp:lastModifiedBy>LOHITH REDDY</cp:lastModifiedBy>
</cp:coreProperties>
</file>