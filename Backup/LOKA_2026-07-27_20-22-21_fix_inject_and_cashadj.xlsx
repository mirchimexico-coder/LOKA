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4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5" fontId="46" fillId="19" borderId="15" applyAlignment="1" pivotButton="0" quotePrefix="0" xfId="0">
      <alignment horizontal="center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>928.0</v>
      </c>
      <c r="I6" s="32">
        <f>F6-H6</f>
        <v>2252.0</v>
      </c>
      <c r="J6">
        <f>IFERROR(I6/F6,0)</f>
        <v>0.708176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/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/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/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420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434" t="n"/>
      <c r="N74" s="435" t="n"/>
      <c r="O74" s="436" t="n"/>
      <c r="P74" s="437" t="n"/>
      <c r="Q74" s="435" t="n"/>
      <c r="R74" s="438">
        <f>IFERROR(D74*$T$7,0)</f>
        <v/>
      </c>
      <c r="S74" s="435" t="n"/>
      <c r="T74" s="435" t="n"/>
      <c r="U74" s="438" t="n">
        <v>0</v>
      </c>
      <c r="V74" s="438" t="n">
        <v>0</v>
      </c>
      <c r="W74" s="435" t="n"/>
      <c r="X74" s="435" t="n"/>
      <c r="Y74" s="438" t="n">
        <v>0</v>
      </c>
      <c r="Z74" s="438" t="n">
        <v>0</v>
      </c>
      <c r="AA74" s="435" t="n"/>
      <c r="AB74" s="435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48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  <row r="546">
      <c r="B546" s="422" t="n">
        <v>46230</v>
      </c>
      <c r="C546" s="305" t="inlineStr">
        <is>
          <t>Agua Natural</t>
        </is>
      </c>
      <c r="D546" s="306" t="inlineStr">
        <is>
          <t>No bill</t>
        </is>
      </c>
      <c r="E546" s="305" t="inlineStr">
        <is>
          <t>Ingredients - Beverages</t>
        </is>
      </c>
      <c r="F546" s="307" t="n">
        <v>60</v>
      </c>
      <c r="G546" s="308" t="inlineStr">
        <is>
          <t>Restaurant</t>
        </is>
      </c>
      <c r="H546" s="308" t="inlineStr">
        <is>
          <t>Cash</t>
        </is>
      </c>
      <c r="I546" s="309" t="inlineStr">
        <is>
          <t>✅ Paid</t>
        </is>
      </c>
      <c r="J546" s="418" t="inlineStr">
        <is>
          <t>No receipt; cash</t>
        </is>
      </c>
    </row>
    <row r="547">
      <c r="B547" s="422" t="n">
        <v>46230</v>
      </c>
      <c r="C547" s="305" t="inlineStr">
        <is>
          <t>Sams Club</t>
        </is>
      </c>
      <c r="D547" s="306" t="inlineStr">
        <is>
          <t>Sam's Club</t>
        </is>
      </c>
      <c r="E547" s="305" t="inlineStr">
        <is>
          <t>Supermarket/General</t>
        </is>
      </c>
      <c r="F547" s="307" t="n">
        <v>491</v>
      </c>
      <c r="G547" s="308" t="inlineStr">
        <is>
          <t>Restaurant</t>
        </is>
      </c>
      <c r="H547" s="308" t="inlineStr">
        <is>
          <t>Cash</t>
        </is>
      </c>
      <c r="I547" s="309" t="inlineStr">
        <is>
          <t>✅ Paid</t>
        </is>
      </c>
      <c r="J547" s="418" t="inlineStr">
        <is>
          <t>No receipt; cash</t>
        </is>
      </c>
    </row>
    <row r="548">
      <c r="B548" s="422" t="n">
        <v>46230</v>
      </c>
      <c r="C548" s="305" t="inlineStr">
        <is>
          <t>Chedruai</t>
        </is>
      </c>
      <c r="D548" s="306" t="inlineStr">
        <is>
          <t>Chedraui</t>
        </is>
      </c>
      <c r="E548" s="305" t="inlineStr">
        <is>
          <t>Supermarket/General</t>
        </is>
      </c>
      <c r="F548" s="307" t="n">
        <v>377</v>
      </c>
      <c r="G548" s="308" t="inlineStr">
        <is>
          <t>Restaurant</t>
        </is>
      </c>
      <c r="H548" s="308" t="inlineStr">
        <is>
          <t>Cash</t>
        </is>
      </c>
      <c r="I548" s="309" t="inlineStr">
        <is>
          <t>✅ Paid</t>
        </is>
      </c>
      <c r="J548" s="418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Log'!$F$8:$F$5000,'📅 Daily Log'!$B$8:$B$5000,"&gt;="&amp;DATE(2026,5,1),'📅 Daily Log'!$B$8:$B$5000,"&lt;"&amp;DATE(2026,6,1))</f>
        <v/>
      </c>
      <c r="C4" s="413">
        <f>SUMIFS('📅 Daily Log'!$F$8:$F$5000,'📅 Daily Log'!$B$8:$B$5000,"&gt;="&amp;DATE(2026,6,1),'📅 Daily Log'!$B$8:$B$5000,"&lt;"&amp;DATE(2026,7,1))</f>
        <v/>
      </c>
      <c r="D4" s="413">
        <f>SUMIFS('📅 Daily Log'!$F$8:$F$5000,'📅 Daily Log'!$B$8:$B$5000,"&gt;="&amp;DATE(2026,7,1),'📅 Daily Log'!$B$8:$B$5000,"&lt;"&amp;DATE(2026,8,1))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Expenses'!$F$8:$F$5000,'💸 Expenses'!$B$8:$B$5000,"&gt;="&amp;DATE(2026,5,1),'💸 Expenses'!$B$8:$B$5000,"&lt;"&amp;DATE(2026,6,1))</f>
        <v/>
      </c>
      <c r="C5" s="413">
        <f>SUMIFS('💸 Expenses'!$F$8:$F$5000,'💸 Expenses'!$B$8:$B$5000,"&gt;="&amp;DATE(2026,6,1),'💸 Expenses'!$B$8:$B$5000,"&lt;"&amp;DATE(2026,7,1))</f>
        <v/>
      </c>
      <c r="D5" s="413">
        <f>SUMIFS('💸 Expenses'!$F$8:$F$5000,'💸 Expenses'!$B$8:$B$5000,"&gt;="&amp;DATE(2026,7,1),'💸 Expenses'!$B$8:$B$5000,"&lt;"&amp;DATE(2026,8,1))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Log'!$F$8:$F$5000,"&gt;0",'📅 Daily Log'!$B$8:$B$5000,"&gt;="&amp;DATE(2026,5,1),'📅 Daily Log'!$B$8:$B$5000,"&lt;"&amp;DATE(2026,6,1))</f>
        <v/>
      </c>
      <c r="C7" s="416">
        <f>COUNTIFS('📅 Daily Log'!$F$8:$F$5000,"&gt;0",'📅 Daily Log'!$B$8:$B$5000,"&gt;="&amp;DATE(2026,6,1),'📅 Daily Log'!$B$8:$B$5000,"&lt;"&amp;DATE(2026,7,1))</f>
        <v/>
      </c>
      <c r="D7" s="416">
        <f>COUNTIFS('📅 Daily Log'!$F$8:$F$5000,"&gt;0",'📅 Daily Log'!$B$8:$B$5000,"&gt;="&amp;DATE(2026,7,1),'📅 Daily Log'!$B$8:$B$5000,"&lt;"&amp;DATE(2026,8,1))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Log'!$D$8:$D$5000,'📅 Daily Log'!$B$8:$B$5000,"&gt;="&amp;DATE(2026,5,1),'📅 Daily Log'!$B$8:$B$5000,"&lt;"&amp;DATE(2026,6,1))</f>
        <v/>
      </c>
      <c r="C11" s="413">
        <f>SUMIFS('📅 Daily Log'!$D$8:$D$5000,'📅 Daily Log'!$B$8:$B$5000,"&gt;="&amp;DATE(2026,6,1),'📅 Daily Log'!$B$8:$B$5000,"&lt;"&amp;DATE(2026,7,1))</f>
        <v/>
      </c>
      <c r="D11" s="413">
        <f>SUMIFS('📅 Daily Log'!$D$8:$D$5000,'📅 Daily Log'!$B$8:$B$5000,"&gt;="&amp;DATE(2026,7,1),'📅 Daily Log'!$B$8:$B$5000,"&lt;"&amp;DATE(2026,8,1))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Log'!$E$8:$E$5000,'📅 Daily Log'!$B$8:$B$5000,"&gt;="&amp;DATE(2026,5,1),'📅 Daily Log'!$B$8:$B$5000,"&lt;"&amp;DATE(2026,6,1))</f>
        <v/>
      </c>
      <c r="C12" s="413">
        <f>SUMIFS('📅 Daily Log'!$E$8:$E$5000,'📅 Daily Log'!$B$8:$B$5000,"&gt;="&amp;DATE(2026,6,1),'📅 Daily Log'!$B$8:$B$5000,"&lt;"&amp;DATE(2026,7,1))</f>
        <v/>
      </c>
      <c r="D12" s="413">
        <f>SUMIFS('📅 Daily Log'!$E$8:$E$5000,'📅 Daily Log'!$B$8:$B$5000,"&gt;="&amp;DATE(2026,7,1),'📅 Daily Log'!$B$8:$B$5000,"&lt;"&amp;DATE(2026,8,1))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Log'!$G$8:$G$5000,'📅 Daily Log'!$B$8:$B$5000,"&gt;="&amp;DATE(2026,5,1),'📅 Daily Log'!$B$8:$B$5000,"&lt;"&amp;DATE(2026,6,1))</f>
        <v/>
      </c>
      <c r="C13" s="413">
        <f>SUMIFS('📅 Daily Log'!$G$8:$G$5000,'📅 Daily Log'!$B$8:$B$5000,"&gt;="&amp;DATE(2026,6,1),'📅 Daily Log'!$B$8:$B$5000,"&lt;"&amp;DATE(2026,7,1))</f>
        <v/>
      </c>
      <c r="D13" s="413">
        <f>SUMIFS('📅 Daily Log'!$G$8:$G$5000,'📅 Daily Log'!$B$8:$B$5000,"&gt;="&amp;DATE(2026,7,1),'📅 Daily Log'!$B$8:$B$5000,"&lt;"&amp;DATE(2026,8,1))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Expenses'!$F$8:$F$5000,'💸 Expenses'!$E$8:$E$5000,$A17,'💸 Expenses'!$B$8:$B$5000,"&gt;="&amp;DATE(2026,5,1),'💸 Expenses'!$B$8:$B$5000,"&lt;"&amp;DATE(2026,6,1))</f>
        <v/>
      </c>
      <c r="C17" s="413">
        <f>SUMIFS('💸 Expenses'!$F$8:$F$5000,'💸 Expenses'!$E$8:$E$5000,$A17,'💸 Expenses'!$B$8:$B$5000,"&gt;="&amp;DATE(2026,6,1),'💸 Expenses'!$B$8:$B$5000,"&lt;"&amp;DATE(2026,7,1))</f>
        <v/>
      </c>
      <c r="D17" s="413">
        <f>SUMIFS('💸 Expenses'!$F$8:$F$5000,'💸 Expenses'!$E$8:$E$5000,$A17,'💸 Expenses'!$B$8:$B$5000,"&gt;="&amp;DATE(2026,7,1),'💸 Expenses'!$B$8:$B$5000,"&lt;"&amp;DATE(2026,8,1))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Expenses'!$F$8:$F$5000,'💸 Expenses'!$E$8:$E$5000,$A18,'💸 Expenses'!$B$8:$B$5000,"&gt;="&amp;DATE(2026,5,1),'💸 Expenses'!$B$8:$B$5000,"&lt;"&amp;DATE(2026,6,1))</f>
        <v/>
      </c>
      <c r="C18" s="413">
        <f>SUMIFS('💸 Expenses'!$F$8:$F$5000,'💸 Expenses'!$E$8:$E$5000,$A18,'💸 Expenses'!$B$8:$B$5000,"&gt;="&amp;DATE(2026,6,1),'💸 Expenses'!$B$8:$B$5000,"&lt;"&amp;DATE(2026,7,1))</f>
        <v/>
      </c>
      <c r="D18" s="413">
        <f>SUMIFS('💸 Expenses'!$F$8:$F$5000,'💸 Expenses'!$E$8:$E$5000,$A18,'💸 Expenses'!$B$8:$B$5000,"&gt;="&amp;DATE(2026,7,1),'💸 Expenses'!$B$8:$B$5000,"&lt;"&amp;DATE(2026,8,1))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Expenses'!$F$8:$F$5000,'💸 Expenses'!$E$8:$E$5000,$A19,'💸 Expenses'!$B$8:$B$5000,"&gt;="&amp;DATE(2026,5,1),'💸 Expenses'!$B$8:$B$5000,"&lt;"&amp;DATE(2026,6,1))</f>
        <v/>
      </c>
      <c r="C19" s="413">
        <f>SUMIFS('💸 Expenses'!$F$8:$F$5000,'💸 Expenses'!$E$8:$E$5000,$A19,'💸 Expenses'!$B$8:$B$5000,"&gt;="&amp;DATE(2026,6,1),'💸 Expenses'!$B$8:$B$5000,"&lt;"&amp;DATE(2026,7,1))</f>
        <v/>
      </c>
      <c r="D19" s="413">
        <f>SUMIFS('💸 Expenses'!$F$8:$F$5000,'💸 Expenses'!$E$8:$E$5000,$A19,'💸 Expenses'!$B$8:$B$5000,"&gt;="&amp;DATE(2026,7,1),'💸 Expenses'!$B$8:$B$5000,"&lt;"&amp;DATE(2026,8,1))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Supermarket/General</t>
        </is>
      </c>
      <c r="B20" s="413">
        <f>SUMIFS('💸 Expenses'!$F$8:$F$5000,'💸 Expenses'!$E$8:$E$5000,$A20,'💸 Expenses'!$B$8:$B$5000,"&gt;="&amp;DATE(2026,5,1),'💸 Expenses'!$B$8:$B$5000,"&lt;"&amp;DATE(2026,6,1))</f>
        <v/>
      </c>
      <c r="C20" s="413">
        <f>SUMIFS('💸 Expenses'!$F$8:$F$5000,'💸 Expenses'!$E$8:$E$5000,$A20,'💸 Expenses'!$B$8:$B$5000,"&gt;="&amp;DATE(2026,6,1),'💸 Expenses'!$B$8:$B$5000,"&lt;"&amp;DATE(2026,7,1))</f>
        <v/>
      </c>
      <c r="D20" s="413">
        <f>SUMIFS('💸 Expenses'!$F$8:$F$5000,'💸 Expenses'!$E$8:$E$5000,$A20,'💸 Expenses'!$B$8:$B$5000,"&gt;="&amp;DATE(2026,7,1),'💸 Expenses'!$B$8:$B$5000,"&lt;"&amp;DATE(2026,8,1))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Vegetables</t>
        </is>
      </c>
      <c r="B21" s="413">
        <f>SUMIFS('💸 Expenses'!$F$8:$F$5000,'💸 Expenses'!$E$8:$E$5000,$A21,'💸 Expenses'!$B$8:$B$5000,"&gt;="&amp;DATE(2026,5,1),'💸 Expenses'!$B$8:$B$5000,"&lt;"&amp;DATE(2026,6,1))</f>
        <v/>
      </c>
      <c r="C21" s="413">
        <f>SUMIFS('💸 Expenses'!$F$8:$F$5000,'💸 Expenses'!$E$8:$E$5000,$A21,'💸 Expenses'!$B$8:$B$5000,"&gt;="&amp;DATE(2026,6,1),'💸 Expenses'!$B$8:$B$5000,"&lt;"&amp;DATE(2026,7,1))</f>
        <v/>
      </c>
      <c r="D21" s="413">
        <f>SUMIFS('💸 Expenses'!$F$8:$F$5000,'💸 Expenses'!$E$8:$E$5000,$A21,'💸 Expenses'!$B$8:$B$5000,"&gt;="&amp;DATE(2026,7,1),'💸 Expenses'!$B$8:$B$5000,"&lt;"&amp;DATE(2026,8,1))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Expenses'!$F$8:$F$5000,'💸 Expenses'!$E$8:$E$5000,$A22,'💸 Expenses'!$B$8:$B$5000,"&gt;="&amp;DATE(2026,5,1),'💸 Expenses'!$B$8:$B$5000,"&lt;"&amp;DATE(2026,6,1))</f>
        <v/>
      </c>
      <c r="C22" s="413">
        <f>SUMIFS('💸 Expenses'!$F$8:$F$5000,'💸 Expenses'!$E$8:$E$5000,$A22,'💸 Expenses'!$B$8:$B$5000,"&gt;="&amp;DATE(2026,6,1),'💸 Expenses'!$B$8:$B$5000,"&lt;"&amp;DATE(2026,7,1))</f>
        <v/>
      </c>
      <c r="D22" s="413">
        <f>SUMIFS('💸 Expenses'!$F$8:$F$5000,'💸 Expenses'!$E$8:$E$5000,$A22,'💸 Expenses'!$B$8:$B$5000,"&gt;="&amp;DATE(2026,7,1),'💸 Expenses'!$B$8:$B$5000,"&lt;"&amp;DATE(2026,8,1))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Expenses'!$F$8:$F$5000,'💸 Expenses'!$E$8:$E$5000,$A23,'💸 Expenses'!$B$8:$B$5000,"&gt;="&amp;DATE(2026,5,1),'💸 Expenses'!$B$8:$B$5000,"&lt;"&amp;DATE(2026,6,1))</f>
        <v/>
      </c>
      <c r="C23" s="413">
        <f>SUMIFS('💸 Expenses'!$F$8:$F$5000,'💸 Expenses'!$E$8:$E$5000,$A23,'💸 Expenses'!$B$8:$B$5000,"&gt;="&amp;DATE(2026,6,1),'💸 Expenses'!$B$8:$B$5000,"&lt;"&amp;DATE(2026,7,1))</f>
        <v/>
      </c>
      <c r="D23" s="413">
        <f>SUMIFS('💸 Expenses'!$F$8:$F$5000,'💸 Expenses'!$E$8:$E$5000,$A23,'💸 Expenses'!$B$8:$B$5000,"&gt;="&amp;DATE(2026,7,1),'💸 Expenses'!$B$8:$B$5000,"&lt;"&amp;DATE(2026,8,1))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Expenses'!$F$8:$F$5000,'💸 Expenses'!$E$8:$E$5000,$A24,'💸 Expenses'!$B$8:$B$5000,"&gt;="&amp;DATE(2026,5,1),'💸 Expenses'!$B$8:$B$5000,"&lt;"&amp;DATE(2026,6,1))</f>
        <v/>
      </c>
      <c r="C24" s="413">
        <f>SUMIFS('💸 Expenses'!$F$8:$F$5000,'💸 Expenses'!$E$8:$E$5000,$A24,'💸 Expenses'!$B$8:$B$5000,"&gt;="&amp;DATE(2026,6,1),'💸 Expenses'!$B$8:$B$5000,"&lt;"&amp;DATE(2026,7,1))</f>
        <v/>
      </c>
      <c r="D24" s="413">
        <f>SUMIFS('💸 Expenses'!$F$8:$F$5000,'💸 Expenses'!$E$8:$E$5000,$A24,'💸 Expenses'!$B$8:$B$5000,"&gt;="&amp;DATE(2026,7,1),'💸 Expenses'!$B$8:$B$5000,"&lt;"&amp;DATE(2026,8,1))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Expenses'!$F$8:$F$5000,'💸 Expenses'!$E$8:$E$5000,$A25,'💸 Expenses'!$B$8:$B$5000,"&gt;="&amp;DATE(2026,5,1),'💸 Expenses'!$B$8:$B$5000,"&lt;"&amp;DATE(2026,6,1))</f>
        <v/>
      </c>
      <c r="C25" s="413">
        <f>SUMIFS('💸 Expenses'!$F$8:$F$5000,'💸 Expenses'!$E$8:$E$5000,$A25,'💸 Expenses'!$B$8:$B$5000,"&gt;="&amp;DATE(2026,6,1),'💸 Expenses'!$B$8:$B$5000,"&lt;"&amp;DATE(2026,7,1))</f>
        <v/>
      </c>
      <c r="D25" s="413">
        <f>SUMIFS('💸 Expenses'!$F$8:$F$5000,'💸 Expenses'!$E$8:$E$5000,$A25,'💸 Expenses'!$B$8:$B$5000,"&gt;="&amp;DATE(2026,7,1),'💸 Expenses'!$B$8:$B$5000,"&lt;"&amp;DATE(2026,8,1))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Supplies/Other</t>
        </is>
      </c>
      <c r="B26" s="413">
        <f>SUMIFS('💸 Expenses'!$F$8:$F$5000,'💸 Expenses'!$E$8:$E$5000,$A26,'💸 Expenses'!$B$8:$B$5000,"&gt;="&amp;DATE(2026,5,1),'💸 Expenses'!$B$8:$B$5000,"&lt;"&amp;DATE(2026,6,1))</f>
        <v/>
      </c>
      <c r="C26" s="413">
        <f>SUMIFS('💸 Expenses'!$F$8:$F$5000,'💸 Expenses'!$E$8:$E$5000,$A26,'💸 Expenses'!$B$8:$B$5000,"&gt;="&amp;DATE(2026,6,1),'💸 Expenses'!$B$8:$B$5000,"&lt;"&amp;DATE(2026,7,1))</f>
        <v/>
      </c>
      <c r="D26" s="413">
        <f>SUMIFS('💸 Expenses'!$F$8:$F$5000,'💸 Expenses'!$E$8:$E$5000,$A26,'💸 Expenses'!$B$8:$B$5000,"&gt;="&amp;DATE(2026,7,1),'💸 Expenses'!$B$8:$B$5000,"&lt;"&amp;DATE(2026,8,1))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Maintenance</t>
        </is>
      </c>
      <c r="B27" s="413">
        <f>SUMIFS('💸 Expenses'!$F$8:$F$5000,'💸 Expenses'!$E$8:$E$5000,$A27,'💸 Expenses'!$B$8:$B$5000,"&gt;="&amp;DATE(2026,5,1),'💸 Expenses'!$B$8:$B$5000,"&lt;"&amp;DATE(2026,6,1))</f>
        <v/>
      </c>
      <c r="C27" s="413">
        <f>SUMIFS('💸 Expenses'!$F$8:$F$5000,'💸 Expenses'!$E$8:$E$5000,$A27,'💸 Expenses'!$B$8:$B$5000,"&gt;="&amp;DATE(2026,6,1),'💸 Expenses'!$B$8:$B$5000,"&lt;"&amp;DATE(2026,7,1))</f>
        <v/>
      </c>
      <c r="D27" s="413">
        <f>SUMIFS('💸 Expenses'!$F$8:$F$5000,'💸 Expenses'!$E$8:$E$5000,$A27,'💸 Expenses'!$B$8:$B$5000,"&gt;="&amp;DATE(2026,7,1),'💸 Expenses'!$B$8:$B$5000,"&lt;"&amp;DATE(2026,8,1))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Ingredients - Meat &amp; Fish</t>
        </is>
      </c>
      <c r="B28" s="413">
        <f>SUMIFS('💸 Expenses'!$F$8:$F$5000,'💸 Expenses'!$E$8:$E$5000,$A28,'💸 Expenses'!$B$8:$B$5000,"&gt;="&amp;DATE(2026,5,1),'💸 Expenses'!$B$8:$B$5000,"&lt;"&amp;DATE(2026,6,1))</f>
        <v/>
      </c>
      <c r="C28" s="413">
        <f>SUMIFS('💸 Expenses'!$F$8:$F$5000,'💸 Expenses'!$E$8:$E$5000,$A28,'💸 Expenses'!$B$8:$B$5000,"&gt;="&amp;DATE(2026,6,1),'💸 Expenses'!$B$8:$B$5000,"&lt;"&amp;DATE(2026,7,1))</f>
        <v/>
      </c>
      <c r="D28" s="413">
        <f>SUMIFS('💸 Expenses'!$F$8:$F$5000,'💸 Expenses'!$E$8:$E$5000,$A28,'💸 Expenses'!$B$8:$B$5000,"&gt;="&amp;DATE(2026,7,1),'💸 Expenses'!$B$8:$B$5000,"&lt;"&amp;DATE(2026,8,1))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Packaging/Disposables</t>
        </is>
      </c>
      <c r="B29" s="413">
        <f>SUMIFS('💸 Expenses'!$F$8:$F$5000,'💸 Expenses'!$E$8:$E$5000,$A29,'💸 Expenses'!$B$8:$B$5000,"&gt;="&amp;DATE(2026,5,1),'💸 Expenses'!$B$8:$B$5000,"&lt;"&amp;DATE(2026,6,1))</f>
        <v/>
      </c>
      <c r="C29" s="413">
        <f>SUMIFS('💸 Expenses'!$F$8:$F$5000,'💸 Expenses'!$E$8:$E$5000,$A29,'💸 Expenses'!$B$8:$B$5000,"&gt;="&amp;DATE(2026,6,1),'💸 Expenses'!$B$8:$B$5000,"&lt;"&amp;DATE(2026,7,1))</f>
        <v/>
      </c>
      <c r="D29" s="413">
        <f>SUMIFS('💸 Expenses'!$F$8:$F$5000,'💸 Expenses'!$E$8:$E$5000,$A29,'💸 Expenses'!$B$8:$B$5000,"&gt;="&amp;DATE(2026,7,1),'💸 Expenses'!$B$8:$B$5000,"&lt;"&amp;DATE(2026,8,1))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Expenses'!$F$8:$F$5000,'💸 Expenses'!$E$8:$E$5000,$A30,'💸 Expenses'!$B$8:$B$5000,"&gt;="&amp;DATE(2026,5,1),'💸 Expenses'!$B$8:$B$5000,"&lt;"&amp;DATE(2026,6,1))</f>
        <v/>
      </c>
      <c r="C30" s="413">
        <f>SUMIFS('💸 Expenses'!$F$8:$F$5000,'💸 Expenses'!$E$8:$E$5000,$A30,'💸 Expenses'!$B$8:$B$5000,"&gt;="&amp;DATE(2026,6,1),'💸 Expenses'!$B$8:$B$5000,"&lt;"&amp;DATE(2026,7,1))</f>
        <v/>
      </c>
      <c r="D30" s="413">
        <f>SUMIFS('💸 Expenses'!$F$8:$F$5000,'💸 Expenses'!$E$8:$E$5000,$A30,'💸 Expenses'!$B$8:$B$5000,"&gt;="&amp;DATE(2026,7,1),'💸 Expenses'!$B$8:$B$5000,"&lt;"&amp;DATE(2026,8,1))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Utilities/Internet</t>
        </is>
      </c>
      <c r="B31" s="413">
        <f>SUMIFS('💸 Expenses'!$F$8:$F$5000,'💸 Expenses'!$E$8:$E$5000,$A31,'💸 Expenses'!$B$8:$B$5000,"&gt;="&amp;DATE(2026,5,1),'💸 Expenses'!$B$8:$B$5000,"&lt;"&amp;DATE(2026,6,1))</f>
        <v/>
      </c>
      <c r="C31" s="413">
        <f>SUMIFS('💸 Expenses'!$F$8:$F$5000,'💸 Expenses'!$E$8:$E$5000,$A31,'💸 Expenses'!$B$8:$B$5000,"&gt;="&amp;DATE(2026,6,1),'💸 Expenses'!$B$8:$B$5000,"&lt;"&amp;DATE(2026,7,1))</f>
        <v/>
      </c>
      <c r="D31" s="413">
        <f>SUMIFS('💸 Expenses'!$F$8:$F$5000,'💸 Expenses'!$E$8:$E$5000,$A31,'💸 Expenses'!$B$8:$B$5000,"&gt;="&amp;DATE(2026,7,1),'💸 Expenses'!$B$8:$B$5000,"&lt;"&amp;DATE(2026,8,1))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Utilities/Gas</t>
        </is>
      </c>
      <c r="B32" s="413">
        <f>SUMIFS('💸 Expenses'!$F$8:$F$5000,'💸 Expenses'!$E$8:$E$5000,$A32,'💸 Expenses'!$B$8:$B$5000,"&gt;="&amp;DATE(2026,5,1),'💸 Expenses'!$B$8:$B$5000,"&lt;"&amp;DATE(2026,6,1))</f>
        <v/>
      </c>
      <c r="C32" s="413">
        <f>SUMIFS('💸 Expenses'!$F$8:$F$5000,'💸 Expenses'!$E$8:$E$5000,$A32,'💸 Expenses'!$B$8:$B$5000,"&gt;="&amp;DATE(2026,6,1),'💸 Expenses'!$B$8:$B$5000,"&lt;"&amp;DATE(2026,7,1))</f>
        <v/>
      </c>
      <c r="D32" s="413">
        <f>SUMIFS('💸 Expenses'!$F$8:$F$5000,'💸 Expenses'!$E$8:$E$5000,$A32,'💸 Expenses'!$B$8:$B$5000,"&gt;="&amp;DATE(2026,7,1),'💸 Expenses'!$B$8:$B$5000,"&lt;"&amp;DATE(2026,8,1))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Ingredients - Other</t>
        </is>
      </c>
      <c r="B33" s="413">
        <f>SUMIFS('💸 Expenses'!$F$8:$F$5000,'💸 Expenses'!$E$8:$E$5000,$A33,'💸 Expenses'!$B$8:$B$5000,"&gt;="&amp;DATE(2026,5,1),'💸 Expenses'!$B$8:$B$5000,"&lt;"&amp;DATE(2026,6,1))</f>
        <v/>
      </c>
      <c r="C33" s="413">
        <f>SUMIFS('💸 Expenses'!$F$8:$F$5000,'💸 Expenses'!$E$8:$E$5000,$A33,'💸 Expenses'!$B$8:$B$5000,"&gt;="&amp;DATE(2026,6,1),'💸 Expenses'!$B$8:$B$5000,"&lt;"&amp;DATE(2026,7,1))</f>
        <v/>
      </c>
      <c r="D33" s="413">
        <f>SUMIFS('💸 Expenses'!$F$8:$F$5000,'💸 Expenses'!$E$8:$E$5000,$A33,'💸 Expenses'!$B$8:$B$5000,"&gt;="&amp;DATE(2026,7,1),'💸 Expenses'!$B$8:$B$5000,"&lt;"&amp;DATE(2026,8,1))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Office Supplies</t>
        </is>
      </c>
      <c r="B34" s="413">
        <f>SUMIFS('💸 Expenses'!$F$8:$F$5000,'💸 Expenses'!$E$8:$E$5000,$A34,'💸 Expenses'!$B$8:$B$5000,"&gt;="&amp;DATE(2026,5,1),'💸 Expenses'!$B$8:$B$5000,"&lt;"&amp;DATE(2026,6,1))</f>
        <v/>
      </c>
      <c r="C34" s="413">
        <f>SUMIFS('💸 Expenses'!$F$8:$F$5000,'💸 Expenses'!$E$8:$E$5000,$A34,'💸 Expenses'!$B$8:$B$5000,"&gt;="&amp;DATE(2026,6,1),'💸 Expenses'!$B$8:$B$5000,"&lt;"&amp;DATE(2026,7,1))</f>
        <v/>
      </c>
      <c r="D34" s="413">
        <f>SUMIFS('💸 Expenses'!$F$8:$F$5000,'💸 Expenses'!$E$8:$E$5000,$A34,'💸 Expenses'!$B$8:$B$5000,"&gt;="&amp;DATE(2026,7,1),'💸 Expenses'!$B$8:$B$5000,"&lt;"&amp;DATE(2026,8,1))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Expenses'!$F$8:$F$5000,'💸 Expenses'!$E$8:$E$5000,$A35,'💸 Expenses'!$B$8:$B$5000,"&gt;="&amp;DATE(2026,5,1),'💸 Expenses'!$B$8:$B$5000,"&lt;"&amp;DATE(2026,6,1))</f>
        <v/>
      </c>
      <c r="C35" s="413">
        <f>SUMIFS('💸 Expenses'!$F$8:$F$5000,'💸 Expenses'!$E$8:$E$5000,$A35,'💸 Expenses'!$B$8:$B$5000,"&gt;="&amp;DATE(2026,6,1),'💸 Expenses'!$B$8:$B$5000,"&lt;"&amp;DATE(2026,7,1))</f>
        <v/>
      </c>
      <c r="D35" s="413">
        <f>SUMIFS('💸 Expenses'!$F$8:$F$5000,'💸 Expenses'!$E$8:$E$5000,$A35,'💸 Expenses'!$B$8:$B$5000,"&gt;="&amp;DATE(2026,7,1),'💸 Expenses'!$B$8:$B$5000,"&lt;"&amp;DATE(2026,8,1))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Software/Subscription</t>
        </is>
      </c>
      <c r="B36" s="413">
        <f>SUMIFS('💸 Expenses'!$F$8:$F$5000,'💸 Expenses'!$E$8:$E$5000,$A36,'💸 Expenses'!$B$8:$B$5000,"&gt;="&amp;DATE(2026,5,1),'💸 Expenses'!$B$8:$B$5000,"&lt;"&amp;DATE(2026,6,1))</f>
        <v/>
      </c>
      <c r="C36" s="413">
        <f>SUMIFS('💸 Expenses'!$F$8:$F$5000,'💸 Expenses'!$E$8:$E$5000,$A36,'💸 Expenses'!$B$8:$B$5000,"&gt;="&amp;DATE(2026,6,1),'💸 Expenses'!$B$8:$B$5000,"&lt;"&amp;DATE(2026,7,1))</f>
        <v/>
      </c>
      <c r="D36" s="413">
        <f>SUMIFS('💸 Expenses'!$F$8:$F$5000,'💸 Expenses'!$E$8:$E$5000,$A36,'💸 Expenses'!$B$8:$B$5000,"&gt;="&amp;DATE(2026,7,1),'💸 Expenses'!$B$8:$B$5000,"&lt;"&amp;DATE(2026,8,1))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Expenses'!$F$8:$F$5000,'💸 Expenses'!$E$8:$E$5000,$A37,'💸 Expenses'!$B$8:$B$5000,"&gt;="&amp;DATE(2026,5,1),'💸 Expenses'!$B$8:$B$5000,"&lt;"&amp;DATE(2026,6,1))</f>
        <v/>
      </c>
      <c r="C37" s="413">
        <f>SUMIFS('💸 Expenses'!$F$8:$F$5000,'💸 Expenses'!$E$8:$E$5000,$A37,'💸 Expenses'!$B$8:$B$5000,"&gt;="&amp;DATE(2026,6,1),'💸 Expenses'!$B$8:$B$5000,"&lt;"&amp;DATE(2026,7,1))</f>
        <v/>
      </c>
      <c r="D37" s="413">
        <f>SUMIFS('💸 Expenses'!$F$8:$F$5000,'💸 Expenses'!$E$8:$E$5000,$A37,'💸 Expenses'!$B$8:$B$5000,"&gt;="&amp;DATE(2026,7,1),'💸 Expenses'!$B$8:$B$5000,"&lt;"&amp;DATE(2026,8,1))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Ingredients - Desserts</t>
        </is>
      </c>
      <c r="B38" s="413">
        <f>SUMIFS('💸 Expenses'!$F$8:$F$5000,'💸 Expenses'!$E$8:$E$5000,$A38,'💸 Expenses'!$B$8:$B$5000,"&gt;="&amp;DATE(2026,5,1),'💸 Expenses'!$B$8:$B$5000,"&lt;"&amp;DATE(2026,6,1))</f>
        <v/>
      </c>
      <c r="C38" s="413">
        <f>SUMIFS('💸 Expenses'!$F$8:$F$5000,'💸 Expenses'!$E$8:$E$5000,$A38,'💸 Expenses'!$B$8:$B$5000,"&gt;="&amp;DATE(2026,6,1),'💸 Expenses'!$B$8:$B$5000,"&lt;"&amp;DATE(2026,7,1))</f>
        <v/>
      </c>
      <c r="D38" s="413">
        <f>SUMIFS('💸 Expenses'!$F$8:$F$5000,'💸 Expenses'!$E$8:$E$5000,$A38,'💸 Expenses'!$B$8:$B$5000,"&gt;="&amp;DATE(2026,7,1),'💸 Expenses'!$B$8:$B$5000,"&lt;"&amp;DATE(2026,8,1))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Eggs</t>
        </is>
      </c>
      <c r="B39" s="413">
        <f>SUMIFS('💸 Expenses'!$F$8:$F$5000,'💸 Expenses'!$E$8:$E$5000,$A39,'💸 Expenses'!$B$8:$B$5000,"&gt;="&amp;DATE(2026,5,1),'💸 Expenses'!$B$8:$B$5000,"&lt;"&amp;DATE(2026,6,1))</f>
        <v/>
      </c>
      <c r="C39" s="413">
        <f>SUMIFS('💸 Expenses'!$F$8:$F$5000,'💸 Expenses'!$E$8:$E$5000,$A39,'💸 Expenses'!$B$8:$B$5000,"&gt;="&amp;DATE(2026,6,1),'💸 Expenses'!$B$8:$B$5000,"&lt;"&amp;DATE(2026,7,1))</f>
        <v/>
      </c>
      <c r="D39" s="413">
        <f>SUMIFS('💸 Expenses'!$F$8:$F$5000,'💸 Expenses'!$E$8:$E$5000,$A39,'💸 Expenses'!$B$8:$B$5000,"&gt;="&amp;DATE(2026,7,1),'💸 Expenses'!$B$8:$B$5000,"&lt;"&amp;DATE(2026,8,1))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Staff - Propinas</t>
        </is>
      </c>
      <c r="B40" s="413">
        <f>SUMIFS('💸 Expenses'!$F$8:$F$5000,'💸 Expenses'!$E$8:$E$5000,$A40,'💸 Expenses'!$B$8:$B$5000,"&gt;="&amp;DATE(2026,5,1),'💸 Expenses'!$B$8:$B$5000,"&lt;"&amp;DATE(2026,6,1))</f>
        <v/>
      </c>
      <c r="C40" s="413">
        <f>SUMIFS('💸 Expenses'!$F$8:$F$5000,'💸 Expenses'!$E$8:$E$5000,$A40,'💸 Expenses'!$B$8:$B$5000,"&gt;="&amp;DATE(2026,6,1),'💸 Expenses'!$B$8:$B$5000,"&lt;"&amp;DATE(2026,7,1))</f>
        <v/>
      </c>
      <c r="D40" s="413">
        <f>SUMIFS('💸 Expenses'!$F$8:$F$5000,'💸 Expenses'!$E$8:$E$5000,$A40,'💸 Expenses'!$B$8:$B$5000,"&gt;="&amp;DATE(2026,7,1),'💸 Expenses'!$B$8:$B$5000,"&lt;"&amp;DATE(2026,8,1))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2" t="inlineStr">
        <is>
          <t>TOTAL EXPENSES</t>
        </is>
      </c>
      <c r="B41" s="414">
        <f>SUMIFS('💸 Expenses'!$F$8:$F$5000,'💸 Expenses'!$B$8:$B$5000,"&gt;="&amp;DATE(2026,5,1),'💸 Expenses'!$B$8:$B$5000,"&lt;"&amp;DATE(2026,6,1))</f>
        <v/>
      </c>
      <c r="C41" s="414">
        <f>SUMIFS('💸 Expenses'!$F$8:$F$5000,'💸 Expenses'!$B$8:$B$5000,"&gt;="&amp;DATE(2026,6,1),'💸 Expenses'!$B$8:$B$5000,"&lt;"&amp;DATE(2026,7,1))</f>
        <v/>
      </c>
      <c r="D41" s="414">
        <f>SUMIFS('💸 Expenses'!$F$8:$F$5000,'💸 Expenses'!$B$8:$B$5000,"&gt;="&amp;DATE(2026,7,1),'💸 Expenses'!$B$8:$B$5000,"&lt;"&amp;DATE(2026,8,1))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2" t="inlineStr">
        <is>
          <t>NET PROFIT / LOSS</t>
        </is>
      </c>
      <c r="B42" s="414">
        <f>B4-B41</f>
        <v/>
      </c>
      <c r="C42" s="414">
        <f>C4-C41</f>
        <v/>
      </c>
      <c r="D42" s="414">
        <f>D4-D41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09" t="n"/>
      <c r="B43" s="409" t="n"/>
      <c r="C43" s="409" t="n"/>
      <c r="D43" s="409" t="n"/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09" t="n"/>
      <c r="B44" s="409" t="n"/>
      <c r="C44" s="409" t="n"/>
      <c r="D44" s="409" t="n"/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09" t="n"/>
      <c r="B45" s="409" t="n"/>
      <c r="C45" s="409" t="n"/>
      <c r="D45" s="409" t="n"/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439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439" t="inlineStr">
        <is>
          <t>TOTALS &amp; CURRENT BALANCE</t>
        </is>
      </c>
      <c r="B48" s="232" t="n"/>
      <c r="C48" s="232" t="n"/>
      <c r="D48" s="232">
        <f>SUM(D4:D47)</f>
        <v/>
      </c>
      <c r="E48" s="233">
        <f>SUM(E4:E47)</f>
        <v/>
      </c>
      <c r="F48" s="233">
        <f>F47</f>
        <v/>
      </c>
      <c r="G48" s="232">
        <f>IF(F47&gt;0,"Restaurant owes Lohith $"&amp;TEXT(F47,"#,##0"),IF(F47&lt;0,"Lohith holds $"&amp;TEXT(ABS(F47),"#,##0"),"Zero balance"))</f>
        <v/>
      </c>
      <c r="H4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2026-07-28T02:16:31Z</dcterms:modified>
  <cp:lastModifiedBy>LOHITH REDDY</cp:lastModifiedBy>
</cp:coreProperties>
</file>