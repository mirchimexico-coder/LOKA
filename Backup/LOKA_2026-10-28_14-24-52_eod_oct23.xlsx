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-11461.74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114472.26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4690.0</v>
      </c>
      <c r="G6" s="31">
        <f>SUMIFS($G$8:$G$5000,$B$8:$B$5000,TODAY())</f>
        <v>0.0</v>
      </c>
      <c r="H6" s="28">
        <f>SUMIFS($H$8:$H$5000,$B$8:$B$5000,TODAY())</f>
        <v>1294.0</v>
      </c>
      <c r="I6" s="32">
        <f>F6-H6</f>
        <v>3396.0</v>
      </c>
      <c r="J6">
        <f>IFERROR(I6/F6,0)</f>
        <v>0.724094</v>
      </c>
      <c r="K6" s="28" t="n"/>
      <c r="L6" s="31" t="n"/>
      <c r="M6" s="28">
        <f>SUMIFS($F$8:$F$5000,$B$8:$B$5000,"&gt;="&amp;(TODAY()-WEEKDAY(TODAY(),2)+1),$B$8:$B$5000,"&lt;"&amp;(TODAY()-WEEKDAY(TODAY(),2)+8))</f>
        <v>19720.0</v>
      </c>
      <c r="N6" s="33">
        <f>SUMIFS($F$8:$F$5000,$B$8:$B$5000,"&gt;="&amp;(TODAY()-WEEKDAY(TODAY(),2)+1),$B$8:$B$5000,"&lt;"&amp;(TODAY()-WEEKDAY(TODAY(),2)+8))</f>
        <v>19720.0</v>
      </c>
      <c r="O6" s="33">
        <f>SUMIFS($F$8:$F$5000,$B$8:$B$5000,"&gt;="&amp;DATE(YEAR(TODAY()),MONTH(TODAY()),1),$B$8:$B$5000,"&lt;"&amp;DATE(YEAR(TODAY()),MONTH(TODAY())+1,1))</f>
        <v>76190.0</v>
      </c>
      <c r="P6">
        <f>SUMIFS('💸 Expenses'!$F$8:$F$5000,'💸 Expenses'!$B$8:$B$5000,"&gt;="&amp;(TODAY()-WEEKDAY(TODAY(),2)+1),'💸 Expenses'!$B$8:$B$5000,"&lt;"&amp;(TODAY()-WEEKDAY(TODAY(),2)+8))</f>
        <v>17777.0</v>
      </c>
      <c r="Q6">
        <f>M6-P6</f>
        <v>1943.0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0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inlineStr">
        <is>
          <t>TOTALS &amp; CURRENT BALANCE</t>
        </is>
      </c>
      <c r="B113" s="232" t="n"/>
      <c r="C113" s="232" t="n"/>
      <c r="D113" s="232">
        <f>SUM(D4:D112)</f>
        <v/>
      </c>
      <c r="E113" s="233">
        <f>SUM(E4:E112)</f>
        <v/>
      </c>
      <c r="F113" s="233">
        <f>F112</f>
        <v/>
      </c>
      <c r="G113" s="232">
        <f>IF(F112&gt;0,"Restaurant owes Lohith $"&amp;TEXT(F112,"#,##0"),IF(F112&lt;0,"Lohith holds $"&amp;TEXT(ABS(F112),"#,##0"),"Zero balance"))</f>
        <v/>
      </c>
      <c r="H11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2026-10-23T01:26:28Z</dcterms:modified>
  <cp:lastModifiedBy>LOHITH REDDY</cp:lastModifiedBy>
</cp:coreProperties>
</file>