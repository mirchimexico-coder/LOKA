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2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39314.81</v>
      </c>
      <c r="E147" s="286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Expenses'!$F$8:$F$500,'💸 Expenses'!$B$8:$B$500,"&gt;="&amp;B41,'💸 Expenses'!$B$8:$B$500,"&lt;"&amp;(B41+1))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Expenses'!$F$8:$F$500,'💸 Expenses'!$B$8:$B$500,"&gt;="&amp;B42,'💸 Expenses'!$B$8:$B$500,"&lt;"&amp;(B42+1))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Expenses'!$F$8:$F$500,'💸 Expenses'!$B$8:$B$500,"&gt;="&amp;B43,'💸 Expenses'!$B$8:$B$500,"&lt;"&amp;(B43+1))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Expenses'!$F$8:$F$500,'💸 Expenses'!$B$8:$B$500,"&gt;="&amp;B44,'💸 Expenses'!$B$8:$B$500,"&lt;"&amp;(B44+1))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Expenses'!$F$8:$F$500,'💸 Expenses'!$B$8:$B$500,"&gt;="&amp;B45,'💸 Expenses'!$B$8:$B$500,"&lt;"&amp;(B45+1))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Expenses'!$F$8:$F$500,'💸 Expenses'!$B$8:$B$500,"&gt;="&amp;B46,'💸 Expenses'!$B$8:$B$500,"&lt;"&amp;(B46+1))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Expenses'!$F$8:$F$500,'💸 Expenses'!$B$8:$B$500,"&gt;="&amp;B47,'💸 Expenses'!$B$8:$B$500,"&lt;"&amp;(B47+1))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Expenses'!$F$8:$F$500,'💸 Expenses'!$B$8:$B$500,"&gt;="&amp;B48,'💸 Expenses'!$B$8:$B$500,"&lt;"&amp;(B48+1))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Expenses'!$F$8:$F$500,'💸 Expenses'!$B$8:$B$500,"&gt;="&amp;B49,'💸 Expenses'!$B$8:$B$500,"&lt;"&amp;(B49+1))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Expenses'!$F$8:$F$500,'💸 Expenses'!$B$8:$B$500,"&gt;="&amp;B50,'💸 Expenses'!$B$8:$B$500,"&lt;"&amp;(B50+1))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Expenses'!$F$8:$F$500,'💸 Expenses'!$B$8:$B$500,"&gt;="&amp;B51,'💸 Expenses'!$B$8:$B$500,"&lt;"&amp;(B51+1))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Expenses'!$F$8:$F$500,'💸 Expenses'!$B$8:$B$500,"&gt;="&amp;B52,'💸 Expenses'!$B$8:$B$500,"&lt;"&amp;(B52+1))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Expenses'!$F$8:$F$500,'💸 Expenses'!$B$8:$B$500,"&gt;="&amp;B53,'💸 Expenses'!$B$8:$B$500,"&lt;"&amp;(B53+1))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Expenses'!$F$8:$F$500,'💸 Expenses'!$B$8:$B$500,"&gt;="&amp;B54,'💸 Expenses'!$B$8:$B$500,"&lt;"&amp;(B54+1))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Expenses'!$F$8:$F$500,'💸 Expenses'!$B$8:$B$500,"&gt;="&amp;B55,'💸 Expenses'!$B$8:$B$500,"&lt;"&amp;(B55+1))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Expenses'!$F$8:$F$500,'💸 Expenses'!$B$8:$B$500,"&gt;="&amp;B56,'💸 Expenses'!$B$8:$B$500,"&lt;"&amp;(B56+1))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Expenses'!$F$8:$F$500,'💸 Expenses'!$B$8:$B$500,"&gt;="&amp;B57,'💸 Expenses'!$B$8:$B$500,"&lt;"&amp;(B57+1))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Expenses'!$F$8:$F$500,'💸 Expenses'!$B$8:$B$500,"&gt;="&amp;B58,'💸 Expenses'!$B$8:$B$500,"&lt;"&amp;(B58+1))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Expenses'!$F$8:$F$500,'💸 Expenses'!$B$8:$B$500,"&gt;="&amp;B59,'💸 Expenses'!$B$8:$B$500,"&lt;"&amp;(B59+1))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Expenses'!$F$8:$F$500,'💸 Expenses'!$B$8:$B$500,"&gt;="&amp;B60,'💸 Expenses'!$B$8:$B$500,"&lt;"&amp;(B60+1))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Expenses'!$F$8:$F$500,'💸 Expenses'!$B$8:$B$500,"&gt;="&amp;B61,'💸 Expenses'!$B$8:$B$500,"&lt;"&amp;(B61+1))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Expenses'!$F$8:$F$500,'💸 Expenses'!$B$8:$B$500,"&gt;="&amp;B62,'💸 Expenses'!$B$8:$B$500,"&lt;"&amp;(B62+1))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Expenses'!$F$8:$F$500,'💸 Expenses'!$B$8:$B$500,"&gt;="&amp;B63,'💸 Expenses'!$B$8:$B$500,"&lt;"&amp;(B63+1))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Expenses'!$F$8:$F$500,'💸 Expenses'!$B$8:$B$500,"&gt;="&amp;B64,'💸 Expenses'!$B$8:$B$500,"&lt;"&amp;(B64+1))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/>
      </c>
      <c r="G65" s="257" t="n">
        <v>2385</v>
      </c>
      <c r="H65" s="258">
        <f>SUMIFS('💸 Expenses'!$F$8:$F$500,'💸 Expenses'!$B$8:$B$500,"&gt;="&amp;B65,'💸 Expenses'!$B$8:$B$500,"&lt;"&amp;(B65+1))</f>
        <v/>
      </c>
      <c r="I65" s="259">
        <f>IFERROR(F65-H65,0)</f>
        <v/>
      </c>
      <c r="J65" s="260">
        <f>IFERROR(I65/F65,0)</f>
        <v/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/>
      </c>
      <c r="G66" s="257" t="n">
        <v>300</v>
      </c>
      <c r="H66" s="258">
        <f>SUMIFS('💸 Expenses'!$F$8:$F$500,'💸 Expenses'!$B$8:$B$500,"&gt;="&amp;B66,'💸 Expenses'!$B$8:$B$500,"&lt;"&amp;(B66+1))</f>
        <v/>
      </c>
      <c r="I66" s="259">
        <f>IFERROR(F66-H66,0)</f>
        <v/>
      </c>
      <c r="J66" s="260">
        <f>IFERROR(I66/F66,0)</f>
        <v/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/>
      </c>
      <c r="G67" s="257" t="n">
        <v>290</v>
      </c>
      <c r="H67" s="258">
        <f>SUMIFS('💸 Expenses'!$F$8:$F$500,'💸 Expenses'!$B$8:$B$500,"&gt;="&amp;B67,'💸 Expenses'!$B$8:$B$500,"&lt;"&amp;(B67+1))</f>
        <v/>
      </c>
      <c r="I67" s="259">
        <f>IFERROR(F67-H67,0)</f>
        <v/>
      </c>
      <c r="J67" s="260">
        <f>IFERROR(I67/F67,0)</f>
        <v/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/>
      </c>
      <c r="G68" s="257" t="n">
        <v>290</v>
      </c>
      <c r="H68" s="258">
        <f>SUMIFS('💸 Expenses'!$F$8:$F$500,'💸 Expenses'!$B$8:$B$500,"&gt;="&amp;B68,'💸 Expenses'!$B$8:$B$500,"&lt;"&amp;(B68+1))</f>
        <v/>
      </c>
      <c r="I68" s="259">
        <f>IFERROR(F68-H68,0)</f>
        <v/>
      </c>
      <c r="J68" s="260">
        <f>IFERROR(I68/F68,0)</f>
        <v/>
      </c>
      <c r="K68" s="254" t="n"/>
      <c r="L68" s="261" t="inlineStr">
        <is>
          <t>EOD close (BBVA + Soft + cash). Note: 19-Jul not recorded (closed).</t>
        </is>
      </c>
      <c r="M68" s="291" t="n"/>
      <c r="N68" s="292" t="n"/>
      <c r="O68" s="293" t="n"/>
      <c r="P68" s="294" t="n"/>
      <c r="Q68" s="292" t="n"/>
      <c r="R68" s="421">
        <f>IFERROR(D68*$T$7,0)</f>
        <v/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</row>
    <row r="70" ht="16.5" customHeight="1" s="313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09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Supermarket/General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Kitchen Supplies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Software / Subscription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Utilities/Internet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Transfer-to-me (customer payment 20-Jul)</t>
        </is>
      </c>
      <c r="C44" s="232" t="inlineStr">
        <is>
          <t>Transfer Received</t>
        </is>
      </c>
      <c r="D44" s="232" t="n"/>
      <c r="E44" s="233" t="n">
        <v>290</v>
      </c>
      <c r="F44" s="233">
        <f>IFERROR(F43+D44-E44,0)</f>
        <v/>
      </c>
      <c r="G44" s="232" t="inlineStr">
        <is>
          <t>✅ Received</t>
        </is>
      </c>
      <c r="H44" s="232" t="inlineStr">
        <is>
          <t>Customer paid $290 by transfer to Lohith (20-Jul revenue; cash to Lohith not till)</t>
        </is>
      </c>
    </row>
    <row r="45">
      <c r="A45" s="231" t="n">
        <v>46223</v>
      </c>
      <c r="B45" s="232" t="inlineStr">
        <is>
          <t>Bistec $290 + Pollo $89 + Hielo Oxxo $54 (paid by Lohith)</t>
        </is>
      </c>
      <c r="C45" s="232" t="inlineStr">
        <is>
          <t>Expense - Personal</t>
        </is>
      </c>
      <c r="D45" s="232" t="n">
        <v>433</v>
      </c>
      <c r="E45" s="233" t="n"/>
      <c r="F45" s="233">
        <f>IFERROR(F44+D45-E45,0)</f>
        <v/>
      </c>
      <c r="G45" s="232" t="inlineStr">
        <is>
          <t>⏳ Reimburse</t>
        </is>
      </c>
      <c r="H45" s="232" t="inlineStr">
        <is>
          <t>Lohith pago $433 de su bolsillo (20-Jul). En Expenses paid=Lohith; excluido de la caja via cash_adjust.</t>
        </is>
      </c>
    </row>
    <row r="46">
      <c r="A46" s="231" t="inlineStr">
        <is>
          <t>TOTALS &amp; CURRENT BALANCE</t>
        </is>
      </c>
      <c r="B46" s="232" t="n"/>
      <c r="C46" s="232" t="n"/>
      <c r="D46" s="232">
        <f>SUM(D4:D45)</f>
        <v/>
      </c>
      <c r="E46" s="233">
        <f>SUM(E4:E45)</f>
        <v/>
      </c>
      <c r="F46" s="233">
        <f>F45</f>
        <v/>
      </c>
      <c r="G46" s="232">
        <f>IF(F45&gt;0,"Restaurant owes Lohith $"&amp;TEXT(F45,"#,##0"),IF(F45&lt;0,"Lohith holds $"&amp;TEXT(ABS(F45),"#,##0"),"Zero balance"))</f>
        <v/>
      </c>
      <c r="H46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2026-07-21T04:27:15Z</dcterms:modified>
  <cp:lastModifiedBy>LOHITH REDDY</cp:lastModifiedBy>
</cp:coreProperties>
</file>