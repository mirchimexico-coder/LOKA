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>4120.0</v>
      </c>
      <c r="G6" s="31">
        <f>SUMIFS($G$8:$G$5000,$B$8:$B$5000,TODAY())</f>
        <v>205.0</v>
      </c>
      <c r="H6" s="28">
        <f>SUMIFS($H$8:$H$5000,$B$8:$B$5000,TODAY())</f>
        <v>1495.0</v>
      </c>
      <c r="I6" s="32">
        <f>F6-H6</f>
        <v>2625.0</v>
      </c>
      <c r="J6">
        <f>IFERROR(I6/F6,0)</f>
        <v>0.637136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12550.0</v>
      </c>
      <c r="N6" s="33">
        <f>SUMPRODUCT((ISNUMBER($B$8:$B$5000))*($B$8:$B$5000&gt;=TODAY()-MOD(TODAY()-2,7))*($B$8:$B$5000&lt;TODAY()-MOD(TODAY()-2,7)+7)*IF(ISNUMBER($F$8:$F$5000),$F$8:$F$5000,0))</f>
        <v>12550.0</v>
      </c>
      <c r="O6" s="33">
        <f>SUMPRODUCT((ISNUMBER($B$8:$B$5000))*(MONTH($B$8:$B$5000)=MONTH(TODAY()))*(YEAR($B$8:$B$5000)=YEAR(TODAY()))*IF(ISNUMBER($F$8:$F$5000),$F$8:$F$5000,0))</f>
        <v>110366.0</v>
      </c>
      <c r="P6">
        <f>SUMPRODUCT((ISNUMBER($B$8:$B$5000))*($B$8:$B$5000&gt;=TODAY()-MOD(TODAY()-2,7))*($B$8:$B$5000&lt;TODAY()-MOD(TODAY()-2,7)+7)*IF(ISNUMBER($H$8:$H$5000),$H$8:$H$5000,0))</f>
        <v>3927.0</v>
      </c>
      <c r="Q6">
        <f>M6-P6</f>
        <v>8623.0</v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>0.0</v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>0.0</v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>0.0</v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>0.0</v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>0.0</v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>0.0</v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>0.0</v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>93.79</v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>68.82</v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>99.67</v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>6.29</v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>44.66</v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420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421">
        <f>IFERROR(D75*$T$7,0)</f>
        <v>130.12</v>
      </c>
      <c r="S75" s="292" t="n"/>
      <c r="T75" s="292" t="n"/>
      <c r="U75" s="421" t="n">
        <v>0</v>
      </c>
      <c r="V75" s="421" t="n">
        <v>0</v>
      </c>
      <c r="W75" s="292" t="n"/>
      <c r="X75" s="292" t="n"/>
      <c r="Y75" s="421" t="n">
        <v>350</v>
      </c>
      <c r="Z75" s="421" t="n">
        <v>6.65</v>
      </c>
      <c r="AA75" s="292" t="n"/>
      <c r="AB75" s="292" t="n"/>
    </row>
    <row r="76" ht="16.5" customHeight="1" s="313">
      <c r="B76" s="420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434" t="n"/>
      <c r="N76" s="435" t="n"/>
      <c r="O76" s="436" t="n"/>
      <c r="P76" s="437" t="n"/>
      <c r="Q76" s="435" t="n"/>
      <c r="R76" s="438">
        <f>IFERROR(D76*$T$7,0)</f>
        <v>99.67</v>
      </c>
      <c r="S76" s="435" t="n"/>
      <c r="T76" s="435" t="n"/>
      <c r="U76" s="438" t="n">
        <v>0</v>
      </c>
      <c r="V76" s="438" t="n">
        <v>0</v>
      </c>
      <c r="W76" s="435" t="n"/>
      <c r="X76" s="435" t="n"/>
      <c r="Y76" s="438" t="n">
        <v>0</v>
      </c>
      <c r="Z76" s="438" t="n">
        <v>0</v>
      </c>
      <c r="AA76" s="435" t="n"/>
      <c r="AB76" s="435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5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  <row r="549">
      <c r="B549" s="422" t="n">
        <v>46231</v>
      </c>
      <c r="C549" s="305" t="inlineStr">
        <is>
          <t>Utensils Sushi Kit</t>
        </is>
      </c>
      <c r="D549" s="306" t="inlineStr">
        <is>
          <t>No bill</t>
        </is>
      </c>
      <c r="E549" s="305" t="inlineStr">
        <is>
          <t>Kitchen Supplies</t>
        </is>
      </c>
      <c r="F549" s="307" t="n">
        <v>521</v>
      </c>
      <c r="G549" s="308" t="inlineStr">
        <is>
          <t>Restaurant</t>
        </is>
      </c>
      <c r="H549" s="308" t="inlineStr">
        <is>
          <t>Cash</t>
        </is>
      </c>
      <c r="I549" s="309" t="inlineStr">
        <is>
          <t>✅ Paid</t>
        </is>
      </c>
      <c r="J549" s="418" t="inlineStr">
        <is>
          <t>No receipt; cash</t>
        </is>
      </c>
    </row>
    <row r="550">
      <c r="B550" s="422" t="n">
        <v>46231</v>
      </c>
      <c r="C550" s="305" t="inlineStr">
        <is>
          <t>Chedraui</t>
        </is>
      </c>
      <c r="D550" s="306" t="inlineStr">
        <is>
          <t>Chedraui</t>
        </is>
      </c>
      <c r="E550" s="305" t="inlineStr">
        <is>
          <t>Supermarket/General</t>
        </is>
      </c>
      <c r="F550" s="307" t="n">
        <v>82</v>
      </c>
      <c r="G550" s="308" t="inlineStr">
        <is>
          <t>Restaurant</t>
        </is>
      </c>
      <c r="H550" s="308" t="inlineStr">
        <is>
          <t>Cash</t>
        </is>
      </c>
      <c r="I550" s="309" t="inlineStr">
        <is>
          <t>✅ Paid</t>
        </is>
      </c>
      <c r="J550" s="418" t="inlineStr">
        <is>
          <t>No receipt; cash</t>
        </is>
      </c>
    </row>
    <row r="551">
      <c r="B551" s="422" t="n">
        <v>46231</v>
      </c>
      <c r="C551" s="305" t="inlineStr">
        <is>
          <t>Carne</t>
        </is>
      </c>
      <c r="D551" s="306" t="inlineStr">
        <is>
          <t>No bill</t>
        </is>
      </c>
      <c r="E551" s="305" t="inlineStr">
        <is>
          <t>Ingredients - Meat</t>
        </is>
      </c>
      <c r="F551" s="307" t="n">
        <v>505</v>
      </c>
      <c r="G551" s="308" t="inlineStr">
        <is>
          <t>Restaurant</t>
        </is>
      </c>
      <c r="H551" s="308" t="inlineStr">
        <is>
          <t>Cash</t>
        </is>
      </c>
      <c r="I551" s="309" t="inlineStr">
        <is>
          <t>✅ Paid</t>
        </is>
      </c>
      <c r="J551" s="418" t="inlineStr">
        <is>
          <t>No receipt; cash</t>
        </is>
      </c>
    </row>
    <row r="552">
      <c r="B552" s="422" t="n">
        <v>46231</v>
      </c>
      <c r="C552" s="305" t="inlineStr">
        <is>
          <t>Pollo</t>
        </is>
      </c>
      <c r="D552" s="306" t="inlineStr">
        <is>
          <t>No bill</t>
        </is>
      </c>
      <c r="E552" s="305" t="inlineStr">
        <is>
          <t>Ingredients - Meat</t>
        </is>
      </c>
      <c r="F552" s="307" t="n">
        <v>396</v>
      </c>
      <c r="G552" s="308" t="inlineStr">
        <is>
          <t>Lohith</t>
        </is>
      </c>
      <c r="H552" s="308" t="inlineStr">
        <is>
          <t>Cash</t>
        </is>
      </c>
      <c r="I552" s="309" t="inlineStr">
        <is>
          <t>✅ Paid</t>
        </is>
      </c>
      <c r="J552" s="418" t="inlineStr">
        <is>
          <t>Pagado por Lohith (bolsillo); reembolsable via Owner Ledger</t>
        </is>
      </c>
    </row>
    <row r="553">
      <c r="B553" s="422" t="n">
        <v>46232</v>
      </c>
      <c r="C553" s="305" t="inlineStr">
        <is>
          <t>Vegetables</t>
        </is>
      </c>
      <c r="D553" s="306" t="inlineStr">
        <is>
          <t>No bill</t>
        </is>
      </c>
      <c r="E553" s="305" t="inlineStr">
        <is>
          <t>Ingredients - Vegetables</t>
        </is>
      </c>
      <c r="F553" s="307" t="n">
        <v>101</v>
      </c>
      <c r="G553" s="308" t="inlineStr">
        <is>
          <t>Restaurant</t>
        </is>
      </c>
      <c r="H553" s="308" t="inlineStr">
        <is>
          <t>Cash</t>
        </is>
      </c>
      <c r="I553" s="309" t="inlineStr">
        <is>
          <t>✅ Paid</t>
        </is>
      </c>
      <c r="J553" s="418" t="inlineStr">
        <is>
          <t>No receipt; cash</t>
        </is>
      </c>
    </row>
    <row r="554">
      <c r="B554" s="422" t="n">
        <v>46232</v>
      </c>
      <c r="C554" s="305" t="inlineStr">
        <is>
          <t>Carne</t>
        </is>
      </c>
      <c r="D554" s="306" t="inlineStr">
        <is>
          <t>No bill</t>
        </is>
      </c>
      <c r="E554" s="305" t="inlineStr">
        <is>
          <t>Ingredients - Meat</t>
        </is>
      </c>
      <c r="F554" s="307" t="n">
        <v>312</v>
      </c>
      <c r="G554" s="308" t="inlineStr">
        <is>
          <t>Restaurant</t>
        </is>
      </c>
      <c r="H554" s="308" t="inlineStr">
        <is>
          <t>Cash</t>
        </is>
      </c>
      <c r="I554" s="309" t="inlineStr">
        <is>
          <t>✅ Paid</t>
        </is>
      </c>
      <c r="J554" s="418" t="inlineStr">
        <is>
          <t>No receipt; cash</t>
        </is>
      </c>
    </row>
    <row r="555">
      <c r="B555" s="422" t="n">
        <v>46232</v>
      </c>
      <c r="C555" s="305" t="inlineStr">
        <is>
          <t>Atun</t>
        </is>
      </c>
      <c r="D555" s="306" t="inlineStr">
        <is>
          <t>No bill</t>
        </is>
      </c>
      <c r="E555" s="305" t="inlineStr">
        <is>
          <t>Supplies/Other</t>
        </is>
      </c>
      <c r="F555" s="307" t="n">
        <v>250</v>
      </c>
      <c r="G555" s="308" t="inlineStr">
        <is>
          <t>Restaurant</t>
        </is>
      </c>
      <c r="H555" s="308" t="inlineStr">
        <is>
          <t>Cash</t>
        </is>
      </c>
      <c r="I555" s="309" t="inlineStr">
        <is>
          <t>✅ Paid</t>
        </is>
      </c>
      <c r="J555" s="418" t="inlineStr">
        <is>
          <t>No receipt; cash</t>
        </is>
      </c>
    </row>
    <row r="556">
      <c r="B556" s="422" t="n">
        <v>46232</v>
      </c>
      <c r="C556" s="305" t="inlineStr">
        <is>
          <t>Pan Reales</t>
        </is>
      </c>
      <c r="D556" s="306" t="inlineStr">
        <is>
          <t>Pan Reales</t>
        </is>
      </c>
      <c r="E556" s="305" t="inlineStr">
        <is>
          <t>Ingredients - Bread</t>
        </is>
      </c>
      <c r="F556" s="307" t="n">
        <v>722</v>
      </c>
      <c r="G556" s="308" t="inlineStr">
        <is>
          <t>Restaurant</t>
        </is>
      </c>
      <c r="H556" s="308" t="inlineStr">
        <is>
          <t>Cash</t>
        </is>
      </c>
      <c r="I556" s="309" t="inlineStr">
        <is>
          <t>✅ Paid</t>
        </is>
      </c>
      <c r="J556" s="418" t="inlineStr">
        <is>
          <t>No receipt; cash</t>
        </is>
      </c>
    </row>
    <row r="557">
      <c r="B557" s="422" t="n">
        <v>46232</v>
      </c>
      <c r="C557" s="305" t="inlineStr">
        <is>
          <t>Chedraui Mantequilla</t>
        </is>
      </c>
      <c r="D557" s="306" t="inlineStr">
        <is>
          <t>Chedraui</t>
        </is>
      </c>
      <c r="E557" s="305" t="inlineStr">
        <is>
          <t>Supermarket/General</t>
        </is>
      </c>
      <c r="F557" s="307" t="n">
        <v>50</v>
      </c>
      <c r="G557" s="308" t="inlineStr">
        <is>
          <t>Restaurant</t>
        </is>
      </c>
      <c r="H557" s="308" t="inlineStr">
        <is>
          <t>Cash</t>
        </is>
      </c>
      <c r="I557" s="309" t="inlineStr">
        <is>
          <t>✅ Paid</t>
        </is>
      </c>
      <c r="J557" s="418" t="inlineStr">
        <is>
          <t>No receipt; cash</t>
        </is>
      </c>
    </row>
    <row r="558">
      <c r="B558" s="422" t="n">
        <v>46232</v>
      </c>
      <c r="C558" s="305" t="inlineStr">
        <is>
          <t>Arroz Sushi HEB</t>
        </is>
      </c>
      <c r="D558" s="306" t="inlineStr">
        <is>
          <t>H-E-B</t>
        </is>
      </c>
      <c r="E558" s="305" t="inlineStr">
        <is>
          <t>Supermarket/General</t>
        </is>
      </c>
      <c r="F558" s="307" t="n">
        <v>60</v>
      </c>
      <c r="G558" s="308" t="inlineStr">
        <is>
          <t>Lohith</t>
        </is>
      </c>
      <c r="H558" s="308" t="inlineStr">
        <is>
          <t>Cash</t>
        </is>
      </c>
      <c r="I558" s="309" t="inlineStr">
        <is>
          <t>✅ Paid</t>
        </is>
      </c>
      <c r="J558" s="418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Kitchen Supplies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Utilities/Internet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Utilities/Gas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Ingredients - Other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Office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439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439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439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439" t="inlineStr">
        <is>
          <t>TOTALS &amp; CURRENT BALANCE</t>
        </is>
      </c>
      <c r="B52" s="232" t="n"/>
      <c r="C52" s="232" t="n"/>
      <c r="D52" s="232">
        <f>SUM(D4:D51)</f>
        <v/>
      </c>
      <c r="E52" s="233">
        <f>SUM(E4:E51)</f>
        <v/>
      </c>
      <c r="F52" s="233">
        <f>F51</f>
        <v/>
      </c>
      <c r="G52" s="232">
        <f>IF(F51&gt;0,"Restaurant owes Lohith $"&amp;TEXT(F51,"#,##0"),IF(F51&lt;0,"Lohith holds $"&amp;TEXT(ABS(F51),"#,##0"),"Zero balance"))</f>
        <v/>
      </c>
      <c r="H5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2026-07-30T19:42:48Z</dcterms:modified>
  <cp:lastModifiedBy>LOHITH REDDY</cp:lastModifiedBy>
</cp:coreProperties>
</file>