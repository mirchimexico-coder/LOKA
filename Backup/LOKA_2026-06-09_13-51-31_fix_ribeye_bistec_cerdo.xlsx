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/>
      <c r="E30" s="37" t="n"/>
      <c r="F30" s="38" t="n"/>
      <c r="G30" s="39" t="n"/>
      <c r="H30" s="40" t="n">
        <v>1946.75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99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Carne Res base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Carne Luste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IFERROR(D61-E61,0)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IFERROR(F61+D62-E62,0)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IFERROR(F62+D63-E63,0)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IFERROR(F63+D64-E64,0)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IFERROR(F64+D65-E65,0)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IFERROR(F65+D66-E66,0)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IFERROR(F66+D67-E67,0)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IFERROR(F67+D68-E68,0)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IFERROR(F68+D69-E69,0)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SUM(D61:D69)</f>
        <v/>
      </c>
      <c r="E72" s="257">
        <f>SUM(E61:E69)</f>
        <v/>
      </c>
      <c r="F72" s="258">
        <f>F69</f>
        <v/>
      </c>
      <c r="G72" s="226">
        <f>IF(F69&gt;0,"⏳ Restaurant owes Lohith $"&amp;TEXT(F69,"#,##0"),IF(F69&lt;0,"💵 Lohith holds $"&amp;TEXT(ABS(F69),"#,##0")&amp;" of restaurant funds","✅ Zero balance"))</f>
        <v/>
      </c>
    </row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2026-06-09T19:49:55Z</dcterms:modified>
  <cp:lastModifiedBy>LOHITH REDDY</cp:lastModifiedBy>
</cp:coreProperties>
</file>