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2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3"/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0"/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3"/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0"/>
    <row r="111"/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1"/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1"/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/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5250.0</v>
      </c>
      <c r="I67" s="259">
        <f>IFERROR(F67-H67,0)</f>
        <v>-2350.0</v>
      </c>
      <c r="J67" s="260">
        <f>IFERROR(I67/F67,0)</f>
        <v>-0.810345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09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4"/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1"/>
    <row r="32"/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2"/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6"/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2"/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8"/>
    <row r="59" ht="15.6" customHeight="1" s="313"/>
    <row r="60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5"/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1"/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4"/>
    <row r="5"/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4"/>
    <row r="15"/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17" t="inlineStr">
        <is>
          <t>LOKA — MONTHLY P&amp;L   (live formulas — auto-updates from Daily Log &amp; Expenses)</t>
        </is>
      </c>
      <c r="B1" s="418" t="n"/>
      <c r="C1" s="418" t="n"/>
      <c r="D1" s="41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Expenses'!$F$8:$F$5000,'💸 Expenses'!$B$8:$B$5000,"&gt;="&amp;DATE(2026,5,1),'💸 Expenses'!$B$8:$B$5000,"&lt;"&amp;DATE(2026,6,1))</f>
        <v/>
      </c>
      <c r="C5" s="413">
        <f>SUMIFS('💸 Expenses'!$F$8:$F$5000,'💸 Expenses'!$B$8:$B$5000,"&gt;="&amp;DATE(2026,6,1),'💸 Expenses'!$B$8:$B$5000,"&lt;"&amp;DATE(2026,7,1))</f>
        <v/>
      </c>
      <c r="D5" s="413">
        <f>SUMIFS('💸 Expenses'!$F$8:$F$5000,'💸 Expenses'!$B$8:$B$5000,"&gt;="&amp;DATE(2026,7,1),'💸 Expenses'!$B$8:$B$5000,"&lt;"&amp;DATE(2026,8,1))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Expenses'!$F$8:$F$5000,'💸 Expenses'!$E$8:$E$5000,$A17,'💸 Expenses'!$B$8:$B$5000,"&gt;="&amp;DATE(2026,5,1),'💸 Expenses'!$B$8:$B$5000,"&lt;"&amp;DATE(2026,6,1))</f>
        <v/>
      </c>
      <c r="C17" s="413">
        <f>SUMIFS('💸 Expenses'!$F$8:$F$5000,'💸 Expenses'!$E$8:$E$5000,$A17,'💸 Expenses'!$B$8:$B$5000,"&gt;="&amp;DATE(2026,6,1),'💸 Expenses'!$B$8:$B$5000,"&lt;"&amp;DATE(2026,7,1))</f>
        <v/>
      </c>
      <c r="D17" s="413">
        <f>SUMIFS('💸 Expenses'!$F$8:$F$5000,'💸 Expenses'!$E$8:$E$5000,$A17,'💸 Expenses'!$B$8:$B$5000,"&gt;="&amp;DATE(2026,7,1),'💸 Expenses'!$B$8:$B$5000,"&lt;"&amp;DATE(2026,8,1))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Expenses'!$F$8:$F$5000,'💸 Expenses'!$E$8:$E$5000,$A18,'💸 Expenses'!$B$8:$B$5000,"&gt;="&amp;DATE(2026,5,1),'💸 Expenses'!$B$8:$B$5000,"&lt;"&amp;DATE(2026,6,1))</f>
        <v/>
      </c>
      <c r="C18" s="413">
        <f>SUMIFS('💸 Expenses'!$F$8:$F$5000,'💸 Expenses'!$E$8:$E$5000,$A18,'💸 Expenses'!$B$8:$B$5000,"&gt;="&amp;DATE(2026,6,1),'💸 Expenses'!$B$8:$B$5000,"&lt;"&amp;DATE(2026,7,1))</f>
        <v/>
      </c>
      <c r="D18" s="413">
        <f>SUMIFS('💸 Expenses'!$F$8:$F$5000,'💸 Expenses'!$E$8:$E$5000,$A18,'💸 Expenses'!$B$8:$B$5000,"&gt;="&amp;DATE(2026,7,1),'💸 Expenses'!$B$8:$B$5000,"&lt;"&amp;DATE(2026,8,1))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Expenses'!$F$8:$F$5000,'💸 Expenses'!$E$8:$E$5000,$A19,'💸 Expenses'!$B$8:$B$5000,"&gt;="&amp;DATE(2026,5,1),'💸 Expenses'!$B$8:$B$5000,"&lt;"&amp;DATE(2026,6,1))</f>
        <v/>
      </c>
      <c r="C19" s="413">
        <f>SUMIFS('💸 Expenses'!$F$8:$F$5000,'💸 Expenses'!$E$8:$E$5000,$A19,'💸 Expenses'!$B$8:$B$5000,"&gt;="&amp;DATE(2026,6,1),'💸 Expenses'!$B$8:$B$5000,"&lt;"&amp;DATE(2026,7,1))</f>
        <v/>
      </c>
      <c r="D19" s="413">
        <f>SUMIFS('💸 Expenses'!$F$8:$F$5000,'💸 Expenses'!$E$8:$E$5000,$A19,'💸 Expenses'!$B$8:$B$5000,"&gt;="&amp;DATE(2026,7,1),'💸 Expenses'!$B$8:$B$5000,"&lt;"&amp;DATE(2026,8,1))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Expenses'!$F$8:$F$5000,'💸 Expenses'!$E$8:$E$5000,$A20,'💸 Expenses'!$B$8:$B$5000,"&gt;="&amp;DATE(2026,5,1),'💸 Expenses'!$B$8:$B$5000,"&lt;"&amp;DATE(2026,6,1))</f>
        <v/>
      </c>
      <c r="C20" s="413">
        <f>SUMIFS('💸 Expenses'!$F$8:$F$5000,'💸 Expenses'!$E$8:$E$5000,$A20,'💸 Expenses'!$B$8:$B$5000,"&gt;="&amp;DATE(2026,6,1),'💸 Expenses'!$B$8:$B$5000,"&lt;"&amp;DATE(2026,7,1))</f>
        <v/>
      </c>
      <c r="D20" s="413">
        <f>SUMIFS('💸 Expenses'!$F$8:$F$5000,'💸 Expenses'!$E$8:$E$5000,$A20,'💸 Expenses'!$B$8:$B$5000,"&gt;="&amp;DATE(2026,7,1),'💸 Expenses'!$B$8:$B$5000,"&lt;"&amp;DATE(2026,8,1))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Expenses'!$F$8:$F$5000,'💸 Expenses'!$E$8:$E$5000,$A21,'💸 Expenses'!$B$8:$B$5000,"&gt;="&amp;DATE(2026,5,1),'💸 Expenses'!$B$8:$B$5000,"&lt;"&amp;DATE(2026,6,1))</f>
        <v/>
      </c>
      <c r="C21" s="413">
        <f>SUMIFS('💸 Expenses'!$F$8:$F$5000,'💸 Expenses'!$E$8:$E$5000,$A21,'💸 Expenses'!$B$8:$B$5000,"&gt;="&amp;DATE(2026,6,1),'💸 Expenses'!$B$8:$B$5000,"&lt;"&amp;DATE(2026,7,1))</f>
        <v/>
      </c>
      <c r="D21" s="413">
        <f>SUMIFS('💸 Expenses'!$F$8:$F$5000,'💸 Expenses'!$E$8:$E$5000,$A21,'💸 Expenses'!$B$8:$B$5000,"&gt;="&amp;DATE(2026,7,1),'💸 Expenses'!$B$8:$B$5000,"&lt;"&amp;DATE(2026,8,1))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Expenses'!$F$8:$F$5000,'💸 Expenses'!$E$8:$E$5000,$A22,'💸 Expenses'!$B$8:$B$5000,"&gt;="&amp;DATE(2026,5,1),'💸 Expenses'!$B$8:$B$5000,"&lt;"&amp;DATE(2026,6,1))</f>
        <v/>
      </c>
      <c r="C22" s="413">
        <f>SUMIFS('💸 Expenses'!$F$8:$F$5000,'💸 Expenses'!$E$8:$E$5000,$A22,'💸 Expenses'!$B$8:$B$5000,"&gt;="&amp;DATE(2026,6,1),'💸 Expenses'!$B$8:$B$5000,"&lt;"&amp;DATE(2026,7,1))</f>
        <v/>
      </c>
      <c r="D22" s="413">
        <f>SUMIFS('💸 Expenses'!$F$8:$F$5000,'💸 Expenses'!$E$8:$E$5000,$A22,'💸 Expenses'!$B$8:$B$5000,"&gt;="&amp;DATE(2026,7,1),'💸 Expenses'!$B$8:$B$5000,"&lt;"&amp;DATE(2026,8,1))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Expenses'!$F$8:$F$5000,'💸 Expenses'!$E$8:$E$5000,$A23,'💸 Expenses'!$B$8:$B$5000,"&gt;="&amp;DATE(2026,5,1),'💸 Expenses'!$B$8:$B$5000,"&lt;"&amp;DATE(2026,6,1))</f>
        <v/>
      </c>
      <c r="C23" s="413">
        <f>SUMIFS('💸 Expenses'!$F$8:$F$5000,'💸 Expenses'!$E$8:$E$5000,$A23,'💸 Expenses'!$B$8:$B$5000,"&gt;="&amp;DATE(2026,6,1),'💸 Expenses'!$B$8:$B$5000,"&lt;"&amp;DATE(2026,7,1))</f>
        <v/>
      </c>
      <c r="D23" s="413">
        <f>SUMIFS('💸 Expenses'!$F$8:$F$5000,'💸 Expenses'!$E$8:$E$5000,$A23,'💸 Expenses'!$B$8:$B$5000,"&gt;="&amp;DATE(2026,7,1),'💸 Expenses'!$B$8:$B$5000,"&lt;"&amp;DATE(2026,8,1))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Expenses'!$F$8:$F$5000,'💸 Expenses'!$E$8:$E$5000,$A24,'💸 Expenses'!$B$8:$B$5000,"&gt;="&amp;DATE(2026,5,1),'💸 Expenses'!$B$8:$B$5000,"&lt;"&amp;DATE(2026,6,1))</f>
        <v/>
      </c>
      <c r="C24" s="413">
        <f>SUMIFS('💸 Expenses'!$F$8:$F$5000,'💸 Expenses'!$E$8:$E$5000,$A24,'💸 Expenses'!$B$8:$B$5000,"&gt;="&amp;DATE(2026,6,1),'💸 Expenses'!$B$8:$B$5000,"&lt;"&amp;DATE(2026,7,1))</f>
        <v/>
      </c>
      <c r="D24" s="413">
        <f>SUMIFS('💸 Expenses'!$F$8:$F$5000,'💸 Expenses'!$E$8:$E$5000,$A24,'💸 Expenses'!$B$8:$B$5000,"&gt;="&amp;DATE(2026,7,1),'💸 Expenses'!$B$8:$B$5000,"&lt;"&amp;DATE(2026,8,1))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Expenses'!$F$8:$F$5000,'💸 Expenses'!$E$8:$E$5000,$A25,'💸 Expenses'!$B$8:$B$5000,"&gt;="&amp;DATE(2026,5,1),'💸 Expenses'!$B$8:$B$5000,"&lt;"&amp;DATE(2026,6,1))</f>
        <v/>
      </c>
      <c r="C25" s="413">
        <f>SUMIFS('💸 Expenses'!$F$8:$F$5000,'💸 Expenses'!$E$8:$E$5000,$A25,'💸 Expenses'!$B$8:$B$5000,"&gt;="&amp;DATE(2026,6,1),'💸 Expenses'!$B$8:$B$5000,"&lt;"&amp;DATE(2026,7,1))</f>
        <v/>
      </c>
      <c r="D25" s="413">
        <f>SUMIFS('💸 Expenses'!$F$8:$F$5000,'💸 Expenses'!$E$8:$E$5000,$A25,'💸 Expenses'!$B$8:$B$5000,"&gt;="&amp;DATE(2026,7,1),'💸 Expenses'!$B$8:$B$5000,"&lt;"&amp;DATE(2026,8,1))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Expenses'!$F$8:$F$5000,'💸 Expenses'!$E$8:$E$5000,$A26,'💸 Expenses'!$B$8:$B$5000,"&gt;="&amp;DATE(2026,5,1),'💸 Expenses'!$B$8:$B$5000,"&lt;"&amp;DATE(2026,6,1))</f>
        <v/>
      </c>
      <c r="C26" s="413">
        <f>SUMIFS('💸 Expenses'!$F$8:$F$5000,'💸 Expenses'!$E$8:$E$5000,$A26,'💸 Expenses'!$B$8:$B$5000,"&gt;="&amp;DATE(2026,6,1),'💸 Expenses'!$B$8:$B$5000,"&lt;"&amp;DATE(2026,7,1))</f>
        <v/>
      </c>
      <c r="D26" s="413">
        <f>SUMIFS('💸 Expenses'!$F$8:$F$5000,'💸 Expenses'!$E$8:$E$5000,$A26,'💸 Expenses'!$B$8:$B$5000,"&gt;="&amp;DATE(2026,7,1),'💸 Expenses'!$B$8:$B$5000,"&lt;"&amp;DATE(2026,8,1))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Expenses'!$F$8:$F$5000,'💸 Expenses'!$E$8:$E$5000,$A27,'💸 Expenses'!$B$8:$B$5000,"&gt;="&amp;DATE(2026,5,1),'💸 Expenses'!$B$8:$B$5000,"&lt;"&amp;DATE(2026,6,1))</f>
        <v/>
      </c>
      <c r="C27" s="413">
        <f>SUMIFS('💸 Expenses'!$F$8:$F$5000,'💸 Expenses'!$E$8:$E$5000,$A27,'💸 Expenses'!$B$8:$B$5000,"&gt;="&amp;DATE(2026,6,1),'💸 Expenses'!$B$8:$B$5000,"&lt;"&amp;DATE(2026,7,1))</f>
        <v/>
      </c>
      <c r="D27" s="413">
        <f>SUMIFS('💸 Expenses'!$F$8:$F$5000,'💸 Expenses'!$E$8:$E$5000,$A27,'💸 Expenses'!$B$8:$B$5000,"&gt;="&amp;DATE(2026,7,1),'💸 Expenses'!$B$8:$B$5000,"&lt;"&amp;DATE(2026,8,1))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Expenses'!$F$8:$F$5000,'💸 Expenses'!$E$8:$E$5000,$A28,'💸 Expenses'!$B$8:$B$5000,"&gt;="&amp;DATE(2026,5,1),'💸 Expenses'!$B$8:$B$5000,"&lt;"&amp;DATE(2026,6,1))</f>
        <v/>
      </c>
      <c r="C28" s="413">
        <f>SUMIFS('💸 Expenses'!$F$8:$F$5000,'💸 Expenses'!$E$8:$E$5000,$A28,'💸 Expenses'!$B$8:$B$5000,"&gt;="&amp;DATE(2026,6,1),'💸 Expenses'!$B$8:$B$5000,"&lt;"&amp;DATE(2026,7,1))</f>
        <v/>
      </c>
      <c r="D28" s="413">
        <f>SUMIFS('💸 Expenses'!$F$8:$F$5000,'💸 Expenses'!$E$8:$E$5000,$A28,'💸 Expenses'!$B$8:$B$5000,"&gt;="&amp;DATE(2026,7,1),'💸 Expenses'!$B$8:$B$5000,"&lt;"&amp;DATE(2026,8,1))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Expenses'!$F$8:$F$5000,'💸 Expenses'!$E$8:$E$5000,$A29,'💸 Expenses'!$B$8:$B$5000,"&gt;="&amp;DATE(2026,5,1),'💸 Expenses'!$B$8:$B$5000,"&lt;"&amp;DATE(2026,6,1))</f>
        <v/>
      </c>
      <c r="C29" s="413">
        <f>SUMIFS('💸 Expenses'!$F$8:$F$5000,'💸 Expenses'!$E$8:$E$5000,$A29,'💸 Expenses'!$B$8:$B$5000,"&gt;="&amp;DATE(2026,6,1),'💸 Expenses'!$B$8:$B$5000,"&lt;"&amp;DATE(2026,7,1))</f>
        <v/>
      </c>
      <c r="D29" s="413">
        <f>SUMIFS('💸 Expenses'!$F$8:$F$5000,'💸 Expenses'!$E$8:$E$5000,$A29,'💸 Expenses'!$B$8:$B$5000,"&gt;="&amp;DATE(2026,7,1),'💸 Expenses'!$B$8:$B$5000,"&lt;"&amp;DATE(2026,8,1))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Expenses'!$F$8:$F$5000,'💸 Expenses'!$E$8:$E$5000,$A30,'💸 Expenses'!$B$8:$B$5000,"&gt;="&amp;DATE(2026,5,1),'💸 Expenses'!$B$8:$B$5000,"&lt;"&amp;DATE(2026,6,1))</f>
        <v/>
      </c>
      <c r="C30" s="413">
        <f>SUMIFS('💸 Expenses'!$F$8:$F$5000,'💸 Expenses'!$E$8:$E$5000,$A30,'💸 Expenses'!$B$8:$B$5000,"&gt;="&amp;DATE(2026,6,1),'💸 Expenses'!$B$8:$B$5000,"&lt;"&amp;DATE(2026,7,1))</f>
        <v/>
      </c>
      <c r="D30" s="413">
        <f>SUMIFS('💸 Expenses'!$F$8:$F$5000,'💸 Expenses'!$E$8:$E$5000,$A30,'💸 Expenses'!$B$8:$B$5000,"&gt;="&amp;DATE(2026,7,1),'💸 Expenses'!$B$8:$B$5000,"&lt;"&amp;DATE(2026,8,1))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Expenses'!$F$8:$F$5000,'💸 Expenses'!$E$8:$E$5000,$A31,'💸 Expenses'!$B$8:$B$5000,"&gt;="&amp;DATE(2026,5,1),'💸 Expenses'!$B$8:$B$5000,"&lt;"&amp;DATE(2026,6,1))</f>
        <v/>
      </c>
      <c r="C31" s="413">
        <f>SUMIFS('💸 Expenses'!$F$8:$F$5000,'💸 Expenses'!$E$8:$E$5000,$A31,'💸 Expenses'!$B$8:$B$5000,"&gt;="&amp;DATE(2026,6,1),'💸 Expenses'!$B$8:$B$5000,"&lt;"&amp;DATE(2026,7,1))</f>
        <v/>
      </c>
      <c r="D31" s="413">
        <f>SUMIFS('💸 Expenses'!$F$8:$F$5000,'💸 Expenses'!$E$8:$E$5000,$A31,'💸 Expenses'!$B$8:$B$5000,"&gt;="&amp;DATE(2026,7,1),'💸 Expenses'!$B$8:$B$5000,"&lt;"&amp;DATE(2026,8,1))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Expenses'!$F$8:$F$5000,'💸 Expenses'!$E$8:$E$5000,$A32,'💸 Expenses'!$B$8:$B$5000,"&gt;="&amp;DATE(2026,5,1),'💸 Expenses'!$B$8:$B$5000,"&lt;"&amp;DATE(2026,6,1))</f>
        <v/>
      </c>
      <c r="C32" s="413">
        <f>SUMIFS('💸 Expenses'!$F$8:$F$5000,'💸 Expenses'!$E$8:$E$5000,$A32,'💸 Expenses'!$B$8:$B$5000,"&gt;="&amp;DATE(2026,6,1),'💸 Expenses'!$B$8:$B$5000,"&lt;"&amp;DATE(2026,7,1))</f>
        <v/>
      </c>
      <c r="D32" s="413">
        <f>SUMIFS('💸 Expenses'!$F$8:$F$5000,'💸 Expenses'!$E$8:$E$5000,$A32,'💸 Expenses'!$B$8:$B$5000,"&gt;="&amp;DATE(2026,7,1),'💸 Expenses'!$B$8:$B$5000,"&lt;"&amp;DATE(2026,8,1))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Expenses'!$F$8:$F$5000,'💸 Expenses'!$E$8:$E$5000,$A33,'💸 Expenses'!$B$8:$B$5000,"&gt;="&amp;DATE(2026,5,1),'💸 Expenses'!$B$8:$B$5000,"&lt;"&amp;DATE(2026,6,1))</f>
        <v/>
      </c>
      <c r="C33" s="413">
        <f>SUMIFS('💸 Expenses'!$F$8:$F$5000,'💸 Expenses'!$E$8:$E$5000,$A33,'💸 Expenses'!$B$8:$B$5000,"&gt;="&amp;DATE(2026,6,1),'💸 Expenses'!$B$8:$B$5000,"&lt;"&amp;DATE(2026,7,1))</f>
        <v/>
      </c>
      <c r="D33" s="413">
        <f>SUMIFS('💸 Expenses'!$F$8:$F$5000,'💸 Expenses'!$E$8:$E$5000,$A33,'💸 Expenses'!$B$8:$B$5000,"&gt;="&amp;DATE(2026,7,1),'💸 Expenses'!$B$8:$B$5000,"&lt;"&amp;DATE(2026,8,1))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Expenses'!$F$8:$F$5000,'💸 Expenses'!$E$8:$E$5000,$A34,'💸 Expenses'!$B$8:$B$5000,"&gt;="&amp;DATE(2026,5,1),'💸 Expenses'!$B$8:$B$5000,"&lt;"&amp;DATE(2026,6,1))</f>
        <v/>
      </c>
      <c r="C34" s="413">
        <f>SUMIFS('💸 Expenses'!$F$8:$F$5000,'💸 Expenses'!$E$8:$E$5000,$A34,'💸 Expenses'!$B$8:$B$5000,"&gt;="&amp;DATE(2026,6,1),'💸 Expenses'!$B$8:$B$5000,"&lt;"&amp;DATE(2026,7,1))</f>
        <v/>
      </c>
      <c r="D34" s="413">
        <f>SUMIFS('💸 Expenses'!$F$8:$F$5000,'💸 Expenses'!$E$8:$E$5000,$A34,'💸 Expenses'!$B$8:$B$5000,"&gt;="&amp;DATE(2026,7,1),'💸 Expenses'!$B$8:$B$5000,"&lt;"&amp;DATE(2026,8,1))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Expenses'!$F$8:$F$5000,'💸 Expenses'!$E$8:$E$5000,$A35,'💸 Expenses'!$B$8:$B$5000,"&gt;="&amp;DATE(2026,5,1),'💸 Expenses'!$B$8:$B$5000,"&lt;"&amp;DATE(2026,6,1))</f>
        <v/>
      </c>
      <c r="C35" s="413">
        <f>SUMIFS('💸 Expenses'!$F$8:$F$5000,'💸 Expenses'!$E$8:$E$5000,$A35,'💸 Expenses'!$B$8:$B$5000,"&gt;="&amp;DATE(2026,6,1),'💸 Expenses'!$B$8:$B$5000,"&lt;"&amp;DATE(2026,7,1))</f>
        <v/>
      </c>
      <c r="D35" s="413">
        <f>SUMIFS('💸 Expenses'!$F$8:$F$5000,'💸 Expenses'!$E$8:$E$5000,$A35,'💸 Expenses'!$B$8:$B$5000,"&gt;="&amp;DATE(2026,7,1),'💸 Expenses'!$B$8:$B$5000,"&lt;"&amp;DATE(2026,8,1))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Expenses'!$F$8:$F$5000,'💸 Expenses'!$E$8:$E$5000,$A36,'💸 Expenses'!$B$8:$B$5000,"&gt;="&amp;DATE(2026,5,1),'💸 Expenses'!$B$8:$B$5000,"&lt;"&amp;DATE(2026,6,1))</f>
        <v/>
      </c>
      <c r="C36" s="413">
        <f>SUMIFS('💸 Expenses'!$F$8:$F$5000,'💸 Expenses'!$E$8:$E$5000,$A36,'💸 Expenses'!$B$8:$B$5000,"&gt;="&amp;DATE(2026,6,1),'💸 Expenses'!$B$8:$B$5000,"&lt;"&amp;DATE(2026,7,1))</f>
        <v/>
      </c>
      <c r="D36" s="413">
        <f>SUMIFS('💸 Expenses'!$F$8:$F$5000,'💸 Expenses'!$E$8:$E$5000,$A36,'💸 Expenses'!$B$8:$B$5000,"&gt;="&amp;DATE(2026,7,1),'💸 Expenses'!$B$8:$B$5000,"&lt;"&amp;DATE(2026,8,1))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Expenses'!$F$8:$F$5000,'💸 Expenses'!$E$8:$E$5000,$A37,'💸 Expenses'!$B$8:$B$5000,"&gt;="&amp;DATE(2026,5,1),'💸 Expenses'!$B$8:$B$5000,"&lt;"&amp;DATE(2026,6,1))</f>
        <v/>
      </c>
      <c r="C37" s="413">
        <f>SUMIFS('💸 Expenses'!$F$8:$F$5000,'💸 Expenses'!$E$8:$E$5000,$A37,'💸 Expenses'!$B$8:$B$5000,"&gt;="&amp;DATE(2026,6,1),'💸 Expenses'!$B$8:$B$5000,"&lt;"&amp;DATE(2026,7,1))</f>
        <v/>
      </c>
      <c r="D37" s="413">
        <f>SUMIFS('💸 Expenses'!$F$8:$F$5000,'💸 Expenses'!$E$8:$E$5000,$A37,'💸 Expenses'!$B$8:$B$5000,"&gt;="&amp;DATE(2026,7,1),'💸 Expenses'!$B$8:$B$5000,"&lt;"&amp;DATE(2026,8,1))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Expenses'!$F$8:$F$5000,'💸 Expenses'!$E$8:$E$5000,$A38,'💸 Expenses'!$B$8:$B$5000,"&gt;="&amp;DATE(2026,5,1),'💸 Expenses'!$B$8:$B$5000,"&lt;"&amp;DATE(2026,6,1))</f>
        <v/>
      </c>
      <c r="C38" s="413">
        <f>SUMIFS('💸 Expenses'!$F$8:$F$5000,'💸 Expenses'!$E$8:$E$5000,$A38,'💸 Expenses'!$B$8:$B$5000,"&gt;="&amp;DATE(2026,6,1),'💸 Expenses'!$B$8:$B$5000,"&lt;"&amp;DATE(2026,7,1))</f>
        <v/>
      </c>
      <c r="D38" s="413">
        <f>SUMIFS('💸 Expenses'!$F$8:$F$5000,'💸 Expenses'!$E$8:$E$5000,$A38,'💸 Expenses'!$B$8:$B$5000,"&gt;="&amp;DATE(2026,7,1),'💸 Expenses'!$B$8:$B$5000,"&lt;"&amp;DATE(2026,8,1))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Expenses'!$F$8:$F$5000,'💸 Expenses'!$E$8:$E$5000,$A39,'💸 Expenses'!$B$8:$B$5000,"&gt;="&amp;DATE(2026,5,1),'💸 Expenses'!$B$8:$B$5000,"&lt;"&amp;DATE(2026,6,1))</f>
        <v/>
      </c>
      <c r="C39" s="413">
        <f>SUMIFS('💸 Expenses'!$F$8:$F$5000,'💸 Expenses'!$E$8:$E$5000,$A39,'💸 Expenses'!$B$8:$B$5000,"&gt;="&amp;DATE(2026,6,1),'💸 Expenses'!$B$8:$B$5000,"&lt;"&amp;DATE(2026,7,1))</f>
        <v/>
      </c>
      <c r="D39" s="413">
        <f>SUMIFS('💸 Expenses'!$F$8:$F$5000,'💸 Expenses'!$E$8:$E$5000,$A39,'💸 Expenses'!$B$8:$B$5000,"&gt;="&amp;DATE(2026,7,1),'💸 Expenses'!$B$8:$B$5000,"&lt;"&amp;DATE(2026,8,1))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Expenses'!$F$8:$F$5000,'💸 Expenses'!$E$8:$E$5000,$A40,'💸 Expenses'!$B$8:$B$5000,"&gt;="&amp;DATE(2026,5,1),'💸 Expenses'!$B$8:$B$5000,"&lt;"&amp;DATE(2026,6,1))</f>
        <v/>
      </c>
      <c r="C40" s="413">
        <f>SUMIFS('💸 Expenses'!$F$8:$F$5000,'💸 Expenses'!$E$8:$E$5000,$A40,'💸 Expenses'!$B$8:$B$5000,"&gt;="&amp;DATE(2026,6,1),'💸 Expenses'!$B$8:$B$5000,"&lt;"&amp;DATE(2026,7,1))</f>
        <v/>
      </c>
      <c r="D40" s="413">
        <f>SUMIFS('💸 Expenses'!$F$8:$F$5000,'💸 Expenses'!$E$8:$E$5000,$A40,'💸 Expenses'!$B$8:$B$5000,"&gt;="&amp;DATE(2026,7,1),'💸 Expenses'!$B$8:$B$5000,"&lt;"&amp;DATE(2026,8,1))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Expenses'!$F$8:$F$5000,'💸 Expenses'!$E$8:$E$5000,$A41,'💸 Expenses'!$B$8:$B$5000,"&gt;="&amp;DATE(2026,5,1),'💸 Expenses'!$B$8:$B$5000,"&lt;"&amp;DATE(2026,6,1))</f>
        <v/>
      </c>
      <c r="C41" s="413">
        <f>SUMIFS('💸 Expenses'!$F$8:$F$5000,'💸 Expenses'!$E$8:$E$5000,$A41,'💸 Expenses'!$B$8:$B$5000,"&gt;="&amp;DATE(2026,6,1),'💸 Expenses'!$B$8:$B$5000,"&lt;"&amp;DATE(2026,7,1))</f>
        <v/>
      </c>
      <c r="D41" s="413">
        <f>SUMIFS('💸 Expenses'!$F$8:$F$5000,'💸 Expenses'!$E$8:$E$5000,$A41,'💸 Expenses'!$B$8:$B$5000,"&gt;="&amp;DATE(2026,7,1),'💸 Expenses'!$B$8:$B$5000,"&lt;"&amp;DATE(2026,8,1))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Expenses'!$F$8:$F$5000,'💸 Expenses'!$E$8:$E$5000,$A42,'💸 Expenses'!$B$8:$B$5000,"&gt;="&amp;DATE(2026,5,1),'💸 Expenses'!$B$8:$B$5000,"&lt;"&amp;DATE(2026,6,1))</f>
        <v/>
      </c>
      <c r="C42" s="413">
        <f>SUMIFS('💸 Expenses'!$F$8:$F$5000,'💸 Expenses'!$E$8:$E$5000,$A42,'💸 Expenses'!$B$8:$B$5000,"&gt;="&amp;DATE(2026,6,1),'💸 Expenses'!$B$8:$B$5000,"&lt;"&amp;DATE(2026,7,1))</f>
        <v/>
      </c>
      <c r="D42" s="413">
        <f>SUMIFS('💸 Expenses'!$F$8:$F$5000,'💸 Expenses'!$E$8:$E$5000,$A42,'💸 Expenses'!$B$8:$B$5000,"&gt;="&amp;DATE(2026,7,1),'💸 Expenses'!$B$8:$B$5000,"&lt;"&amp;DATE(2026,8,1))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Expenses'!$F$8:$F$5000,'💸 Expenses'!$E$8:$E$5000,$A43,'💸 Expenses'!$B$8:$B$5000,"&gt;="&amp;DATE(2026,5,1),'💸 Expenses'!$B$8:$B$5000,"&lt;"&amp;DATE(2026,6,1))</f>
        <v/>
      </c>
      <c r="C43" s="413">
        <f>SUMIFS('💸 Expenses'!$F$8:$F$5000,'💸 Expenses'!$E$8:$E$5000,$A43,'💸 Expenses'!$B$8:$B$5000,"&gt;="&amp;DATE(2026,6,1),'💸 Expenses'!$B$8:$B$5000,"&lt;"&amp;DATE(2026,7,1))</f>
        <v/>
      </c>
      <c r="D43" s="413">
        <f>SUMIFS('💸 Expenses'!$F$8:$F$5000,'💸 Expenses'!$E$8:$E$5000,$A43,'💸 Expenses'!$B$8:$B$5000,"&gt;="&amp;DATE(2026,7,1),'💸 Expenses'!$B$8:$B$5000,"&lt;"&amp;DATE(2026,8,1))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Expenses'!$F$8:$F$5000,'💸 Expenses'!$E$8:$E$5000,$A44,'💸 Expenses'!$B$8:$B$5000,"&gt;="&amp;DATE(2026,5,1),'💸 Expenses'!$B$8:$B$5000,"&lt;"&amp;DATE(2026,6,1))</f>
        <v/>
      </c>
      <c r="C44" s="413">
        <f>SUMIFS('💸 Expenses'!$F$8:$F$5000,'💸 Expenses'!$E$8:$E$5000,$A44,'💸 Expenses'!$B$8:$B$5000,"&gt;="&amp;DATE(2026,6,1),'💸 Expenses'!$B$8:$B$5000,"&lt;"&amp;DATE(2026,7,1))</f>
        <v/>
      </c>
      <c r="D44" s="413">
        <f>SUMIFS('💸 Expenses'!$F$8:$F$5000,'💸 Expenses'!$E$8:$E$5000,$A44,'💸 Expenses'!$B$8:$B$5000,"&gt;="&amp;DATE(2026,7,1),'💸 Expenses'!$B$8:$B$5000,"&lt;"&amp;DATE(2026,8,1))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Expenses'!$F$8:$F$5000,'💸 Expenses'!$B$8:$B$5000,"&gt;="&amp;DATE(2026,5,1),'💸 Expenses'!$B$8:$B$5000,"&lt;"&amp;DATE(2026,6,1))</f>
        <v/>
      </c>
      <c r="C45" s="414">
        <f>SUMIFS('💸 Expenses'!$F$8:$F$5000,'💸 Expenses'!$B$8:$B$5000,"&gt;="&amp;DATE(2026,6,1),'💸 Expenses'!$B$8:$B$5000,"&lt;"&amp;DATE(2026,7,1))</f>
        <v/>
      </c>
      <c r="D45" s="414">
        <f>SUMIFS('💸 Expenses'!$F$8:$F$5000,'💸 Expenses'!$B$8:$B$5000,"&gt;="&amp;DATE(2026,7,1),'💸 Expenses'!$B$8:$B$5000,"&lt;"&amp;DATE(2026,8,1))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zoomScaleNormal="100" workbookViewId="0">
      <selection activeCell="A1" sqref="A1"/>
    </sheetView>
  </sheetViews>
  <sheetFormatPr baseColWidth="8" defaultRowHeight="14.4" customHeight="1"/>
  <sheetData>
    <row r="1"/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3"/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6"/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2"/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inlineStr">
        <is>
          <t>TOTALS &amp; CURRENT BALANCE</t>
        </is>
      </c>
      <c r="B45" s="232" t="n"/>
      <c r="C45" s="232" t="n"/>
      <c r="D45" s="232">
        <f>SUM(D4:D44)</f>
        <v/>
      </c>
      <c r="E45" s="233">
        <f>SUM(E4:E44)</f>
        <v/>
      </c>
      <c r="F45" s="233">
        <f>F44</f>
        <v/>
      </c>
      <c r="G45" s="232">
        <f>IF(F44&gt;0,"Restaurant owes Lohith $"&amp;TEXT(F44,"#,##0"),IF(F44&lt;0,"Lohith holds $"&amp;TEXT(ABS(F44),"#,##0"),"Zero balance"))</f>
        <v/>
      </c>
      <c r="H45" s="232" t="n"/>
    </row>
    <row r="46">
      <c r="A46" s="231" t="n"/>
      <c r="B46" s="232" t="n"/>
      <c r="C46" s="232" t="n"/>
      <c r="D46" s="232" t="n"/>
      <c r="E46" s="233" t="n"/>
      <c r="F46" s="233" t="n"/>
      <c r="G46" s="232" t="n"/>
      <c r="H4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2026-07-21T12:58:52Z</dcterms:modified>
  <cp:lastModifiedBy>LOHITH REDDY</cp:lastModifiedBy>
</cp:coreProperties>
</file>