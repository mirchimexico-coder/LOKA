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20911.85</v>
      </c>
      <c r="E147" s="286" t="inlineStr">
        <is>
          <t>Operating costs funded from partner capital, net of repayments. Funded: 20,000 (rent Jul) + 17,200.04 (rent Aug) + 8,789 (luz Aug) + 19,314.81 (liquidacion ledger) = 65,303.85. Repaid from operating cash: 20,000 (21-Jul) + 2,587 (22-Jul) + 10,301 (05-Aug) = 32,888. Still owed by Operations: 32,415.85.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-44392</v>
      </c>
      <c r="E149" t="inlineStr">
        <is>
          <t>Cumulative repaid from operating cash (latest 13-Aug-2026 $11,504.00).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3315.0</v>
      </c>
      <c r="G6" s="31">
        <f>SUMIFS($G$8:$G$5000,$B$8:$B$5000,TODAY())</f>
        <v>0.0</v>
      </c>
      <c r="H6" s="28">
        <f>SUMIFS($H$8:$H$5000,$B$8:$B$5000,TODAY())</f>
        <v>3736.0</v>
      </c>
      <c r="I6" s="32">
        <f>F6-H6</f>
        <v>-421.0</v>
      </c>
      <c r="J6">
        <f>IFERROR(I6/F6,0)</f>
        <v>-0.126998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23090.0</v>
      </c>
      <c r="N6" s="33">
        <f>SUMPRODUCT((ISNUMBER($B$8:$B$5000))*($B$8:$B$5000&gt;=TODAY()-MOD(TODAY()-2,7))*($B$8:$B$5000&lt;TODAY()-MOD(TODAY()-2,7)+7)*IF(ISNUMBER($F$8:$F$5000),$F$8:$F$5000,0))</f>
        <v>23090.0</v>
      </c>
      <c r="O6" s="33">
        <f>SUMPRODUCT((ISNUMBER($B$8:$B$5000))*(MONTH($B$8:$B$5000)=MONTH(TODAY()))*(YEAR($B$8:$B$5000)=YEAR(TODAY()))*IF(ISNUMBER($F$8:$F$5000),$F$8:$F$5000,0))</f>
        <v>81053.0</v>
      </c>
      <c r="P6">
        <f>SUMPRODUCT((ISNUMBER($B$8:$B$5000))*($B$8:$B$5000&gt;=TODAY()-MOD(TODAY()-2,7))*($B$8:$B$5000&lt;TODAY()-MOD(TODAY()-2,7)+7)*IF(ISNUMBER($H$8:$H$5000),$H$8:$H$5000,0))</f>
        <v>13382.0</v>
      </c>
      <c r="Q6">
        <f>M6-P6</f>
        <v>9708.0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31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31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31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31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31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31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31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31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31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31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31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31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31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31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31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31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31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3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3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673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370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Armando — Ayudante Salary</t>
        </is>
      </c>
      <c r="B37" s="199" t="n">
        <v>1850</v>
      </c>
      <c r="C37" s="220" t="n">
        <v>7400</v>
      </c>
      <c r="D37" s="221" t="inlineStr">
        <is>
          <t>$370/day · 5 days Mon–Fri · Sat not available · started 13 Aug 2026 (first payment $740 = 2 days on 14 Aug). Replaces Samu.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Armando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Samu left Aug 2026 — replaced by Armando ($1,850/wk vs $1,200/wk)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9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3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3" t="n"/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3" t="n"/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3" t="n"/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3" t="n"/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33" t="n"/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3" t="n"/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3" t="n"/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3" t="n"/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3" t="n"/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3" t="n"/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3" t="n"/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3" t="n"/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3" t="n"/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3" t="n"/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3" t="n"/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3" t="n"/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3" t="n"/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3" t="n"/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3" t="n"/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3" t="n"/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3" t="n"/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3" t="n"/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Supplies/Other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3" t="n"/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Maintenance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3" t="n"/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Ingredients - Meat &amp; Fish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3" t="n"/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Packaging/Disposables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3" t="n"/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Utilities/Gas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3" t="n"/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Ingredients - Fruit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3" t="n"/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3" t="n"/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3" t="n"/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Office Supplies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3" t="n"/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Ingredients - Other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3" t="n"/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Software/Subscription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3" t="n"/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3" t="n"/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Desserts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3" t="n"/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Eggs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3" t="n"/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3" t="n"/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3" t="n"/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3" t="n"/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E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Transfer Received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Received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inlineStr">
        <is>
          <t>TOTALS &amp; CURRENT BALANCE</t>
        </is>
      </c>
      <c r="B76" s="232" t="n"/>
      <c r="C76" s="232" t="n"/>
      <c r="D76" s="232">
        <f>SUM(D4:D75)</f>
        <v/>
      </c>
      <c r="E76" s="233">
        <f>SUM(E4:E75)</f>
        <v/>
      </c>
      <c r="F76" s="233">
        <f>F75</f>
        <v/>
      </c>
      <c r="G76" s="232">
        <f>IF(F75&gt;0,"Restaurant owes Lohith $"&amp;TEXT(F75,"#,##0"),IF(F75&lt;0,"Lohith holds $"&amp;TEXT(ABS(F75),"#,##0"),"Zero balance"))</f>
        <v/>
      </c>
      <c r="H76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2026-08-22T05:07:19Z</dcterms:modified>
  <cp:lastModifiedBy>LOHITH REDDY</cp:lastModifiedBy>
</cp:coreProperties>
</file>