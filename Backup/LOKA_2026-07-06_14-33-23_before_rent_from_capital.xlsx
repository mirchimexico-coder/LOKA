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85" t="n">
        <v>46207</v>
      </c>
      <c r="C55" s="256" t="inlineStr">
        <is>
          <t>Sat</t>
        </is>
      </c>
      <c r="D55" s="257" t="n">
        <v>1739</v>
      </c>
      <c r="E55" s="49" t="n">
        <v>895</v>
      </c>
      <c r="F55" s="50">
        <f>IFERROR(D55+E55+G55,0)</f>
        <v/>
      </c>
      <c r="G55" s="258" t="n">
        <v>0</v>
      </c>
      <c r="H55" s="259">
        <f>SUMIFS('💸 Expenses'!$F$8:$F$500,'💸 Expenses'!$B$8:$B$500,"&gt;="&amp;B55,'💸 Expenses'!$B$8:$B$500,"&lt;"&amp;(B55+1))</f>
        <v/>
      </c>
      <c r="I55" s="260">
        <f>IFERROR(F55-H55,0)</f>
        <v/>
      </c>
      <c r="J55" s="261">
        <f>IFERROR(I55/F55,0)</f>
        <v/>
      </c>
      <c r="K55" s="255" t="n"/>
      <c r="L55" s="262" t="inlineStr">
        <is>
          <t>Cierre via loka.py</t>
        </is>
      </c>
      <c r="M55" s="21" t="n"/>
      <c r="N55" s="56" t="n"/>
      <c r="O55" s="57" t="n"/>
      <c r="P55" s="58" t="n"/>
      <c r="Q55" s="56" t="n"/>
      <c r="R55" s="410">
        <f>IFERROR(D55*$T$7,0)</f>
        <v/>
      </c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382" t="n">
        <v>46207</v>
      </c>
      <c r="C417" s="248" t="inlineStr">
        <is>
          <t>Zanahoria 3kg, Limon 3kg, Cebolla 3kg</t>
        </is>
      </c>
      <c r="D417" s="249" t="inlineStr">
        <is>
          <t>Mi Joven</t>
        </is>
      </c>
      <c r="E417" s="248" t="inlineStr">
        <is>
          <t>Ingredients - Vegetables</t>
        </is>
      </c>
      <c r="F417" s="67" t="n">
        <v>147</v>
      </c>
      <c r="G417" s="250" t="inlineStr">
        <is>
          <t>Restaurant</t>
        </is>
      </c>
      <c r="H417" s="250" t="inlineStr">
        <is>
          <t>Cash</t>
        </is>
      </c>
      <c r="I417" s="251" t="inlineStr">
        <is>
          <t>✅ Paid</t>
        </is>
      </c>
      <c r="J417" s="383" t="inlineStr">
        <is>
          <t>Mercado de Abastos folio 21212; efectivo</t>
        </is>
      </c>
    </row>
    <row r="418">
      <c r="B418" s="382" t="n">
        <v>46207</v>
      </c>
      <c r="C418" s="252" t="inlineStr">
        <is>
          <t>Papas 6 x $35</t>
        </is>
      </c>
      <c r="D418" s="253" t="inlineStr">
        <is>
          <t>Papas San Miguel</t>
        </is>
      </c>
      <c r="E418" s="252" t="inlineStr">
        <is>
          <t>Ingredients - Vegetables</t>
        </is>
      </c>
      <c r="F418" s="70" t="n">
        <v>210</v>
      </c>
      <c r="G418" s="254" t="inlineStr">
        <is>
          <t>Restaurant</t>
        </is>
      </c>
      <c r="H418" s="254" t="inlineStr">
        <is>
          <t>Cash</t>
        </is>
      </c>
      <c r="I418" s="255" t="inlineStr">
        <is>
          <t>✅ Paid</t>
        </is>
      </c>
      <c r="J418" s="383" t="inlineStr">
        <is>
          <t>6x35=210; efectivo</t>
        </is>
      </c>
    </row>
    <row r="419">
      <c r="B419" s="382" t="n">
        <v>46207</v>
      </c>
      <c r="C419" s="248" t="inlineStr">
        <is>
          <t>Verduras/hierbas mixtas (col, espinacas, hierbabuena, champinones, betabeles, lechugas, jengibre)</t>
        </is>
      </c>
      <c r="D419" s="249" t="inlineStr">
        <is>
          <t>Hnos. Labra</t>
        </is>
      </c>
      <c r="E419" s="248" t="inlineStr">
        <is>
          <t>Ingredients - Vegetables</t>
        </is>
      </c>
      <c r="F419" s="67" t="n">
        <v>339</v>
      </c>
      <c r="G419" s="250" t="inlineStr">
        <is>
          <t>Restaurant</t>
        </is>
      </c>
      <c r="H419" s="250" t="inlineStr">
        <is>
          <t>Cash</t>
        </is>
      </c>
      <c r="I419" s="251" t="inlineStr">
        <is>
          <t>✅ Paid</t>
        </is>
      </c>
      <c r="J419" s="383" t="inlineStr">
        <is>
          <t>Suma lineas=339; efectivo</t>
        </is>
      </c>
    </row>
    <row r="420">
      <c r="B420" s="382" t="n">
        <v>46207</v>
      </c>
      <c r="C420" s="252" t="inlineStr">
        <is>
          <t>Guayaba (1 primera)</t>
        </is>
      </c>
      <c r="D420" s="253" t="inlineStr">
        <is>
          <t>Guayabas Aviles Hernandez</t>
        </is>
      </c>
      <c r="E420" s="252" t="inlineStr">
        <is>
          <t>Ingredients - Fruit</t>
        </is>
      </c>
      <c r="F420" s="70" t="n">
        <v>150</v>
      </c>
      <c r="G420" s="254" t="inlineStr">
        <is>
          <t>Restaurant</t>
        </is>
      </c>
      <c r="H420" s="254" t="inlineStr">
        <is>
          <t>Cash</t>
        </is>
      </c>
      <c r="I420" s="255" t="inlineStr">
        <is>
          <t>✅ Paid</t>
        </is>
      </c>
      <c r="J420" s="383" t="inlineStr">
        <is>
          <t>Total ~$150; efectivo</t>
        </is>
      </c>
    </row>
    <row r="421">
      <c r="B421" s="382" t="n">
        <v>46207</v>
      </c>
      <c r="C421" s="248" t="inlineStr">
        <is>
          <t>Pepino</t>
        </is>
      </c>
      <c r="D421" s="249" t="inlineStr">
        <is>
          <t>Citricos Sanchez</t>
        </is>
      </c>
      <c r="E421" s="248" t="inlineStr">
        <is>
          <t>Ingredients - Vegetables</t>
        </is>
      </c>
      <c r="F421" s="67" t="n">
        <v>49</v>
      </c>
      <c r="G421" s="250" t="inlineStr">
        <is>
          <t>Restaurant</t>
        </is>
      </c>
      <c r="H421" s="250" t="inlineStr">
        <is>
          <t>Cash</t>
        </is>
      </c>
      <c r="I421" s="251" t="inlineStr">
        <is>
          <t>✅ Paid</t>
        </is>
      </c>
      <c r="J421" s="383" t="inlineStr">
        <is>
          <t>Folio 7244; total $49 (detalle de linea poco legible)</t>
        </is>
      </c>
    </row>
    <row r="422">
      <c r="B422" s="382" t="n">
        <v>46207</v>
      </c>
      <c r="C422" s="252" t="inlineStr">
        <is>
          <t>Cubiertos soperos desechables (tenedor/cuchara/cuchillo)</t>
        </is>
      </c>
      <c r="D422" s="253" t="inlineStr">
        <is>
          <t>Guimar Polietilenos</t>
        </is>
      </c>
      <c r="E422" s="252" t="inlineStr">
        <is>
          <t>Packaging/Disposables</t>
        </is>
      </c>
      <c r="F422" s="70" t="n">
        <v>139.8</v>
      </c>
      <c r="G422" s="254" t="inlineStr">
        <is>
          <t>Restaurant</t>
        </is>
      </c>
      <c r="H422" s="254" t="inlineStr">
        <is>
          <t>Card</t>
        </is>
      </c>
      <c r="I422" s="255" t="inlineStr">
        <is>
          <t>✅ Paid</t>
        </is>
      </c>
      <c r="J422" s="383" t="inlineStr">
        <is>
          <t>Folio AK90544; tarjeta de credito</t>
        </is>
      </c>
    </row>
    <row r="423">
      <c r="B423" s="382" t="n">
        <v>46207</v>
      </c>
      <c r="C423" s="248" t="inlineStr">
        <is>
          <t>Melon</t>
        </is>
      </c>
      <c r="D423" s="249" t="inlineStr">
        <is>
          <t>Frutas de Temporada Jose</t>
        </is>
      </c>
      <c r="E423" s="248" t="inlineStr">
        <is>
          <t>Ingredients - Fruit</t>
        </is>
      </c>
      <c r="F423" s="67" t="n">
        <v>30</v>
      </c>
      <c r="G423" s="250" t="inlineStr">
        <is>
          <t>Restaurant</t>
        </is>
      </c>
      <c r="H423" s="250" t="inlineStr">
        <is>
          <t>Cash</t>
        </is>
      </c>
      <c r="I423" s="251" t="inlineStr">
        <is>
          <t>✅ Paid</t>
        </is>
      </c>
      <c r="J423" s="383" t="inlineStr">
        <is>
          <t>Solo melon $30; sin total impreso</t>
        </is>
      </c>
    </row>
    <row r="424">
      <c r="B424" s="382" t="n">
        <v>46207</v>
      </c>
      <c r="C424" s="252" t="inlineStr">
        <is>
          <t>Morron surtido</t>
        </is>
      </c>
      <c r="D424" s="253" t="inlineStr">
        <is>
          <t>Verduras Selectas Oscar</t>
        </is>
      </c>
      <c r="E424" s="252" t="inlineStr">
        <is>
          <t>Ingredients - Vegetables</t>
        </is>
      </c>
      <c r="F424" s="70" t="n">
        <v>20</v>
      </c>
      <c r="G424" s="254" t="inlineStr">
        <is>
          <t>Restaurant</t>
        </is>
      </c>
      <c r="H424" s="254" t="inlineStr">
        <is>
          <t>Cash</t>
        </is>
      </c>
      <c r="I424" s="255" t="inlineStr">
        <is>
          <t>✅ Paid</t>
        </is>
      </c>
      <c r="J424" s="383" t="inlineStr">
        <is>
          <t>Morron $20; sin total impreso</t>
        </is>
      </c>
    </row>
    <row r="425">
      <c r="B425" s="382" t="n">
        <v>46207</v>
      </c>
      <c r="C425" s="248" t="inlineStr">
        <is>
          <t>Fresa 0.775kg @ $65/kg</t>
        </is>
      </c>
      <c r="D425" s="249" t="inlineStr">
        <is>
          <t>Nota manuscrita</t>
        </is>
      </c>
      <c r="E425" s="248" t="inlineStr">
        <is>
          <t>Ingredients - Fruit</t>
        </is>
      </c>
      <c r="F425" s="67" t="n">
        <v>50</v>
      </c>
      <c r="G425" s="250" t="inlineStr">
        <is>
          <t>Restaurant</t>
        </is>
      </c>
      <c r="H425" s="250" t="inlineStr">
        <is>
          <t>Cash</t>
        </is>
      </c>
      <c r="I425" s="251" t="inlineStr">
        <is>
          <t>✅ Paid</t>
        </is>
      </c>
      <c r="J425" s="383" t="inlineStr">
        <is>
          <t>.775x65=50; efectivo</t>
        </is>
      </c>
    </row>
    <row r="426">
      <c r="B426" s="382" t="n">
        <v>46207</v>
      </c>
      <c r="C426" s="252" t="inlineStr">
        <is>
          <t>Gelatinas, hot cakes, jarabe, verduras congeladas</t>
        </is>
      </c>
      <c r="D426" s="253" t="inlineStr">
        <is>
          <t>Basicos</t>
        </is>
      </c>
      <c r="E426" s="252" t="inlineStr">
        <is>
          <t>Supermarket/General</t>
        </is>
      </c>
      <c r="F426" s="70" t="n">
        <v>354.5</v>
      </c>
      <c r="G426" s="254" t="inlineStr">
        <is>
          <t>Restaurant</t>
        </is>
      </c>
      <c r="H426" s="254" t="inlineStr">
        <is>
          <t>Card</t>
        </is>
      </c>
      <c r="I426" s="255" t="inlineStr">
        <is>
          <t>✅ Paid</t>
        </is>
      </c>
      <c r="J426" s="383" t="inlineStr">
        <is>
          <t>Total $358 - desc $3.50 = $354.50; tarjeta</t>
        </is>
      </c>
    </row>
    <row r="427">
      <c r="B427" s="382" t="n">
        <v>46207</v>
      </c>
      <c r="C427" s="248" t="inlineStr">
        <is>
          <t>Melocoton 2.5kg + Platano</t>
        </is>
      </c>
      <c r="D427" s="249" t="inlineStr">
        <is>
          <t>Remision</t>
        </is>
      </c>
      <c r="E427" s="248" t="inlineStr">
        <is>
          <t>Ingredients - Fruit</t>
        </is>
      </c>
      <c r="F427" s="67" t="n">
        <v>68</v>
      </c>
      <c r="G427" s="250" t="inlineStr">
        <is>
          <t>Restaurant</t>
        </is>
      </c>
      <c r="H427" s="250" t="inlineStr">
        <is>
          <t>Cash</t>
        </is>
      </c>
      <c r="I427" s="251" t="inlineStr">
        <is>
          <t>✅ Paid</t>
        </is>
      </c>
      <c r="J427" s="383" t="inlineStr">
        <is>
          <t>Melocoton $50 + platano $18 = $68; efectivo</t>
        </is>
      </c>
    </row>
    <row r="428">
      <c r="B428" s="382" t="n">
        <v>46207</v>
      </c>
      <c r="C428" s="252" t="inlineStr">
        <is>
          <t>Papaya</t>
        </is>
      </c>
      <c r="D428" s="253" t="inlineStr">
        <is>
          <t>Remision</t>
        </is>
      </c>
      <c r="E428" s="252" t="inlineStr">
        <is>
          <t>Ingredients - Fruit</t>
        </is>
      </c>
      <c r="F428" s="70" t="n">
        <v>36</v>
      </c>
      <c r="G428" s="254" t="inlineStr">
        <is>
          <t>Restaurant</t>
        </is>
      </c>
      <c r="H428" s="254" t="inlineStr">
        <is>
          <t>Cash</t>
        </is>
      </c>
      <c r="I428" s="255" t="inlineStr">
        <is>
          <t>✅ Paid</t>
        </is>
      </c>
      <c r="J428" s="383" t="inlineStr">
        <is>
          <t>Papaya total $36; efectivo</t>
        </is>
      </c>
    </row>
    <row r="429">
      <c r="B429" s="382" t="n">
        <v>46207</v>
      </c>
      <c r="C429" s="248" t="inlineStr">
        <is>
          <t>Granola 400g + Tortillas blancas 4.435kg</t>
        </is>
      </c>
      <c r="D429" s="249" t="inlineStr">
        <is>
          <t>Chedraui Selecto</t>
        </is>
      </c>
      <c r="E429" s="248" t="inlineStr">
        <is>
          <t>Supermarket/General</t>
        </is>
      </c>
      <c r="F429" s="67" t="n">
        <v>108.43</v>
      </c>
      <c r="G429" s="250" t="inlineStr">
        <is>
          <t>Restaurant</t>
        </is>
      </c>
      <c r="H429" s="250" t="inlineStr">
        <is>
          <t>Card</t>
        </is>
      </c>
      <c r="I429" s="251" t="inlineStr">
        <is>
          <t>✅ Paid</t>
        </is>
      </c>
      <c r="J429" s="383" t="inlineStr">
        <is>
          <t>Granola $53 + tortillas $55.43; debito ***0311</t>
        </is>
      </c>
    </row>
    <row r="430">
      <c r="B430" s="382" t="n">
        <v>46207</v>
      </c>
      <c r="C430" s="252" t="inlineStr">
        <is>
          <t>Jitomate 8.3kg + Aguacate Hass</t>
        </is>
      </c>
      <c r="D430" s="253" t="inlineStr">
        <is>
          <t>Frutas Finas Ana Pao</t>
        </is>
      </c>
      <c r="E430" s="252" t="inlineStr">
        <is>
          <t>Ingredients - Vegetables</t>
        </is>
      </c>
      <c r="F430" s="70" t="n">
        <v>126</v>
      </c>
      <c r="G430" s="254" t="inlineStr">
        <is>
          <t>Restaurant</t>
        </is>
      </c>
      <c r="H430" s="254" t="inlineStr">
        <is>
          <t>Cash</t>
        </is>
      </c>
      <c r="I430" s="255" t="inlineStr">
        <is>
          <t>✅ Paid</t>
        </is>
      </c>
      <c r="J430" s="383" t="inlineStr">
        <is>
          <t>Jitomate $100 + hass $26 = $126; sin total impreso</t>
        </is>
      </c>
    </row>
    <row r="431">
      <c r="B431" s="382" t="n">
        <v>46207</v>
      </c>
      <c r="C431" s="248" t="inlineStr">
        <is>
          <t>John — Head Chef Week 7</t>
        </is>
      </c>
      <c r="D431" s="249" t="inlineStr">
        <is>
          <t>Payroll</t>
        </is>
      </c>
      <c r="E431" s="248" t="inlineStr">
        <is>
          <t>Staff - Salary</t>
        </is>
      </c>
      <c r="F431" s="67" t="n">
        <v>3800</v>
      </c>
      <c r="G431" s="250" t="inlineStr">
        <is>
          <t>Restaurant</t>
        </is>
      </c>
      <c r="H431" s="250" t="inlineStr">
        <is>
          <t>Cash</t>
        </is>
      </c>
      <c r="I431" s="251" t="inlineStr">
        <is>
          <t>✅ Paid</t>
        </is>
      </c>
      <c r="J431" s="383" t="inlineStr">
        <is>
          <t>Week 7 salary, paid Saturday 04 Jul (usual $3,750; $50 higher this week)</t>
        </is>
      </c>
    </row>
    <row r="432">
      <c r="B432" s="382" t="n">
        <v>46207</v>
      </c>
      <c r="C432" s="252" t="inlineStr">
        <is>
          <t>Duvi/Debi — Limpieza Week 7 (5 days)</t>
        </is>
      </c>
      <c r="D432" s="253" t="inlineStr">
        <is>
          <t>Payroll</t>
        </is>
      </c>
      <c r="E432" s="252" t="inlineStr">
        <is>
          <t>Staff - Salary</t>
        </is>
      </c>
      <c r="F432" s="70" t="n">
        <v>1250</v>
      </c>
      <c r="G432" s="254" t="inlineStr">
        <is>
          <t>Restaurant</t>
        </is>
      </c>
      <c r="H432" s="254" t="inlineStr">
        <is>
          <t>Cash</t>
        </is>
      </c>
      <c r="I432" s="255" t="inlineStr">
        <is>
          <t>✅ Paid</t>
        </is>
      </c>
      <c r="J432" s="383" t="inlineStr">
        <is>
          <t>Week 7, worked 5 days @ $250/day = $1,250, paid Saturday 04 Jul</t>
        </is>
      </c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72" t="inlineStr">
        <is>
          <t>LOKA — MONTHLY P&amp;L   (live formulas — auto-updates from Daily Log &amp; Expenses)</t>
        </is>
      </c>
      <c r="B1" s="373" t="n"/>
      <c r="C1" s="373" t="n"/>
      <c r="D1" s="37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Vegetables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Pantry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Supermarket/General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Software / Subscription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Packaging/Disposables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Staff - Propinas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Office Supplies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80" t="inlineStr">
        <is>
          <t>Ingredients - Produce</t>
        </is>
      </c>
      <c r="B43" s="378">
        <f>SUMIFS('💸 Expenses'!$F$8:$F$500,'💸 Expenses'!$E$8:$E$500,$A43,'💸 Expenses'!$B$8:$B$500,"&gt;="&amp;DATE(2026,5,1),'💸 Expenses'!$B$8:$B$500,"&lt;"&amp;DATE(2026,6,1))</f>
        <v/>
      </c>
      <c r="C43" s="378">
        <f>SUMIFS('💸 Expenses'!$F$8:$F$500,'💸 Expenses'!$E$8:$E$500,$A43,'💸 Expenses'!$B$8:$B$500,"&gt;="&amp;DATE(2026,6,1),'💸 Expenses'!$B$8:$B$500,"&lt;"&amp;DATE(2026,7,1))</f>
        <v/>
      </c>
      <c r="D43" s="378">
        <f>SUMIFS('💸 Expenses'!$F$8:$F$500,'💸 Expenses'!$E$8:$E$500,$A43,'💸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TOTAL EXPENSES</t>
        </is>
      </c>
      <c r="B44" s="379">
        <f>SUMIFS('💸 Expenses'!$F$8:$F$500,'💸 Expenses'!$B$8:$B$500,"&gt;="&amp;DATE(2026,5,1),'💸 Expenses'!$B$8:$B$500,"&lt;"&amp;DATE(2026,6,1))</f>
        <v/>
      </c>
      <c r="C44" s="379">
        <f>SUMIFS('💸 Expenses'!$F$8:$F$500,'💸 Expenses'!$B$8:$B$500,"&gt;="&amp;DATE(2026,6,1),'💸 Expenses'!$B$8:$B$500,"&lt;"&amp;DATE(2026,7,1))</f>
        <v/>
      </c>
      <c r="D44" s="379">
        <f>SUMIFS('💸 Expenses'!$F$8:$F$500,'💸 Expenses'!$B$8:$B$500,"&gt;="&amp;DATE(2026,7,1),'💸 Expenses'!$B$8:$B$500,"&lt;"&amp;DATE(2026,8,1))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7" t="inlineStr">
        <is>
          <t>NET PROFIT / LOSS</t>
        </is>
      </c>
      <c r="B45" s="379">
        <f>B4-B44</f>
        <v/>
      </c>
      <c r="C45" s="379">
        <f>C4-C44</f>
        <v/>
      </c>
      <c r="D45" s="379">
        <f>D4-D44</f>
        <v/>
      </c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2026-07-05T17:27:55Z</dcterms:modified>
  <cp:lastModifiedBy>LOHITH REDDY</cp:lastModifiedBy>
</cp:coreProperties>
</file>