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Capital &amp; Ownership" sheetId="1" state="visible" r:id="rId1"/>
    <sheet name="📊 Dashboard" sheetId="2" state="hidden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  <numFmt numFmtId="176" formatCode="$#,##0.00"/>
  </numFmts>
  <fonts count="103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5"/>
  </cellStyleXfs>
  <cellXfs count="454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95" fillId="0" borderId="23" pivotButton="0" quotePrefix="0" xfId="0"/>
    <xf numFmtId="0" fontId="97" fillId="57" borderId="24" applyAlignment="1" pivotButton="0" quotePrefix="0" xfId="0">
      <alignment horizontal="left"/>
    </xf>
    <xf numFmtId="0" fontId="97" fillId="57" borderId="24" applyAlignment="1" pivotButton="0" quotePrefix="0" xfId="0">
      <alignment horizontal="right"/>
    </xf>
    <xf numFmtId="0" fontId="98" fillId="0" borderId="24" applyAlignment="1" pivotButton="0" quotePrefix="0" xfId="0">
      <alignment horizontal="left"/>
    </xf>
    <xf numFmtId="174" fontId="95" fillId="0" borderId="24" applyAlignment="1" pivotButton="0" quotePrefix="0" xfId="0">
      <alignment horizontal="right"/>
    </xf>
    <xf numFmtId="174" fontId="98" fillId="0" borderId="24" applyAlignment="1" pivotButton="0" quotePrefix="0" xfId="0">
      <alignment horizontal="right"/>
    </xf>
    <xf numFmtId="0" fontId="95" fillId="0" borderId="24" applyAlignment="1" pivotButton="0" quotePrefix="0" xfId="0">
      <alignment horizontal="left"/>
    </xf>
    <xf numFmtId="3" fontId="95" fillId="0" borderId="24" applyAlignment="1" pivotButton="0" quotePrefix="0" xfId="0">
      <alignment horizontal="right"/>
    </xf>
    <xf numFmtId="0" fontId="0" fillId="0" borderId="22" pivotButton="0" quotePrefix="0" xfId="0"/>
    <xf numFmtId="174" fontId="46" fillId="20" borderId="15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98" fillId="0" borderId="0" pivotButton="0" quotePrefix="0" xfId="0"/>
    <xf numFmtId="174" fontId="98" fillId="0" borderId="0" pivotButton="0" quotePrefix="0" xfId="0"/>
    <xf numFmtId="0" fontId="95" fillId="0" borderId="0" pivotButton="0" quotePrefix="0" xfId="0"/>
    <xf numFmtId="174" fontId="95" fillId="0" borderId="0" pivotButton="0" quotePrefix="0" xfId="0"/>
    <xf numFmtId="0" fontId="94" fillId="0" borderId="0" pivotButton="0" quotePrefix="0" xfId="0"/>
    <xf numFmtId="174" fontId="94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4" fontId="46" fillId="19" borderId="15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2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2" pivotButton="0" quotePrefix="0" xfId="0"/>
    <xf numFmtId="0" fontId="75" fillId="44" borderId="22" applyAlignment="1" pivotButton="0" quotePrefix="0" xfId="0">
      <alignment horizontal="left" vertical="center"/>
    </xf>
    <xf numFmtId="0" fontId="2" fillId="3" borderId="22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2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2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2" applyAlignment="1" pivotButton="0" quotePrefix="0" xfId="0">
      <alignment horizontal="center" vertical="center"/>
    </xf>
    <xf numFmtId="0" fontId="96" fillId="56" borderId="25" applyAlignment="1" pivotButton="0" quotePrefix="0" xfId="0">
      <alignment horizontal="center"/>
    </xf>
    <xf numFmtId="0" fontId="0" fillId="0" borderId="22" pivotButton="0" quotePrefix="0" xfId="0"/>
    <xf numFmtId="0" fontId="85" fillId="51" borderId="22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 wrapText="1"/>
    </xf>
    <xf numFmtId="0" fontId="75" fillId="44" borderId="25" applyAlignment="1" pivotButton="0" quotePrefix="0" xfId="0">
      <alignment horizontal="left" vertical="center"/>
    </xf>
    <xf numFmtId="0" fontId="93" fillId="0" borderId="25" pivotButton="0" quotePrefix="0" xfId="0"/>
    <xf numFmtId="0" fontId="6" fillId="10" borderId="25" applyAlignment="1" pivotButton="0" quotePrefix="0" xfId="0">
      <alignment horizontal="left" vertical="center"/>
    </xf>
    <xf numFmtId="0" fontId="7" fillId="10" borderId="25" applyAlignment="1" pivotButton="0" quotePrefix="0" xfId="0">
      <alignment horizontal="right" vertical="center"/>
    </xf>
    <xf numFmtId="0" fontId="5" fillId="11" borderId="25" applyAlignment="1" pivotButton="0" quotePrefix="0" xfId="0">
      <alignment horizontal="center" vertical="center"/>
    </xf>
    <xf numFmtId="0" fontId="26" fillId="2" borderId="25" applyAlignment="1" pivotButton="0" quotePrefix="0" xfId="0">
      <alignment horizontal="left" vertical="center"/>
    </xf>
    <xf numFmtId="0" fontId="30" fillId="4" borderId="25" applyAlignment="1" pivotButton="0" quotePrefix="0" xfId="0">
      <alignment horizontal="left" vertical="center"/>
    </xf>
    <xf numFmtId="175" fontId="51" fillId="0" borderId="13" applyAlignment="1" pivotButton="0" quotePrefix="0" xfId="0">
      <alignment horizontal="center" vertical="center"/>
    </xf>
    <xf numFmtId="0" fontId="0" fillId="0" borderId="25" pivotButton="0" quotePrefix="0" xfId="0"/>
    <xf numFmtId="0" fontId="6" fillId="10" borderId="25" applyAlignment="1" pivotButton="0" quotePrefix="0" xfId="0">
      <alignment horizontal="center" vertical="center"/>
    </xf>
    <xf numFmtId="0" fontId="7" fillId="10" borderId="25" applyAlignment="1" pivotButton="0" quotePrefix="0" xfId="0">
      <alignment horizontal="center" vertical="center"/>
    </xf>
    <xf numFmtId="0" fontId="85" fillId="51" borderId="25" applyAlignment="1" pivotButton="0" quotePrefix="0" xfId="0">
      <alignment horizontal="center" vertical="center"/>
    </xf>
    <xf numFmtId="175" fontId="37" fillId="19" borderId="13" applyAlignment="1" pivotButton="0" quotePrefix="0" xfId="0">
      <alignment horizontal="center" vertical="center"/>
    </xf>
    <xf numFmtId="176" fontId="46" fillId="19" borderId="15" applyAlignment="1" pivotButton="0" quotePrefix="0" xfId="0">
      <alignment horizontal="center" vertical="center"/>
    </xf>
    <xf numFmtId="175" fontId="51" fillId="0" borderId="13" applyAlignment="1" pivotButton="0" quotePrefix="0" xfId="0">
      <alignment horizontal="center" vertical="center"/>
    </xf>
    <xf numFmtId="175" fontId="0" fillId="0" borderId="16" pivotButton="0" quotePrefix="0" xfId="0"/>
    <xf numFmtId="0" fontId="100" fillId="58" borderId="30" applyAlignment="1" pivotButton="0" quotePrefix="0" xfId="0">
      <alignment horizontal="center"/>
    </xf>
    <xf numFmtId="0" fontId="0" fillId="58" borderId="25" pivotButton="0" quotePrefix="0" xfId="0"/>
    <xf numFmtId="0" fontId="99" fillId="0" borderId="30" pivotButton="0" quotePrefix="0" xfId="0"/>
    <xf numFmtId="0" fontId="101" fillId="59" borderId="31" applyAlignment="1" pivotButton="0" quotePrefix="0" xfId="0">
      <alignment horizontal="left"/>
    </xf>
    <xf numFmtId="0" fontId="101" fillId="59" borderId="31" applyAlignment="1" pivotButton="0" quotePrefix="0" xfId="0">
      <alignment horizontal="right"/>
    </xf>
    <xf numFmtId="0" fontId="102" fillId="0" borderId="31" applyAlignment="1" pivotButton="0" quotePrefix="0" xfId="0">
      <alignment horizontal="left"/>
    </xf>
    <xf numFmtId="176" fontId="99" fillId="0" borderId="31" applyAlignment="1" pivotButton="0" quotePrefix="0" xfId="0">
      <alignment horizontal="right"/>
    </xf>
    <xf numFmtId="176" fontId="102" fillId="0" borderId="31" applyAlignment="1" pivotButton="0" quotePrefix="0" xfId="0">
      <alignment horizontal="right"/>
    </xf>
    <xf numFmtId="0" fontId="99" fillId="0" borderId="31" applyAlignment="1" pivotButton="0" quotePrefix="0" xfId="0">
      <alignment horizontal="left"/>
    </xf>
    <xf numFmtId="3" fontId="99" fillId="0" borderId="31" applyAlignment="1" pivotButton="0" quotePrefix="0" xfId="0">
      <alignment horizontal="right"/>
    </xf>
    <xf numFmtId="0" fontId="100" fillId="58" borderId="32" applyAlignment="1" pivotButton="0" quotePrefix="0" xfId="0">
      <alignment horizontal="center"/>
    </xf>
    <xf numFmtId="4" fontId="0" fillId="0" borderId="25" pivotButton="0" quotePrefix="0" xfId="0"/>
    <xf numFmtId="176" fontId="46" fillId="20" borderId="15" applyAlignment="1" pivotButton="0" quotePrefix="0" xfId="0">
      <alignment horizontal="center" vertical="center"/>
    </xf>
    <xf numFmtId="176" fontId="94" fillId="0" borderId="0" pivotButton="0" quotePrefix="0" xfId="0"/>
    <xf numFmtId="0" fontId="60" fillId="20" borderId="15" applyAlignment="1" pivotButton="0" quotePrefix="0" xfId="0">
      <alignment horizontal="center" vertical="center"/>
    </xf>
    <xf numFmtId="166" fontId="51" fillId="20" borderId="15" applyAlignment="1" pivotButton="0" quotePrefix="0" xfId="0">
      <alignment horizontal="center" vertical="center"/>
    </xf>
    <xf numFmtId="0" fontId="17" fillId="20" borderId="15" applyAlignment="1" pivotButton="0" quotePrefix="0" xfId="0">
      <alignment horizontal="center" vertical="center"/>
    </xf>
    <xf numFmtId="167" fontId="37" fillId="37" borderId="15" applyAlignment="1" pivotButton="0" quotePrefix="0" xfId="0">
      <alignment horizontal="center" vertical="center"/>
    </xf>
    <xf numFmtId="166" fontId="64" fillId="31" borderId="15" applyAlignment="1" pivotButton="0" quotePrefix="0" xfId="0">
      <alignment horizontal="center" vertical="center"/>
    </xf>
    <xf numFmtId="176" fontId="0" fillId="0" borderId="0" pivotButton="0" quotePrefix="0" xfId="0"/>
    <xf numFmtId="0" fontId="92" fillId="44" borderId="25" pivotButton="0" quotePrefix="0" xfId="0"/>
    <xf numFmtId="176" fontId="95" fillId="0" borderId="0" pivotButton="0" quotePrefix="0" xfId="0"/>
    <xf numFmtId="176" fontId="98" fillId="0" borderId="0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tabSelected="0" zoomScaleNormal="100" workbookViewId="0">
      <selection activeCell="B11" sqref="B11:H11"/>
    </sheetView>
  </sheetViews>
  <sheetFormatPr baseColWidth="8" defaultRowHeight="14.4" customHeight="1"/>
  <cols>
    <col width="3" customWidth="1" style="331" min="1" max="1"/>
    <col width="48" customWidth="1" style="331" min="2" max="2"/>
    <col width="18" customWidth="1" style="335" min="3" max="3"/>
    <col width="20" customWidth="1" style="335" min="4" max="6"/>
    <col width="71.77734375" customWidth="1" style="331" min="7" max="7"/>
    <col width="26" customWidth="1" style="331" min="8" max="8"/>
  </cols>
  <sheetData>
    <row r="1" ht="36" customHeight="1" s="331">
      <c r="B1" s="413" t="inlineStr">
        <is>
          <t>LOKA  —  CAPITAL, OWNERSHIP &amp; PRE-OPENING EXPENSES</t>
        </is>
      </c>
    </row>
    <row r="2" ht="24" customHeight="1" s="331">
      <c r="B2" s="414" t="inlineStr">
        <is>
          <t>Last updated: 22 Sep 2026  |  Capital, Acquisition, Pre-Opening, Renovation CapEx &amp; Operations↔Capital</t>
        </is>
      </c>
    </row>
    <row r="4" ht="25.95" customHeight="1" s="331">
      <c r="B4" s="415" t="inlineStr">
        <is>
          <t xml:space="preserve">  A.  OWNERSHIP STRUCTURE</t>
        </is>
      </c>
    </row>
    <row r="5" ht="22.05" customHeight="1" s="331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31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31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31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31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31">
      <c r="B11" s="415" t="inlineStr">
        <is>
          <t xml:space="preserve">  B.  RESTAURANT ACQUISITION  —  $390,000 TOTAL</t>
        </is>
      </c>
    </row>
    <row r="12" ht="22.05" customHeight="1" s="331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31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31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31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31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31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31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31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31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31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31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31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31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31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31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31">
      <c r="B28" s="149" t="n"/>
      <c r="C28" s="180" t="n"/>
      <c r="D28" s="157" t="n"/>
      <c r="E28" s="172" t="n"/>
      <c r="F28" s="172" t="n"/>
      <c r="G28" s="149" t="n"/>
    </row>
    <row r="29" ht="19.95" customHeight="1" s="331">
      <c r="B29" s="149" t="n"/>
      <c r="C29" s="180" t="n"/>
      <c r="D29" s="157" t="n"/>
      <c r="E29" s="172" t="n"/>
      <c r="F29" s="172" t="n"/>
      <c r="G29" s="149" t="n"/>
    </row>
    <row r="30" ht="19.95" customHeight="1" s="331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31">
      <c r="B32" s="189" t="n"/>
      <c r="C32" s="236" t="n"/>
      <c r="D32" s="191" t="n"/>
      <c r="E32" s="190" t="n"/>
      <c r="F32" s="190" t="n"/>
      <c r="G32" s="189" t="n"/>
    </row>
    <row r="33" ht="22.05" customHeight="1" s="331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31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31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31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31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31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31"/>
    <row r="40" ht="19.95" customHeight="1" s="331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31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31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31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31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40" t="n"/>
    </row>
    <row r="46" ht="19.95" customHeight="1" s="331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31">
      <c r="B47" s="137" t="n"/>
      <c r="C47" s="137" t="n"/>
      <c r="D47" s="162" t="n"/>
      <c r="E47" s="137" t="n"/>
      <c r="F47" s="137" t="n"/>
      <c r="G47" s="137" t="n"/>
    </row>
    <row r="48" ht="19.95" customHeight="1" s="331">
      <c r="B48" s="137" t="n"/>
      <c r="C48" s="137" t="n"/>
      <c r="D48" s="162" t="n"/>
      <c r="E48" s="137" t="n"/>
      <c r="F48" s="137" t="n"/>
      <c r="G48" s="137" t="n"/>
    </row>
    <row r="49" ht="19.95" customHeight="1" s="331">
      <c r="B49" s="137" t="n"/>
      <c r="C49" s="137" t="n"/>
      <c r="D49" s="162" t="n"/>
      <c r="E49" s="137" t="n"/>
      <c r="F49" s="137" t="n"/>
      <c r="G49" s="137" t="n"/>
    </row>
    <row r="50" ht="19.95" customHeight="1" s="331">
      <c r="B50" s="137" t="n"/>
      <c r="C50" s="137" t="n"/>
      <c r="D50" s="162" t="n"/>
      <c r="E50" s="137" t="n"/>
      <c r="F50" s="137" t="n"/>
      <c r="G50" s="137" t="n"/>
    </row>
    <row r="51" ht="19.95" customHeight="1" s="331">
      <c r="B51" s="137" t="n"/>
      <c r="C51" s="137" t="n"/>
      <c r="D51" s="162" t="n"/>
      <c r="E51" s="137" t="n"/>
      <c r="F51" s="137" t="n"/>
      <c r="G51" s="137" t="n"/>
    </row>
    <row r="52" ht="19.95" customHeight="1" s="331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31"/>
    <row r="54" ht="19.95" customHeight="1" s="331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31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31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31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31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31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40" t="n"/>
    </row>
    <row r="61" ht="22.05" customHeight="1" s="331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31">
      <c r="B62" s="237" t="inlineStr">
        <is>
          <t>Additional License Costs</t>
        </is>
      </c>
      <c r="C62" s="312" t="n">
        <v>46223</v>
      </c>
      <c r="D62" s="313" t="n">
        <v>2300</v>
      </c>
      <c r="E62" s="314" t="inlineStr">
        <is>
          <t>Gov / License</t>
        </is>
      </c>
      <c r="F62" s="314" t="inlineStr">
        <is>
          <t>Legal / License</t>
        </is>
      </c>
      <c r="G62" s="315" t="inlineStr">
        <is>
          <t>Additional license fees — paid by Lohith (from pooled partner capital)</t>
        </is>
      </c>
    </row>
    <row r="63" ht="19.95" customHeight="1" s="331">
      <c r="B63" s="237" t="inlineStr">
        <is>
          <t>Coffee board + flyers, visiting cards</t>
        </is>
      </c>
      <c r="C63" s="312" t="n">
        <v>46223</v>
      </c>
      <c r="D63" s="313" t="n">
        <v>2620</v>
      </c>
      <c r="E63" s="314" t="inlineStr">
        <is>
          <t>Print Shop</t>
        </is>
      </c>
      <c r="F63" s="314" t="inlineStr">
        <is>
          <t>Branding / Printing</t>
        </is>
      </c>
      <c r="G63" s="315" t="inlineStr">
        <is>
          <t>Coffee menu board, flyers, visiting cards — paid by Lohith (from pooled partner capital)</t>
        </is>
      </c>
    </row>
    <row r="64" ht="19.95" customHeight="1" s="331">
      <c r="B64" s="137" t="n"/>
      <c r="C64" s="137" t="n"/>
      <c r="D64" s="162" t="n"/>
      <c r="E64" s="137" t="n"/>
      <c r="F64" s="137" t="n"/>
      <c r="G64" s="137" t="n"/>
    </row>
    <row r="65" ht="19.95" customHeight="1" s="331">
      <c r="B65" s="137" t="n"/>
      <c r="C65" s="137" t="n"/>
      <c r="D65" s="162" t="n"/>
      <c r="E65" s="137" t="n"/>
      <c r="F65" s="137" t="n"/>
      <c r="G65" s="137" t="n"/>
    </row>
    <row r="66" ht="19.95" customHeight="1" s="331">
      <c r="B66" s="137" t="n"/>
      <c r="C66" s="137" t="n"/>
      <c r="D66" s="162" t="n"/>
      <c r="E66" s="137" t="n"/>
      <c r="F66" s="137" t="n"/>
      <c r="G66" s="137" t="n"/>
    </row>
    <row r="67" ht="19.95" customHeight="1" s="331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31"/>
    <row r="69" ht="19.95" customHeight="1" s="331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31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31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31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31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40" t="n"/>
    </row>
    <row r="75" ht="19.95" customHeight="1" s="331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31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31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31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31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31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31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31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40" t="n"/>
    </row>
    <row r="83" ht="19.95" customHeight="1" s="331"/>
    <row r="84" ht="19.95" customHeight="1" s="331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31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31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31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D67-D56</f>
        <v/>
      </c>
      <c r="D92" s="167">
        <f>C92/C86</f>
        <v/>
      </c>
      <c r="E92" s="140" t="inlineStr">
        <is>
          <t>Notary + poliza + licences + branding (excl. $5k advance, already in Acquisition)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31">
      <c r="B98" s="144" t="inlineStr">
        <is>
          <t xml:space="preserve">  G.  CAPITAL STILL TO BE PAID IN  —  OWED TO CAPITAL (company account)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to Lohith ($)</t>
        </is>
      </c>
      <c r="E99" s="170" t="inlineStr">
        <is>
          <t>Direct Expenses ($)</t>
        </is>
      </c>
      <c r="F99" s="170" t="inlineStr">
        <is>
          <t>Still Owed to Capital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>
        <f>IF(F100&lt;1,"✅ COMPLETE","⏳ Owes Capital $"&amp;TEXT(F100,"#,##0"))</f>
        <v/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>
        <f>IF(F101&lt;1,"✅ COMPLETE","⏳ Owes Capital $"&amp;TEXT(F101,"#,##0"))</f>
        <v/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31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31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31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UNDEPLOYED CAPITAL (with Lohith + company-account reserve)</t>
        </is>
      </c>
      <c r="D140">
        <f>D136-D137-D138-D139</f>
        <v/>
      </c>
    </row>
    <row r="141">
      <c r="B141" t="inlineStr">
        <is>
          <t xml:space="preserve">   → Physically WITH ME (excl. company-account reserve, Section M)</t>
        </is>
      </c>
      <c r="D141" s="450">
        <f>D140-C171</f>
        <v/>
      </c>
      <c r="E141" t="inlineStr">
        <is>
          <t>All remaining capital moved to company account 22-Sep-2026</t>
        </is>
      </c>
    </row>
    <row r="142" ht="22.05" customHeight="1" s="331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Daily Log: MP + cash + transfers + Soft + BBVA)</t>
        </is>
      </c>
      <c r="C143" s="283">
        <f>SUM('📅 Daily Log'!D8:D5000)+SUM('📅 Daily Log'!E8:E5000)+SUM('📅 Daily Log'!G8:G5000)+SUM('📅 Daily Log'!U8:U5000)+SUM('📅 Daily Log'!Y8:Y5000)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Card commissions (MP auto 4.06% + Soft + BBVA actual)</t>
        </is>
      </c>
      <c r="C145" s="268">
        <f>SUM('📅 Daily Log'!R8:R5000)+SUM('📅 Daily Log'!V8:V5000)+SUM('📅 Daily Log'!Z8:Z5000)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18442</v>
      </c>
      <c r="E147" s="286" t="inlineStr">
        <is>
          <t>Operating costs funded from partner capital, net of repayments. Latest addition 22-Sep-2026 $18,442.00. Still owed by Operations: $18,442.00.</t>
        </is>
      </c>
    </row>
    <row r="148">
      <c r="B148" s="416" t="inlineStr">
        <is>
          <t>MP commission now auto-calculated per day in Daily Log (col R) at the rate in T7; feeds this result and Cash-on-Hand automatically.</t>
        </is>
      </c>
    </row>
    <row r="149">
      <c r="B149" s="321" t="inlineStr">
        <is>
          <t xml:space="preserve">  &gt;&gt; Repaid to Capital from operating cash</t>
        </is>
      </c>
      <c r="C149" s="444" t="n">
        <v>-84370.53</v>
      </c>
      <c r="E149" t="inlineStr">
        <is>
          <t>Cumulative repaid from operating cash (latest 18-Sep-2026 $2,778.53). Reduces advance owed &amp; Cash-on-Hand; NOT a P&amp;L expense.</t>
        </is>
      </c>
    </row>
    <row r="150" ht="15.6" customHeight="1" s="331">
      <c r="B150" s="316" t="inlineStr">
        <is>
          <t xml:space="preserve">  L.  POOLED CAPITAL POSITION  (single $600k pot — reconciles fully)</t>
        </is>
      </c>
    </row>
    <row r="151">
      <c r="B151" s="317" t="inlineStr">
        <is>
          <t>Line Item</t>
        </is>
      </c>
      <c r="C151" s="317" t="inlineStr">
        <is>
          <t>Amount ($)</t>
        </is>
      </c>
      <c r="E151" s="317" t="inlineStr">
        <is>
          <t>Notes</t>
        </is>
      </c>
    </row>
    <row r="152">
      <c r="B152" s="317" t="inlineStr">
        <is>
          <t>POOLED COMMITTED BUDGET</t>
        </is>
      </c>
      <c r="C152" s="318">
        <f>SUM(D6:D8)</f>
        <v/>
      </c>
      <c r="E152" t="inlineStr">
        <is>
          <t>Lohith 300k + Kashi 180k + Shashi 120k</t>
        </is>
      </c>
    </row>
    <row r="153">
      <c r="B153" s="317" t="inlineStr">
        <is>
          <t>CAPITAL DEPLOYED (spent / committed out):</t>
        </is>
      </c>
    </row>
    <row r="154">
      <c r="B154" s="319" t="inlineStr">
        <is>
          <t xml:space="preserve">   Acquisition — paid to previous owners</t>
        </is>
      </c>
      <c r="C154" s="320">
        <f>SUM(D14:D30)</f>
        <v/>
      </c>
      <c r="E154" t="inlineStr">
        <is>
          <t>of $390k (incl $15,530 CFE offset); incl $5k advance</t>
        </is>
      </c>
    </row>
    <row r="155">
      <c r="B155" s="319" t="inlineStr">
        <is>
          <t xml:space="preserve">   Lohith pre-opening (excl. $5k advance)</t>
        </is>
      </c>
      <c r="C155" s="320">
        <f>D67-D56</f>
        <v/>
      </c>
      <c r="E155" t="inlineStr">
        <is>
          <t>Notary, poliza, licenses, branding (advance is in acq. above)</t>
        </is>
      </c>
    </row>
    <row r="156">
      <c r="B156" s="319" t="inlineStr">
        <is>
          <t xml:space="preserve">   Kashigoud — direct ops</t>
        </is>
      </c>
      <c r="C156" s="320">
        <f>SUM(D43:D51)</f>
        <v/>
      </c>
      <c r="E156" t="inlineStr">
        <is>
          <t>Soft license + MP terminal + cameras (his card)</t>
        </is>
      </c>
    </row>
    <row r="157">
      <c r="B157" s="319" t="inlineStr">
        <is>
          <t xml:space="preserve">   Shashirekha — direct expenses</t>
        </is>
      </c>
      <c r="C157" s="320">
        <f>SUM(D72:D81)</f>
        <v/>
      </c>
      <c r="E157" t="inlineStr">
        <is>
          <t>Signage, Temu, menus (net of reimb.)</t>
        </is>
      </c>
    </row>
    <row r="158">
      <c r="B158" s="319" t="inlineStr">
        <is>
          <t xml:space="preserve">   Renovation / post-opening CapEx</t>
        </is>
      </c>
      <c r="C158" s="320">
        <f>D129</f>
        <v/>
      </c>
      <c r="E158" t="inlineStr">
        <is>
          <t>Section I</t>
        </is>
      </c>
    </row>
    <row r="159">
      <c r="B159" s="319" t="inlineStr">
        <is>
          <t xml:space="preserve">   Operating costs funded from capital</t>
        </is>
      </c>
      <c r="C159" s="320">
        <f>C147</f>
        <v/>
      </c>
      <c r="E159" t="inlineStr">
        <is>
          <t>Rent-from-capital + owner-ledger settlement (Section K)</t>
        </is>
      </c>
    </row>
    <row r="160">
      <c r="B160" s="317" t="inlineStr">
        <is>
          <t>TOTAL CAPITAL DEPLOYED</t>
        </is>
      </c>
      <c r="C160" s="318">
        <f>SUM(C154:C159)</f>
        <v/>
      </c>
      <c r="E160" t="inlineStr">
        <is>
          <t>Money spent OR committed out of the pool</t>
        </is>
      </c>
    </row>
    <row r="161">
      <c r="B161" s="317" t="inlineStr">
        <is>
          <t>CAPITAL STILL AVAILABLE:</t>
        </is>
      </c>
    </row>
    <row r="162">
      <c r="B162" s="319" t="inlineStr">
        <is>
          <t xml:space="preserve">   Undeployed capital (Section J: with Lohith + company-account reserve)</t>
        </is>
      </c>
      <c r="C162" s="320">
        <f>D140</f>
        <v/>
      </c>
      <c r="E162">
        <f>"With Lohith $"&amp;TEXT(D141,"#,##0")&amp;" + company-account reserve $"&amp;TEXT(C171,"#,##0")</f>
        <v/>
      </c>
    </row>
    <row r="163">
      <c r="B163" s="319" t="inlineStr">
        <is>
          <t xml:space="preserve">   Kashigoud still owes CAPITAL (to pay into company account)</t>
        </is>
      </c>
      <c r="C163" s="320">
        <f>F100</f>
        <v/>
      </c>
      <c r="E163" t="inlineStr">
        <is>
          <t>Committed $180k: $145k sent to Lohith + direct expenses paid. Balance due to Capital (company account), since 22-Sep-2026.</t>
        </is>
      </c>
    </row>
    <row r="164">
      <c r="B164" s="319" t="inlineStr">
        <is>
          <t xml:space="preserve">   Shashirekha still owes CAPITAL</t>
        </is>
      </c>
      <c r="C164" s="320">
        <f>F101</f>
        <v/>
      </c>
      <c r="E164" t="inlineStr">
        <is>
          <t>~0 (fully deployed)</t>
        </is>
      </c>
    </row>
    <row r="165">
      <c r="B165" s="317" t="inlineStr">
        <is>
          <t>TOTAL CAPITAL AVAILABLE</t>
        </is>
      </c>
      <c r="C165" s="318">
        <f>C162+C163+C164</f>
        <v/>
      </c>
      <c r="E165" t="inlineStr">
        <is>
          <t>Undeployed (with Lohith + company reserve) + still to come in</t>
        </is>
      </c>
    </row>
    <row r="166">
      <c r="B166" s="317" t="inlineStr">
        <is>
          <t>CHECK: Deployed + Available</t>
        </is>
      </c>
      <c r="C166" s="318">
        <f>C160+C165</f>
        <v/>
      </c>
      <c r="E166" t="inlineStr">
        <is>
          <t>MUST equal $600,000</t>
        </is>
      </c>
    </row>
    <row r="167">
      <c r="B167" s="317" t="n"/>
    </row>
    <row r="168">
      <c r="B168" s="451" t="inlineStr">
        <is>
          <t xml:space="preserve">  M.  CAPITAL RESERVE  —  HELD IN THE COMPANY ACCOUNT  (separate from operating cash)</t>
        </is>
      </c>
      <c r="C168" s="320" t="n"/>
    </row>
    <row r="169">
      <c r="B169" s="319" t="inlineStr">
        <is>
          <t xml:space="preserve">   Moved INTO company account (capital deposits + repayments kept there)</t>
        </is>
      </c>
      <c r="C169" s="452" t="n">
        <v>125934</v>
      </c>
      <c r="E169" t="inlineStr">
        <is>
          <t>22-Sep-2026: +$125,934.00 Lohith moved all remaining capital to company account.</t>
        </is>
      </c>
    </row>
    <row r="170">
      <c r="B170" s="319" t="inlineStr">
        <is>
          <t xml:space="preserve">   Drawn from reserve (bills paid with capital from company account)</t>
        </is>
      </c>
      <c r="C170" s="452" t="n">
        <v>-18442</v>
      </c>
      <c r="E170" t="inlineStr">
        <is>
          <t>Cumulative draws (menu 5). Negative number. | 22-Sep-2026: -$18,442.00 Impuestos junio, julio y agosto 2026, Honorarios Julio Contador</t>
        </is>
      </c>
    </row>
    <row r="171">
      <c r="B171" s="317" t="inlineStr">
        <is>
          <t>CAPITAL RESERVE BALANCE (in company account)</t>
        </is>
      </c>
      <c r="C171" s="453">
        <f>C169+C170</f>
        <v/>
      </c>
      <c r="E171" t="inlineStr">
        <is>
          <t>Counted in the bank at a cash count, but NOT operating cash. Recount subtracts it.</t>
        </is>
      </c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tabSelected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31" min="1" max="1"/>
    <col width="18" customWidth="1" style="331" min="2" max="2"/>
    <col width="14" customWidth="1" style="331" min="3" max="7"/>
    <col width="16" customWidth="1" style="331" min="8" max="8"/>
    <col width="14" customWidth="1" style="331" min="9" max="14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31">
      <c r="A2" s="417" t="inlineStr">
        <is>
          <t>🍽️  LOKA Cafe Restaurante</t>
        </is>
      </c>
      <c r="H2" s="418" t="inlineStr">
        <is>
          <t>Restaurant Manager — powered by Soft + Excel</t>
        </is>
      </c>
    </row>
    <row r="3" ht="3.75" customHeight="1" s="331">
      <c r="A3" s="419" t="n"/>
    </row>
    <row r="4" ht="7.5" customHeight="1" s="331"/>
    <row r="5" ht="36" customHeight="1" s="331">
      <c r="B5" s="32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</row>
    <row r="6" ht="9.75" customHeight="1" s="331"/>
    <row r="7" ht="19.5" customHeight="1" s="331">
      <c r="B7" s="360" t="inlineStr">
        <is>
          <t xml:space="preserve">  💰  REVENUE  (auto-pulled from Daily Log)</t>
        </is>
      </c>
      <c r="C7" s="329" t="n"/>
      <c r="D7" s="329" t="n"/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</row>
    <row r="8" ht="6" customHeight="1" s="331"/>
    <row r="9" ht="18" customHeight="1" s="331">
      <c r="B9" s="348" t="inlineStr">
        <is>
          <t>TODAY'S REVENUE</t>
        </is>
      </c>
      <c r="C9" s="346" t="n"/>
      <c r="D9" s="348" t="inlineStr">
        <is>
          <t>WEEK REVENUE</t>
        </is>
      </c>
      <c r="E9" s="346" t="n"/>
      <c r="F9" s="348" t="inlineStr">
        <is>
          <t>MONTH REVENUE</t>
        </is>
      </c>
      <c r="G9" s="346" t="n"/>
      <c r="H9" s="348" t="inlineStr">
        <is>
          <t>TODAY'S EXPENSES</t>
        </is>
      </c>
      <c r="I9" s="346" t="n"/>
      <c r="J9" s="348" t="inlineStr">
        <is>
          <t>TODAY'S NET PROFIT</t>
        </is>
      </c>
      <c r="K9" s="346" t="n"/>
      <c r="L9" s="348" t="inlineStr">
        <is>
          <t>AVG TICKET</t>
        </is>
      </c>
      <c r="M9" s="346" t="n"/>
    </row>
    <row r="10" ht="19.5" customHeight="1" s="331">
      <c r="B10" s="379">
        <f>'📅 Daily Log'!F6</f>
        <v/>
      </c>
      <c r="C10" s="351" t="n"/>
      <c r="D10" s="350">
        <f>'📅 Daily Log'!N6</f>
        <v/>
      </c>
      <c r="E10" s="351" t="n"/>
      <c r="F10" s="375">
        <f>'📅 Daily Log'!O6</f>
        <v/>
      </c>
      <c r="G10" s="351" t="n"/>
      <c r="H10" s="355">
        <f>'📅 Daily Log'!H6</f>
        <v/>
      </c>
      <c r="I10" s="351" t="n"/>
      <c r="J10" s="379">
        <f>'📅 Daily Log'!I6</f>
        <v/>
      </c>
      <c r="K10" s="351" t="n"/>
      <c r="L10" s="396">
        <f>IFERROR('📅 Daily Log'!F6/'📅 Daily Log'!G6,0)</f>
        <v/>
      </c>
      <c r="M10" s="351" t="n"/>
    </row>
    <row r="11" ht="19.5" customHeight="1" s="331">
      <c r="B11" s="352" t="n"/>
      <c r="D11" s="352" t="n"/>
      <c r="F11" s="352" t="n"/>
      <c r="H11" s="352" t="n"/>
      <c r="J11" s="352" t="n"/>
      <c r="L11" s="352" t="n"/>
    </row>
    <row r="12" ht="19.5" customHeight="1" s="331">
      <c r="B12" s="352" t="n"/>
      <c r="D12" s="352" t="n"/>
      <c r="F12" s="352" t="n"/>
      <c r="H12" s="352" t="n"/>
      <c r="J12" s="352" t="n"/>
      <c r="L12" s="352" t="n"/>
    </row>
    <row r="13" ht="9.75" customHeight="1" s="331"/>
    <row r="14" ht="19.5" customHeight="1" s="331">
      <c r="B14" s="360" t="inlineStr">
        <is>
          <t xml:space="preserve">  📊  OPERATIONS</t>
        </is>
      </c>
      <c r="C14" s="329" t="n"/>
      <c r="D14" s="329" t="n"/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</row>
    <row r="15" ht="6" customHeight="1" s="331"/>
    <row r="16" ht="18" customHeight="1" s="331">
      <c r="B16" s="348" t="inlineStr">
        <is>
          <t>TODAY'S ORDERS</t>
        </is>
      </c>
      <c r="C16" s="346" t="n"/>
      <c r="D16" s="348" t="inlineStr">
        <is>
          <t>WEEK ORDERS</t>
        </is>
      </c>
      <c r="E16" s="346" t="n"/>
      <c r="F16" s="348" t="inlineStr">
        <is>
          <t>PROFIT MARGIN %</t>
        </is>
      </c>
      <c r="G16" s="346" t="n"/>
      <c r="H16" s="348" t="inlineStr">
        <is>
          <t>LOW STOCK ITEMS</t>
        </is>
      </c>
      <c r="I16" s="346" t="n"/>
      <c r="J16" s="348" t="inlineStr">
        <is>
          <t>WEEK EXPENSES</t>
        </is>
      </c>
      <c r="K16" s="346" t="n"/>
      <c r="L16" s="348" t="inlineStr">
        <is>
          <t>PENDING ORDERS</t>
        </is>
      </c>
      <c r="M16" s="346" t="n"/>
    </row>
    <row r="17" ht="19.5" customHeight="1" s="331">
      <c r="B17" s="381">
        <f>'📅 Daily Log'!G6</f>
        <v/>
      </c>
      <c r="C17" s="351" t="n"/>
      <c r="D17" s="381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51" t="n"/>
      <c r="F17" s="385">
        <f>IFERROR('📅 Daily Log'!J6,0)</f>
        <v/>
      </c>
      <c r="G17" s="351" t="n"/>
      <c r="H17" s="386">
        <f>'📦 Inventory'!H5</f>
        <v/>
      </c>
      <c r="I17" s="351" t="n"/>
      <c r="J17" s="355">
        <f>'📅 Daily Log'!P6</f>
        <v/>
      </c>
      <c r="K17" s="351" t="n"/>
      <c r="L17" s="357">
        <f>'🚚 Suppliers'!H5</f>
        <v/>
      </c>
      <c r="M17" s="351" t="n"/>
    </row>
    <row r="18" ht="19.5" customHeight="1" s="331">
      <c r="B18" s="352" t="n"/>
      <c r="D18" s="352" t="n"/>
      <c r="F18" s="352" t="n"/>
      <c r="H18" s="352" t="n"/>
      <c r="J18" s="352" t="n"/>
      <c r="L18" s="352" t="n"/>
    </row>
    <row r="19" ht="19.5" customHeight="1" s="331">
      <c r="B19" s="352" t="n"/>
      <c r="D19" s="352" t="n"/>
      <c r="F19" s="352" t="n"/>
      <c r="H19" s="352" t="n"/>
      <c r="J19" s="352" t="n"/>
      <c r="L19" s="352" t="n"/>
    </row>
    <row r="20" ht="9.75" customHeight="1" s="331"/>
    <row r="21" ht="19.5" customHeight="1" s="331">
      <c r="B21" s="360" t="inlineStr">
        <is>
          <t xml:space="preserve">  📅  LAST 10 DAYS  (from Daily Log — updates automatically)</t>
        </is>
      </c>
      <c r="C21" s="329" t="n"/>
      <c r="D21" s="329" t="n"/>
      <c r="E21" s="329" t="n"/>
      <c r="F21" s="329" t="n"/>
      <c r="G21" s="329" t="n"/>
      <c r="H21" s="329" t="n"/>
      <c r="I21" s="329" t="n"/>
      <c r="J21" s="329" t="n"/>
      <c r="K21" s="329" t="n"/>
      <c r="L21" s="329" t="n"/>
      <c r="M21" s="329" t="n"/>
    </row>
    <row r="22" ht="27.75" customHeight="1" s="331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76" t="inlineStr">
        <is>
          <t>vs Prev Day</t>
        </is>
      </c>
      <c r="L22" s="346" t="n"/>
      <c r="M22" s="342" t="n"/>
    </row>
    <row r="23" ht="16.5" customHeight="1" s="331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62" t="inlineStr">
        <is>
          <t>—</t>
        </is>
      </c>
      <c r="L23" s="346" t="n"/>
      <c r="M23" s="342" t="n"/>
    </row>
    <row r="24" ht="16.5" customHeight="1" s="331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45">
        <f>IFERROR(IF(D24&gt;D23,"▲ +"&amp;TEXT(D24-D23,"$#,##0"),IF(D24&lt;D23,"▼ "&amp;TEXT(D24-D23,"$#,##0"),"— same")),"")</f>
        <v/>
      </c>
      <c r="L24" s="346" t="n"/>
      <c r="M24" s="342" t="n"/>
    </row>
    <row r="25" ht="16.5" customHeight="1" s="331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62">
        <f>IFERROR(IF(D25&gt;D24,"▲ +"&amp;TEXT(D25-D24,"$#,##0"),IF(D25&lt;D24,"▼ "&amp;TEXT(D25-D24,"$#,##0"),"— same")),"")</f>
        <v/>
      </c>
      <c r="L25" s="346" t="n"/>
      <c r="M25" s="342" t="n"/>
    </row>
    <row r="26" ht="16.5" customHeight="1" s="331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45">
        <f>IFERROR(IF(D26&gt;D25,"▲ +"&amp;TEXT(D26-D25,"$#,##0"),IF(D26&lt;D25,"▼ "&amp;TEXT(D26-D25,"$#,##0"),"— same")),"")</f>
        <v/>
      </c>
      <c r="L26" s="346" t="n"/>
      <c r="M26" s="342" t="n"/>
    </row>
    <row r="27" ht="16.5" customHeight="1" s="331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62">
        <f>IFERROR(IF(D27&gt;D26,"▲ +"&amp;TEXT(D27-D26,"$#,##0"),IF(D27&lt;D26,"▼ "&amp;TEXT(D27-D26,"$#,##0"),"— same")),"")</f>
        <v/>
      </c>
      <c r="L27" s="346" t="n"/>
      <c r="M27" s="342" t="n"/>
    </row>
    <row r="28" ht="16.5" customHeight="1" s="331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45">
        <f>IFERROR(IF(D28&gt;D27,"▲ +"&amp;TEXT(D28-D27,"$#,##0"),IF(D28&lt;D27,"▼ "&amp;TEXT(D28-D27,"$#,##0"),"— same")),"")</f>
        <v/>
      </c>
      <c r="L28" s="346" t="n"/>
      <c r="M28" s="342" t="n"/>
    </row>
    <row r="29" ht="16.5" customHeight="1" s="331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62">
        <f>IFERROR(IF(D29&gt;D28,"▲ +"&amp;TEXT(D29-D28,"$#,##0"),IF(D29&lt;D28,"▼ "&amp;TEXT(D29-D28,"$#,##0"),"— same")),"")</f>
        <v/>
      </c>
      <c r="L29" s="346" t="n"/>
      <c r="M29" s="342" t="n"/>
    </row>
    <row r="30" ht="16.5" customHeight="1" s="331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45">
        <f>IFERROR(IF(D30&gt;D29,"▲ +"&amp;TEXT(D30-D29,"$#,##0"),IF(D30&lt;D29,"▼ "&amp;TEXT(D30-D29,"$#,##0"),"— same")),"")</f>
        <v/>
      </c>
      <c r="L30" s="346" t="n"/>
      <c r="M30" s="342" t="n"/>
    </row>
    <row r="31" ht="16.5" customHeight="1" s="331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62">
        <f>IFERROR(IF(D31&gt;D30,"▲ +"&amp;TEXT(D31-D30,"$#,##0"),IF(D31&lt;D30,"▼ "&amp;TEXT(D31-D30,"$#,##0"),"— same")),"")</f>
        <v/>
      </c>
      <c r="L31" s="346" t="n"/>
      <c r="M31" s="342" t="n"/>
    </row>
    <row r="32" ht="16.5" customHeight="1" s="331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45">
        <f>IFERROR(IF(D32&gt;D31,"▲ +"&amp;TEXT(D32-D31,"$#,##0"),IF(D32&lt;D31,"▼ "&amp;TEXT(D32-D31,"$#,##0"),"— same")),"")</f>
        <v/>
      </c>
      <c r="L32" s="346" t="n"/>
      <c r="M32" s="342" t="n"/>
    </row>
    <row r="33" ht="9.75" customHeight="1" s="331"/>
    <row r="34" ht="19.5" customHeight="1" s="331">
      <c r="B34" s="360" t="inlineStr">
        <is>
          <t xml:space="preserve">  ⚠️  INVENTORY ALERTS  (from Inventory sheet)</t>
        </is>
      </c>
      <c r="C34" s="329" t="n"/>
      <c r="D34" s="329" t="n"/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</row>
    <row r="35" ht="27.75" customHeight="1" s="331">
      <c r="B35" s="341" t="inlineStr">
        <is>
          <t>Ingredient</t>
        </is>
      </c>
      <c r="C35" s="346" t="n"/>
      <c r="D35" s="342" t="n"/>
      <c r="E35" s="6" t="n"/>
      <c r="F35" s="341" t="inlineStr">
        <is>
          <t>Min Level</t>
        </is>
      </c>
      <c r="G35" s="342" t="n"/>
      <c r="H35" s="341" t="inlineStr">
        <is>
          <t>Status</t>
        </is>
      </c>
      <c r="I35" s="342" t="n"/>
      <c r="J35" s="341" t="inlineStr">
        <is>
          <t>Action Needed</t>
        </is>
      </c>
      <c r="K35" s="346" t="n"/>
      <c r="L35" s="346" t="n"/>
      <c r="M35" s="342" t="n"/>
    </row>
    <row r="36" ht="16.5" customHeight="1" s="331">
      <c r="B36" s="383">
        <f>'📦 Inventory'!B9</f>
        <v/>
      </c>
      <c r="C36" s="346" t="n"/>
      <c r="D36" s="346" t="n"/>
      <c r="E36" s="370">
        <f>'📦 Inventory'!E9</f>
        <v/>
      </c>
      <c r="F36" s="346" t="n"/>
      <c r="G36" s="378">
        <f>'📦 Inventory'!F9</f>
        <v/>
      </c>
      <c r="H36" s="346" t="n"/>
      <c r="I36" s="353">
        <f>'📦 Inventory'!J9</f>
        <v/>
      </c>
      <c r="J36" s="346" t="n"/>
      <c r="K36" s="353">
        <f>IF('📦 Inventory'!E9=0,"🚫 Order immediately",IF('📦 Inventory'!E9&lt;='📦 Inventory'!F9,"⚠️ Reorder soon","✅ OK"))</f>
        <v/>
      </c>
      <c r="L36" s="346" t="n"/>
      <c r="M36" s="346" t="n"/>
    </row>
    <row r="37" ht="16.5" customHeight="1" s="331">
      <c r="B37" s="361">
        <f>'📦 Inventory'!B10</f>
        <v/>
      </c>
      <c r="C37" s="346" t="n"/>
      <c r="D37" s="346" t="n"/>
      <c r="E37" s="392">
        <f>'📦 Inventory'!E10</f>
        <v/>
      </c>
      <c r="F37" s="346" t="n"/>
      <c r="G37" s="393">
        <f>'📦 Inventory'!F10</f>
        <v/>
      </c>
      <c r="H37" s="346" t="n"/>
      <c r="I37" s="394">
        <f>'📦 Inventory'!J10</f>
        <v/>
      </c>
      <c r="J37" s="346" t="n"/>
      <c r="K37" s="394">
        <f>IF('📦 Inventory'!E10=0,"🚫 Order immediately",IF('📦 Inventory'!E10&lt;='📦 Inventory'!F10,"⚠️ Reorder soon","✅ OK"))</f>
        <v/>
      </c>
      <c r="L37" s="346" t="n"/>
      <c r="M37" s="346" t="n"/>
    </row>
    <row r="38" ht="16.5" customHeight="1" s="331">
      <c r="B38" s="383">
        <f>'📦 Inventory'!B11</f>
        <v/>
      </c>
      <c r="C38" s="346" t="n"/>
      <c r="D38" s="346" t="n"/>
      <c r="E38" s="370">
        <f>'📦 Inventory'!E11</f>
        <v/>
      </c>
      <c r="F38" s="346" t="n"/>
      <c r="G38" s="378">
        <f>'📦 Inventory'!F11</f>
        <v/>
      </c>
      <c r="H38" s="346" t="n"/>
      <c r="I38" s="353">
        <f>'📦 Inventory'!J11</f>
        <v/>
      </c>
      <c r="J38" s="346" t="n"/>
      <c r="K38" s="353">
        <f>IF('📦 Inventory'!E11=0,"🚫 Order immediately",IF('📦 Inventory'!E11&lt;='📦 Inventory'!F11,"⚠️ Reorder soon","✅ OK"))</f>
        <v/>
      </c>
      <c r="L38" s="346" t="n"/>
      <c r="M38" s="346" t="n"/>
    </row>
    <row r="39" ht="16.5" customHeight="1" s="331">
      <c r="B39" s="361">
        <f>'📦 Inventory'!B12</f>
        <v/>
      </c>
      <c r="C39" s="346" t="n"/>
      <c r="D39" s="346" t="n"/>
      <c r="E39" s="392">
        <f>'📦 Inventory'!E12</f>
        <v/>
      </c>
      <c r="F39" s="346" t="n"/>
      <c r="G39" s="393">
        <f>'📦 Inventory'!F12</f>
        <v/>
      </c>
      <c r="H39" s="346" t="n"/>
      <c r="I39" s="394">
        <f>'📦 Inventory'!J12</f>
        <v/>
      </c>
      <c r="J39" s="346" t="n"/>
      <c r="K39" s="394">
        <f>IF('📦 Inventory'!E12=0,"🚫 Order immediately",IF('📦 Inventory'!E12&lt;='📦 Inventory'!F12,"⚠️ Reorder soon","✅ OK"))</f>
        <v/>
      </c>
      <c r="L39" s="346" t="n"/>
      <c r="M39" s="346" t="n"/>
    </row>
    <row r="40" ht="16.5" customHeight="1" s="331">
      <c r="B40" s="383">
        <f>'📦 Inventory'!B13</f>
        <v/>
      </c>
      <c r="C40" s="346" t="n"/>
      <c r="D40" s="346" t="n"/>
      <c r="E40" s="370">
        <f>'📦 Inventory'!E13</f>
        <v/>
      </c>
      <c r="F40" s="346" t="n"/>
      <c r="G40" s="378">
        <f>'📦 Inventory'!F13</f>
        <v/>
      </c>
      <c r="H40" s="346" t="n"/>
      <c r="I40" s="353">
        <f>'📦 Inventory'!J13</f>
        <v/>
      </c>
      <c r="J40" s="346" t="n"/>
      <c r="K40" s="353">
        <f>IF('📦 Inventory'!E13=0,"🚫 Order immediately",IF('📦 Inventory'!E13&lt;='📦 Inventory'!F13,"⚠️ Reorder soon","✅ OK"))</f>
        <v/>
      </c>
      <c r="L40" s="346" t="n"/>
      <c r="M40" s="346" t="n"/>
    </row>
    <row r="41" ht="7.5" customHeight="1" s="331"/>
    <row r="42" ht="30" customHeight="1" s="331">
      <c r="B42" s="420" t="inlineStr">
        <is>
          <t>💼  CAPITAL &amp; ACQUISITION STATUS  —  live from Capital &amp; Ownership sheet</t>
        </is>
      </c>
    </row>
    <row r="43" ht="6" customHeight="1" s="331"/>
    <row r="44" ht="16.05" customHeight="1" s="331">
      <c r="B44" s="395" t="inlineStr">
        <is>
          <t>TOTAL BUDGET</t>
        </is>
      </c>
      <c r="C44" s="340" t="n"/>
      <c r="D44" s="404" t="inlineStr">
        <is>
          <t>TOTAL CASH OUT</t>
        </is>
      </c>
      <c r="E44" s="340" t="n"/>
      <c r="F44" s="405" t="inlineStr">
        <is>
          <t>REMAINING BUDGET</t>
        </is>
      </c>
      <c r="G44" s="340" t="n"/>
      <c r="H44" s="401" t="inlineStr">
        <is>
          <t>ACQUISITION PRICE</t>
        </is>
      </c>
      <c r="I44" s="340" t="n"/>
      <c r="J44" s="398" t="inlineStr">
        <is>
          <t>ADVANCE PAID</t>
        </is>
      </c>
      <c r="K44" s="340" t="n"/>
      <c r="L44" s="387" t="inlineStr">
        <is>
          <t>BALANCE PENDING</t>
        </is>
      </c>
      <c r="M44" s="340" t="n"/>
    </row>
    <row r="45" ht="22.05" customHeight="1" s="331">
      <c r="B45" s="397">
        <f>'Capital &amp; Ownership'!C75</f>
        <v/>
      </c>
      <c r="C45" s="340" t="n"/>
      <c r="D45" s="359">
        <f>'Capital &amp; Ownership'!C86</f>
        <v/>
      </c>
      <c r="E45" s="340" t="n"/>
      <c r="F45" s="380">
        <f>'Capital &amp; Ownership'!C87</f>
        <v/>
      </c>
      <c r="G45" s="340" t="n"/>
      <c r="H45" s="368">
        <f>'Capital &amp; Ownership'!C76</f>
        <v/>
      </c>
      <c r="I45" s="340" t="n"/>
      <c r="J45" s="364">
        <f>'Capital &amp; Ownership'!C77</f>
        <v/>
      </c>
      <c r="K45" s="340" t="n"/>
      <c r="L45" s="365">
        <f>'Capital &amp; Ownership'!C78</f>
        <v/>
      </c>
      <c r="M45" s="340" t="n"/>
    </row>
    <row r="46" ht="16.05" customHeight="1" s="331">
      <c r="B46" s="399" t="inlineStr">
        <is>
          <t>All 3 partners</t>
        </is>
      </c>
      <c r="C46" s="340" t="n"/>
      <c r="D46" s="400" t="inlineStr">
        <is>
          <t>Excl. internal transfers</t>
        </is>
      </c>
      <c r="E46" s="340" t="n"/>
      <c r="F46" s="384" t="inlineStr">
        <is>
          <t>Available for operations</t>
        </is>
      </c>
      <c r="G46" s="340" t="n"/>
      <c r="H46" s="402" t="inlineStr">
        <is>
          <t>To previous owners</t>
        </is>
      </c>
      <c r="I46" s="340" t="n"/>
      <c r="J46" s="388" t="inlineStr">
        <is>
          <t>✅ Paid by Lohith</t>
        </is>
      </c>
      <c r="K46" s="340" t="n"/>
      <c r="L46" s="389" t="inlineStr">
        <is>
          <t>⏳ Outstanding</t>
        </is>
      </c>
      <c r="M46" s="340" t="n"/>
    </row>
    <row r="47" ht="7.95" customHeight="1" s="331"/>
    <row r="48" ht="22.05" customHeight="1" s="331">
      <c r="B48" s="421" t="inlineStr">
        <is>
          <t xml:space="preserve">  👥  OWNER CAPITAL SUMMARY</t>
        </is>
      </c>
    </row>
    <row r="49" ht="19.95" customHeight="1" s="331">
      <c r="B49" s="372" t="inlineStr">
        <is>
          <t>OWNER</t>
        </is>
      </c>
      <c r="C49" s="340" t="n"/>
      <c r="D49" s="372" t="inlineStr">
        <is>
          <t>SHARE %</t>
        </is>
      </c>
      <c r="E49" s="340" t="n"/>
      <c r="F49" s="372" t="inlineStr">
        <is>
          <t>CAPITAL ($)</t>
        </is>
      </c>
      <c r="G49" s="372" t="inlineStr">
        <is>
          <t>ROLE</t>
        </is>
      </c>
      <c r="H49" s="372" t="inlineStr">
        <is>
          <t>EXPENSES ($)</t>
        </is>
      </c>
      <c r="I49" s="340" t="n"/>
      <c r="J49" s="372" t="inlineStr">
        <is>
          <t>REMAINING ($)</t>
        </is>
      </c>
      <c r="K49" s="340" t="n"/>
      <c r="L49" s="372" t="inlineStr">
        <is>
          <t>% SPENT</t>
        </is>
      </c>
      <c r="M49" s="340" t="n"/>
    </row>
    <row r="50" ht="19.95" customHeight="1" s="331">
      <c r="B50" s="371">
        <f>'Capital &amp; Ownership'!B6</f>
        <v/>
      </c>
      <c r="C50" s="340" t="n"/>
      <c r="D50" s="358">
        <f>'Capital &amp; Ownership'!C6</f>
        <v/>
      </c>
      <c r="E50" s="340" t="n"/>
      <c r="F50" s="366">
        <f>'Capital &amp; Ownership'!D6</f>
        <v/>
      </c>
      <c r="G50" s="349" t="inlineStr">
        <is>
          <t>50% — Managing Partner</t>
        </is>
      </c>
      <c r="H50" s="366">
        <f>'Capital &amp; Ownership'!E6</f>
        <v/>
      </c>
      <c r="I50" s="340" t="n"/>
      <c r="J50" s="366">
        <f>'Capital &amp; Ownership'!F6</f>
        <v/>
      </c>
      <c r="K50" s="340" t="n"/>
      <c r="L50" s="358">
        <f>IFERROR('Capital &amp; Ownership'!E6/'Capital &amp; Ownership'!D6,0)</f>
        <v/>
      </c>
      <c r="M50" s="340" t="n"/>
    </row>
    <row r="51" ht="19.95" customHeight="1" s="331">
      <c r="B51" s="373">
        <f>'Capital &amp; Ownership'!B7</f>
        <v/>
      </c>
      <c r="C51" s="340" t="n"/>
      <c r="D51" s="374">
        <f>'Capital &amp; Ownership'!C7</f>
        <v/>
      </c>
      <c r="E51" s="340" t="n"/>
      <c r="F51" s="390">
        <f>'Capital &amp; Ownership'!D7</f>
        <v/>
      </c>
      <c r="G51" s="26" t="inlineStr">
        <is>
          <t>30% — Partner</t>
        </is>
      </c>
      <c r="H51" s="390">
        <f>'Capital &amp; Ownership'!E7</f>
        <v/>
      </c>
      <c r="I51" s="340" t="n"/>
      <c r="J51" s="390">
        <f>'Capital &amp; Ownership'!F7</f>
        <v/>
      </c>
      <c r="K51" s="340" t="n"/>
      <c r="L51" s="374">
        <f>IFERROR('Capital &amp; Ownership'!E7/'Capital &amp; Ownership'!D7,0)</f>
        <v/>
      </c>
      <c r="M51" s="340" t="n"/>
    </row>
    <row r="52" ht="19.95" customHeight="1" s="331">
      <c r="B52" s="371">
        <f>'Capital &amp; Ownership'!B8</f>
        <v/>
      </c>
      <c r="C52" s="340" t="n"/>
      <c r="D52" s="358">
        <f>'Capital &amp; Ownership'!C8</f>
        <v/>
      </c>
      <c r="E52" s="340" t="n"/>
      <c r="F52" s="366">
        <f>'Capital &amp; Ownership'!D8</f>
        <v/>
      </c>
      <c r="G52" s="349" t="inlineStr">
        <is>
          <t>20% — Partner</t>
        </is>
      </c>
      <c r="H52" s="366">
        <f>'Capital &amp; Ownership'!E8</f>
        <v/>
      </c>
      <c r="I52" s="340" t="n"/>
      <c r="J52" s="366">
        <f>'Capital &amp; Ownership'!F8</f>
        <v/>
      </c>
      <c r="K52" s="340" t="n"/>
      <c r="L52" s="358">
        <f>IFERROR('Capital &amp; Ownership'!E8/'Capital &amp; Ownership'!D8,0)</f>
        <v/>
      </c>
      <c r="M52" s="340" t="n"/>
    </row>
    <row r="53" ht="22.05" customHeight="1" s="331">
      <c r="B53" s="382" t="inlineStr">
        <is>
          <t>TOTAL</t>
        </is>
      </c>
      <c r="C53" s="340" t="n"/>
      <c r="D53" s="356">
        <f>'Capital &amp; Ownership'!C9</f>
        <v/>
      </c>
      <c r="E53" s="340" t="n"/>
      <c r="F53" s="339">
        <f>'Capital &amp; Ownership'!D9</f>
        <v/>
      </c>
      <c r="G53" s="372" t="n"/>
      <c r="H53" s="339">
        <f>'Capital &amp; Ownership'!E9</f>
        <v/>
      </c>
      <c r="I53" s="340" t="n"/>
      <c r="J53" s="339">
        <f>'Capital &amp; Ownership'!F9</f>
        <v/>
      </c>
      <c r="K53" s="340" t="n"/>
      <c r="L53" s="356">
        <f>IFERROR('Capital &amp; Ownership'!E9/'Capital &amp; Ownership'!D9,0)</f>
        <v/>
      </c>
      <c r="M53" s="340" t="n"/>
    </row>
    <row r="54" ht="7.95" customHeight="1" s="331"/>
    <row r="55" ht="22.05" customHeight="1" s="331">
      <c r="B55" s="421" t="inlineStr">
        <is>
          <t xml:space="preserve">  🧾  PRE-OPENING EXPENSES BREAKDOWN</t>
        </is>
      </c>
    </row>
    <row r="56" ht="19.95" customHeight="1" s="331">
      <c r="B56" s="372" t="inlineStr">
        <is>
          <t>EXPENSE ITEM</t>
        </is>
      </c>
      <c r="C56" s="344" t="n"/>
      <c r="D56" s="340" t="n"/>
      <c r="E56" s="372" t="inlineStr">
        <is>
          <t>PAID BY</t>
        </is>
      </c>
      <c r="F56" s="340" t="n"/>
      <c r="G56" s="372" t="inlineStr">
        <is>
          <t>AMOUNT ($)</t>
        </is>
      </c>
      <c r="H56" s="340" t="n"/>
      <c r="I56" s="372" t="inlineStr">
        <is>
          <t>CATEGORY</t>
        </is>
      </c>
      <c r="J56" s="340" t="n"/>
      <c r="K56" s="372" t="inlineStr">
        <is>
          <t>STATUS</t>
        </is>
      </c>
      <c r="L56" s="340" t="n"/>
    </row>
    <row r="57" ht="19.95" customHeight="1" s="331">
      <c r="B57" s="354">
        <f>'Capital &amp; Ownership'!B13</f>
        <v/>
      </c>
      <c r="C57" s="344" t="n"/>
      <c r="D57" s="340" t="n"/>
      <c r="E57" s="377" t="inlineStr">
        <is>
          <t>All Partners</t>
        </is>
      </c>
      <c r="F57" s="340" t="n"/>
      <c r="G57" s="363">
        <f>'Capital &amp; Ownership'!D13</f>
        <v/>
      </c>
      <c r="H57" s="340" t="n"/>
      <c r="I57" s="377" t="inlineStr">
        <is>
          <t>Acquisition</t>
        </is>
      </c>
      <c r="J57" s="340" t="n"/>
      <c r="K57" s="377" t="inlineStr">
        <is>
          <t>⚠️ Not Fully Paid</t>
        </is>
      </c>
      <c r="L57" s="340" t="n"/>
    </row>
    <row r="58" ht="19.95" customHeight="1" s="331">
      <c r="B58" s="343">
        <f>'Capital &amp; Ownership'!B14</f>
        <v/>
      </c>
      <c r="C58" s="344" t="n"/>
      <c r="D58" s="340" t="n"/>
      <c r="E58" s="367" t="inlineStr">
        <is>
          <t>Lohith Reddy</t>
        </is>
      </c>
      <c r="F58" s="340" t="n"/>
      <c r="G58" s="369">
        <f>'Capital &amp; Ownership'!D14</f>
        <v/>
      </c>
      <c r="H58" s="340" t="n"/>
      <c r="I58" s="367" t="inlineStr">
        <is>
          <t>Acquisition Advance</t>
        </is>
      </c>
      <c r="J58" s="340" t="n"/>
      <c r="K58" s="367" t="inlineStr">
        <is>
          <t>✅ Paid</t>
        </is>
      </c>
      <c r="L58" s="340" t="n"/>
    </row>
    <row r="59" ht="19.95" customHeight="1" s="331">
      <c r="B59" s="343">
        <f>'Capital &amp; Ownership'!B35</f>
        <v/>
      </c>
      <c r="C59" s="344" t="n"/>
      <c r="D59" s="340" t="n"/>
      <c r="E59" s="367" t="inlineStr">
        <is>
          <t>Kashigoud Patil</t>
        </is>
      </c>
      <c r="F59" s="340" t="n"/>
      <c r="G59" s="369">
        <f>'Capital &amp; Ownership'!D35</f>
        <v/>
      </c>
      <c r="H59" s="340" t="n"/>
      <c r="I59" s="367" t="inlineStr">
        <is>
          <t>Software / License</t>
        </is>
      </c>
      <c r="J59" s="340" t="n"/>
      <c r="K59" s="367" t="inlineStr">
        <is>
          <t>✅ Paid</t>
        </is>
      </c>
      <c r="L59" s="340" t="n"/>
    </row>
    <row r="60" ht="19.95" customHeight="1" s="331">
      <c r="B60" s="343">
        <f>'Capital &amp; Ownership'!B36</f>
        <v/>
      </c>
      <c r="C60" s="344" t="n"/>
      <c r="D60" s="340" t="n"/>
      <c r="E60" s="367" t="inlineStr">
        <is>
          <t>Kashigoud Patil</t>
        </is>
      </c>
      <c r="F60" s="340" t="n"/>
      <c r="G60" s="369">
        <f>'Capital &amp; Ownership'!D36</f>
        <v/>
      </c>
      <c r="H60" s="340" t="n"/>
      <c r="I60" s="367" t="inlineStr">
        <is>
          <t>Equipment</t>
        </is>
      </c>
      <c r="J60" s="340" t="n"/>
      <c r="K60" s="367" t="inlineStr">
        <is>
          <t>✅ Paid</t>
        </is>
      </c>
      <c r="L60" s="340" t="n"/>
    </row>
    <row r="61" ht="19.95" customHeight="1" s="331">
      <c r="B61" s="371">
        <f>'Capital &amp; Ownership'!B47</f>
        <v/>
      </c>
      <c r="C61" s="344" t="n"/>
      <c r="D61" s="340" t="n"/>
      <c r="E61" s="349" t="inlineStr">
        <is>
          <t>Lohith Reddy</t>
        </is>
      </c>
      <c r="F61" s="340" t="n"/>
      <c r="G61" s="366">
        <f>'Capital &amp; Ownership'!D47</f>
        <v/>
      </c>
      <c r="H61" s="340" t="n"/>
      <c r="I61" s="349" t="inlineStr">
        <is>
          <t>Legal / Notary</t>
        </is>
      </c>
      <c r="J61" s="340" t="n"/>
      <c r="K61" s="349" t="inlineStr">
        <is>
          <t>✅ Paid</t>
        </is>
      </c>
      <c r="L61" s="340" t="n"/>
    </row>
    <row r="62" ht="19.95" customHeight="1" s="331">
      <c r="B62" s="371">
        <f>'Capital &amp; Ownership'!B50</f>
        <v/>
      </c>
      <c r="C62" s="344" t="n"/>
      <c r="D62" s="340" t="n"/>
      <c r="E62" s="349" t="inlineStr">
        <is>
          <t>Lohith Reddy</t>
        </is>
      </c>
      <c r="F62" s="340" t="n"/>
      <c r="G62" s="366">
        <f>'Capital &amp; Ownership'!D50</f>
        <v/>
      </c>
      <c r="H62" s="340" t="n"/>
      <c r="I62" s="349" t="inlineStr">
        <is>
          <t>Legal / Insurance</t>
        </is>
      </c>
      <c r="J62" s="340" t="n"/>
      <c r="K62" s="349" t="inlineStr">
        <is>
          <t>✅ Paid</t>
        </is>
      </c>
      <c r="L62" s="340" t="n"/>
    </row>
    <row r="63" ht="19.95" customHeight="1" s="331">
      <c r="B63" s="371">
        <f>'Capital &amp; Ownership'!B51</f>
        <v/>
      </c>
      <c r="C63" s="344" t="n"/>
      <c r="D63" s="340" t="n"/>
      <c r="E63" s="349" t="inlineStr">
        <is>
          <t>Lohith Reddy</t>
        </is>
      </c>
      <c r="F63" s="340" t="n"/>
      <c r="G63" s="366">
        <f>'Capital &amp; Ownership'!D51</f>
        <v/>
      </c>
      <c r="H63" s="340" t="n"/>
      <c r="I63" s="349" t="inlineStr">
        <is>
          <t>Professional Services</t>
        </is>
      </c>
      <c r="J63" s="340" t="n"/>
      <c r="K63" s="349" t="inlineStr">
        <is>
          <t>✅ Paid</t>
        </is>
      </c>
      <c r="L63" s="340" t="n"/>
    </row>
    <row r="64" ht="19.95" customHeight="1" s="331">
      <c r="B64" s="403" t="inlineStr">
        <is>
          <t xml:space="preserve">  ℹ️  Internal transfers:  Kashigoud → Lohith  $125,000  |  Shashirekha → Lohith  $100,000  (not counted as expenses — capital reallocation only)</t>
        </is>
      </c>
      <c r="C64" s="344" t="n"/>
      <c r="D64" s="344" t="n"/>
      <c r="E64" s="344" t="n"/>
      <c r="F64" s="344" t="n"/>
      <c r="G64" s="344" t="n"/>
      <c r="H64" s="344" t="n"/>
      <c r="I64" s="344" t="n"/>
      <c r="J64" s="344" t="n"/>
      <c r="K64" s="344" t="n"/>
      <c r="L64" s="344" t="n"/>
      <c r="M64" s="340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abSelected="1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31" min="1" max="1"/>
    <col width="18" customWidth="1" style="331" min="2" max="2"/>
    <col width="16" customWidth="1" style="331" min="3" max="5"/>
    <col width="12" customWidth="1" style="331" min="6" max="6"/>
    <col width="14" customWidth="1" style="331" min="7" max="7"/>
    <col width="16" customWidth="1" style="331" min="8" max="9"/>
    <col width="12" customWidth="1" style="331" min="10" max="10"/>
    <col width="30" customWidth="1" style="331" min="11" max="11"/>
    <col width="16" customWidth="1" style="331" min="12" max="17"/>
    <col width="14.33203125" bestFit="1" customWidth="1" style="331" min="21" max="21"/>
    <col width="13" customWidth="1" style="331" min="22" max="24"/>
    <col width="14.33203125" customWidth="1" style="331" min="25" max="25"/>
    <col width="13" customWidth="1" style="331" min="26" max="28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31">
      <c r="A2" s="417" t="inlineStr">
        <is>
          <t>📅  LOKA — DAILY LOG</t>
        </is>
      </c>
      <c r="I2" s="418" t="inlineStr">
        <is>
          <t>Enter 2 values from Soft App each day → everything else calculates</t>
        </is>
      </c>
    </row>
    <row r="3" ht="3.75" customHeight="1" s="331">
      <c r="A3" s="419" t="n"/>
    </row>
    <row r="4" ht="7.5" customHeight="1" s="331"/>
    <row r="5" ht="49.5" customHeight="1" s="331">
      <c r="B5" s="32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29" t="n"/>
    </row>
    <row r="6" ht="7.5" customHeight="1" s="331">
      <c r="B6" s="27" t="n"/>
      <c r="D6" s="28" t="n"/>
      <c r="E6" s="29" t="n"/>
      <c r="F6" s="30">
        <f>SUMIFS($D$8:$D$5000,$B$8:$B$5000,TODAY())+SUMIFS($E$8:$E$5000,$B$8:$B$5000,TODAY())+SUMIFS($G$8:$G$5000,$B$8:$B$5000,TODAY())+SUMIFS($U$8:$U$5000,$B$8:$B$5000,TODAY())+SUMIFS($Y$8:$Y$5000,$B$8:$B$5000,TODAY())</f>
        <v>3340.0</v>
      </c>
      <c r="G6" s="31">
        <f>SUMIFS($G$8:$G$5000,$B$8:$B$5000,TODAY())</f>
        <v>0.0</v>
      </c>
      <c r="H6" s="28">
        <f>SUMIFS($H$8:$H$5000,$B$8:$B$5000,TODAY())</f>
        <v>2465.0</v>
      </c>
      <c r="I6" s="32">
        <f>F6-H6</f>
        <v>875.0</v>
      </c>
      <c r="J6">
        <f>IFERROR(I6/F6,0)</f>
        <v>0.261976</v>
      </c>
      <c r="K6" s="28" t="n"/>
      <c r="L6" s="31" t="n"/>
      <c r="M6" s="28">
        <f>SUMIFS($F$8:$F$5000,$B$8:$B$5000,"&gt;="&amp;(TODAY()-WEEKDAY(TODAY(),2)+1),$B$8:$B$5000,"&lt;"&amp;(TODAY()-WEEKDAY(TODAY(),2)+8))</f>
        <v>16175.0</v>
      </c>
      <c r="N6" s="33">
        <f>SUMIFS($F$8:$F$5000,$B$8:$B$5000,"&gt;="&amp;(TODAY()-WEEKDAY(TODAY(),2)+1),$B$8:$B$5000,"&lt;"&amp;(TODAY()-WEEKDAY(TODAY(),2)+8))</f>
        <v>16175.0</v>
      </c>
      <c r="O6" s="33">
        <f>SUMIFS($F$8:$F$5000,$B$8:$B$5000,"&gt;="&amp;DATE(YEAR(TODAY()),MONTH(TODAY()),1),$B$8:$B$5000,"&lt;"&amp;DATE(YEAR(TODAY()),MONTH(TODAY())+1,1))</f>
        <v>89755.0</v>
      </c>
      <c r="P6">
        <f>SUMIFS('💸 Expenses'!$F$8:$F$5000,'💸 Expenses'!$B$8:$B$5000,"&gt;="&amp;(TODAY()-WEEKDAY(TODAY(),2)+1),'💸 Expenses'!$B$8:$B$5000,"&lt;"&amp;(TODAY()-WEEKDAY(TODAY(),2)+8))</f>
        <v>30703.0</v>
      </c>
      <c r="Q6">
        <f>M6-P6</f>
        <v>-14528.0</v>
      </c>
    </row>
    <row r="7" ht="27.75" customHeight="1" s="331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31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IFERROR(D8+E8+G8+U8+Y8,0)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31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IFERROR(D9+E9+G9+U9+Y9,0)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31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IFERROR(D10+E10+G10+U10+Y10,0)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31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IFERROR(D11+E11+G11+U11+Y11,0)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31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IFERROR(D12+E12+G12+U12+Y12,0)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31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IFERROR(D13+E13+G13+U13+Y13,0)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31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IFERROR(D14+E14+G14+U14+Y14,0)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31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IFERROR(D15+E15+G15+U15+Y15,0)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31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IFERROR(D16+E16+G16+U16+Y16,0)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31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IFERROR(D17+E17+G17+U17+Y17,0)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31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IFERROR(D18+E18+G18+U18+Y18,0)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31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IFERROR(D19+E19+G19+U19+Y19,0)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31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IFERROR(D20+E20+G20+U20+Y20,0)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31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IFERROR(D21+E21+G21+U21+Y21,0)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31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IFERROR(D22+E22+G22+U22+Y22,0)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31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IFERROR(D23+E23+G23+U23+Y23,0)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31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IFERROR(D24+E24+G24+U24+Y24,0)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31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IFERROR(D25+E25+G25+U25+Y25,0)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31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IFERROR(D26+E26+G26+U26+Y26,0)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31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IFERROR(D27+E27+G27+U27+Y27,0)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31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IFERROR(D28+E28+G28+U28+Y28,0)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260">
        <f>IFERROR(I28/F28,0)</f>
        <v>0</v>
      </c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31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IFERROR(D29+E29+G29+U29+Y29,0)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31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IFERROR(D30+E30+G30+U30+Y30,0)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31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IFERROR(D31+E31+G31+U31+Y31,0)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31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IFERROR(D32+E32+G32+U32+Y32,0)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31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IFERROR(D33+E33+G33+U33+Y33,0)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31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IFERROR(D34+E34+G34+U34+Y34,0)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31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IFERROR(D35+E35+G35+U35+Y35,0)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31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IFERROR(D36+E36+G36+U36+Y36,0)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31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IFERROR(D37+E37+G37+U37+Y37,0)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31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IFERROR(D38+E38+G38+U38+Y38,0)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31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IFERROR(D39+E39+G39+U39+Y39,0)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31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IFERROR(D40+E40+G40+U40+Y40,0)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31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IFERROR(D41+E41+G41+U41+Y41,0)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31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IFERROR(D42+E42+G42+U42+Y42,0)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31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IFERROR(D43+E43+G43+U43+Y43,0)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31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IFERROR(D44+E44+G44+U44+Y44,0)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31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IFERROR(D45+E45+G45+U45+Y45,0)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31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IFERROR(D46+E46+G46+U46+Y46,0)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31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IFERROR(D47+E47+G47+U47+Y47,0)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31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IFERROR(D48+E48+G48+U48+Y48,0)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31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IFERROR(D49+E49+G49+U49+Y49,0)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31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IFERROR(D50+E50+G50+U50+Y50,0)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31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IFERROR(D51+E51+G51+U51+Y51,0)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31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IFERROR(D52+E52+G52+U52+Y52,0)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31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IFERROR(D53+E53+G53+U53+Y53,0)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31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IFERROR(D54+E54+G54+U54+Y54,0)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31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IFERROR(D55+E55+G55+U55+Y55,0)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31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IFERROR(D56+E56+G56+U56+Y56,0)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31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IFERROR(D57+E57+G57+U57+Y57,0)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31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IFERROR(D58+E58+G58+U58+Y58,0)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31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IFERROR(D59+E59+G59+U59+Y59,0)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31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IFERROR(D60+E60+G60+U60+Y60,0)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31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IFERROR(D61+E61+G61+U61+Y61,0)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31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31">
      <c r="B63" s="229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311">
        <f>IFERROR(D63*$T$7,0)</f>
        <v>0.0</v>
      </c>
      <c r="S63" s="292" t="n"/>
      <c r="T63" s="292" t="n"/>
      <c r="U63" s="311" t="n">
        <v>0</v>
      </c>
      <c r="V63" s="311" t="n">
        <v>0</v>
      </c>
      <c r="W63" s="292" t="n"/>
      <c r="X63" s="292" t="n"/>
      <c r="Y63" s="311" t="n">
        <v>1955</v>
      </c>
      <c r="Z63" s="311" t="n">
        <v>37.15</v>
      </c>
      <c r="AA63" s="292" t="n"/>
      <c r="AB63" s="292" t="n"/>
    </row>
    <row r="64" ht="16.5" customHeight="1" s="331">
      <c r="B64" s="229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311">
        <f>IFERROR(D64*$T$7,0)</f>
        <v>0.0</v>
      </c>
      <c r="S64" s="292" t="n"/>
      <c r="T64" s="292" t="n"/>
      <c r="U64" s="311" t="n">
        <v>0</v>
      </c>
      <c r="V64" s="311" t="n">
        <v>0</v>
      </c>
      <c r="W64" s="292" t="n"/>
      <c r="X64" s="292" t="n"/>
      <c r="Y64" s="311" t="n">
        <v>3330</v>
      </c>
      <c r="Z64" s="311" t="n">
        <v>63.27</v>
      </c>
      <c r="AA64" s="292" t="n"/>
      <c r="AB64" s="292" t="n"/>
    </row>
    <row r="65" ht="16.5" customHeight="1" s="331">
      <c r="B65" s="229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311">
        <f>IFERROR(D65*$T$7,0)</f>
        <v>0.0</v>
      </c>
      <c r="S65" s="292" t="n"/>
      <c r="T65" s="292" t="n"/>
      <c r="U65" s="311" t="n">
        <v>0</v>
      </c>
      <c r="V65" s="311" t="n">
        <v>0</v>
      </c>
      <c r="W65" s="292" t="n"/>
      <c r="X65" s="292" t="n"/>
      <c r="Y65" s="311" t="n">
        <v>5260</v>
      </c>
      <c r="Z65" s="311" t="n">
        <v>99.94</v>
      </c>
      <c r="AA65" s="292" t="n"/>
      <c r="AB65" s="292" t="n"/>
    </row>
    <row r="66" ht="16.5" customHeight="1" s="331">
      <c r="B66" s="229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311">
        <f>IFERROR(D66*$T$7,0)</f>
        <v>0.0</v>
      </c>
      <c r="S66" s="292" t="n"/>
      <c r="T66" s="292" t="n"/>
      <c r="U66" s="311" t="n">
        <v>0</v>
      </c>
      <c r="V66" s="311" t="n">
        <v>0</v>
      </c>
      <c r="W66" s="292" t="n"/>
      <c r="X66" s="292" t="n"/>
      <c r="Y66" s="311" t="n">
        <v>1537</v>
      </c>
      <c r="Z66" s="311" t="n">
        <v>29.2</v>
      </c>
      <c r="AA66" s="292" t="n"/>
      <c r="AB66" s="292" t="n"/>
    </row>
    <row r="67" ht="16.5" customHeight="1" s="331">
      <c r="B67" s="229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311">
        <f>IFERROR(D67*$T$7,0)</f>
        <v>0.0</v>
      </c>
      <c r="S67" s="292" t="n"/>
      <c r="T67" s="292" t="n"/>
      <c r="U67" s="311" t="n">
        <v>0</v>
      </c>
      <c r="V67" s="311" t="n">
        <v>0</v>
      </c>
      <c r="W67" s="292" t="n"/>
      <c r="X67" s="292" t="n"/>
      <c r="Y67" s="311" t="n">
        <v>1865</v>
      </c>
      <c r="Z67" s="311" t="n">
        <v>35.44</v>
      </c>
      <c r="AA67" s="292" t="n"/>
      <c r="AB67" s="292" t="n"/>
    </row>
    <row r="68" ht="16.5" customHeight="1" s="331">
      <c r="B68" s="229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311">
        <f>IFERROR(D68*$T$7,0)</f>
        <v>0.0</v>
      </c>
      <c r="S68" s="292" t="n"/>
      <c r="T68" s="292" t="n"/>
      <c r="U68" s="311" t="n">
        <v>80</v>
      </c>
      <c r="V68" s="311" t="n">
        <v>1.48</v>
      </c>
      <c r="W68" s="292" t="n"/>
      <c r="X68" s="292" t="n"/>
      <c r="Y68" s="311" t="n">
        <v>3485</v>
      </c>
      <c r="Z68" s="311" t="n">
        <v>66.22</v>
      </c>
      <c r="AA68" s="292" t="n"/>
      <c r="AB68" s="292" t="n"/>
    </row>
    <row r="69" ht="16.5" customHeight="1" s="331">
      <c r="B69" s="229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311">
        <f>IFERROR(D69*$T$7,0)</f>
        <v>0.0</v>
      </c>
      <c r="S69" s="292" t="n"/>
      <c r="T69" s="292" t="n"/>
      <c r="U69" s="311" t="n">
        <v>0</v>
      </c>
      <c r="V69" s="311" t="n">
        <v>0</v>
      </c>
      <c r="W69" s="292" t="n"/>
      <c r="X69" s="292" t="n"/>
      <c r="Y69" s="311" t="n">
        <v>2010</v>
      </c>
      <c r="Z69" s="311" t="n">
        <v>38.19</v>
      </c>
      <c r="AA69" s="292" t="n"/>
      <c r="AB69" s="292" t="n"/>
    </row>
    <row r="70" ht="16.5" customHeight="1" s="331">
      <c r="B70" s="229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311">
        <f>IFERROR(D70*$T$7,0)</f>
        <v>93.79</v>
      </c>
      <c r="S70" s="292" t="n"/>
      <c r="T70" s="292" t="n"/>
      <c r="U70" s="311" t="n">
        <v>0</v>
      </c>
      <c r="V70" s="311" t="n">
        <v>0</v>
      </c>
      <c r="W70" s="292" t="n"/>
      <c r="X70" s="292" t="n"/>
      <c r="Y70" s="311" t="n">
        <v>810</v>
      </c>
      <c r="Z70" s="311" t="n">
        <v>15.39</v>
      </c>
      <c r="AA70" s="292" t="n"/>
      <c r="AB70" s="292" t="n"/>
    </row>
    <row r="71" ht="16.5" customHeight="1" s="331">
      <c r="B71" s="229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311">
        <f>IFERROR(D71*$T$7,0)</f>
        <v>68.82</v>
      </c>
      <c r="S71" s="292" t="n"/>
      <c r="T71" s="292" t="n"/>
      <c r="U71" s="311" t="n">
        <v>0</v>
      </c>
      <c r="V71" s="311" t="n">
        <v>0</v>
      </c>
      <c r="W71" s="292" t="n"/>
      <c r="X71" s="292" t="n"/>
      <c r="Y71" s="311" t="n">
        <v>0</v>
      </c>
      <c r="Z71" s="311" t="n">
        <v>0</v>
      </c>
      <c r="AA71" s="292" t="n"/>
      <c r="AB71" s="292" t="n"/>
    </row>
    <row r="72" ht="16.5" customHeight="1" s="331">
      <c r="B72" s="229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311">
        <f>IFERROR(D72*$T$7,0)</f>
        <v>99.67</v>
      </c>
      <c r="S72" s="292" t="n"/>
      <c r="T72" s="292" t="n"/>
      <c r="U72" s="311" t="n">
        <v>0</v>
      </c>
      <c r="V72" s="311" t="n">
        <v>0</v>
      </c>
      <c r="W72" s="292" t="n"/>
      <c r="X72" s="292" t="n"/>
      <c r="Y72" s="311" t="n">
        <v>0</v>
      </c>
      <c r="Z72" s="311" t="n">
        <v>0</v>
      </c>
      <c r="AA72" s="292" t="n"/>
      <c r="AB72" s="292" t="n"/>
    </row>
    <row r="73" ht="16.5" customHeight="1" s="331">
      <c r="B73" s="229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311">
        <f>IFERROR(D73*$T$7,0)</f>
        <v>6.29</v>
      </c>
      <c r="S73" s="292" t="n"/>
      <c r="T73" s="292" t="n"/>
      <c r="U73" s="311" t="n">
        <v>0</v>
      </c>
      <c r="V73" s="311" t="n">
        <v>0</v>
      </c>
      <c r="W73" s="292" t="n"/>
      <c r="X73" s="292" t="n"/>
      <c r="Y73" s="311" t="n">
        <v>0</v>
      </c>
      <c r="Z73" s="311" t="n">
        <v>0</v>
      </c>
      <c r="AA73" s="292" t="n"/>
      <c r="AB73" s="292" t="n"/>
    </row>
    <row r="74" ht="16.5" customHeight="1" s="331">
      <c r="B74" s="229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323" t="n"/>
      <c r="N74" s="324" t="n"/>
      <c r="O74" s="325" t="n"/>
      <c r="P74" s="326" t="n"/>
      <c r="Q74" s="324" t="n"/>
      <c r="R74" s="327">
        <f>IFERROR(D74*$T$7,0)</f>
        <v>44.66</v>
      </c>
      <c r="S74" s="324" t="n"/>
      <c r="T74" s="324" t="n"/>
      <c r="U74" s="327" t="n">
        <v>0</v>
      </c>
      <c r="V74" s="327" t="n">
        <v>0</v>
      </c>
      <c r="W74" s="324" t="n"/>
      <c r="X74" s="324" t="n"/>
      <c r="Y74" s="327" t="n">
        <v>0</v>
      </c>
      <c r="Z74" s="327" t="n">
        <v>0</v>
      </c>
      <c r="AA74" s="324" t="n"/>
      <c r="AB74" s="324" t="n"/>
    </row>
    <row r="75" ht="16.5" customHeight="1" s="331">
      <c r="B75" s="229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311">
        <f>IFERROR(D75*$T$7,0)</f>
        <v>130.12</v>
      </c>
      <c r="S75" s="292" t="n"/>
      <c r="T75" s="292" t="n"/>
      <c r="U75" s="311" t="n">
        <v>0</v>
      </c>
      <c r="V75" s="311" t="n">
        <v>0</v>
      </c>
      <c r="W75" s="292" t="n"/>
      <c r="X75" s="292" t="n"/>
      <c r="Y75" s="311" t="n">
        <v>350</v>
      </c>
      <c r="Z75" s="311" t="n">
        <v>6.65</v>
      </c>
      <c r="AA75" s="292" t="n"/>
      <c r="AB75" s="292" t="n"/>
    </row>
    <row r="76" ht="16.5" customHeight="1" s="331">
      <c r="B76" s="229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323" t="n"/>
      <c r="N76" s="324" t="n"/>
      <c r="O76" s="325" t="n"/>
      <c r="P76" s="326" t="n"/>
      <c r="Q76" s="324" t="n"/>
      <c r="R76" s="327">
        <f>IFERROR(D76*$T$7,0)</f>
        <v>99.67</v>
      </c>
      <c r="S76" s="324" t="n"/>
      <c r="T76" s="324" t="n"/>
      <c r="U76" s="327" t="n">
        <v>0</v>
      </c>
      <c r="V76" s="327" t="n">
        <v>0</v>
      </c>
      <c r="W76" s="324" t="n"/>
      <c r="X76" s="324" t="n"/>
      <c r="Y76" s="327" t="n">
        <v>0</v>
      </c>
      <c r="Z76" s="327" t="n">
        <v>0</v>
      </c>
      <c r="AA76" s="324" t="n"/>
      <c r="AB76" s="324" t="n"/>
    </row>
    <row r="77" ht="16.5" customHeight="1" s="331">
      <c r="B77" s="229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>3234.0</v>
      </c>
      <c r="G77" s="257" t="n">
        <v>0</v>
      </c>
      <c r="H77" s="258">
        <f>SUMIFS('💸 Expenses'!$F$8:$F$5000,'💸 Expenses'!$B$8:$B$5000,"&gt;="&amp;B77,'💸 Expenses'!$B$8:$B$5000,"&lt;"&amp;(B77+1))</f>
        <v>268.0</v>
      </c>
      <c r="I77" s="259">
        <f>IFERROR(F77-H77,0)</f>
        <v>2966.0</v>
      </c>
      <c r="J77" s="260">
        <f>IFERROR(I77/F77,0)</f>
        <v>0.91713</v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311">
        <f>IFERROR(D77*$T$7,0)</f>
        <v>78.93</v>
      </c>
      <c r="S77" s="292" t="n"/>
      <c r="T77" s="292" t="n"/>
      <c r="U77" s="311" t="n">
        <v>0</v>
      </c>
      <c r="V77" s="311" t="n">
        <v>0</v>
      </c>
      <c r="W77" s="292" t="n"/>
      <c r="X77" s="292" t="n"/>
      <c r="Y77" s="311" t="n">
        <v>0</v>
      </c>
      <c r="Z77" s="311" t="n">
        <v>0</v>
      </c>
      <c r="AA77" s="292" t="n"/>
      <c r="AB77" s="292" t="n"/>
    </row>
    <row r="78" ht="16.5" customHeight="1" s="331">
      <c r="B78" s="229" t="n">
        <v>46234</v>
      </c>
      <c r="C78" s="270" t="inlineStr">
        <is>
          <t>Fri</t>
        </is>
      </c>
      <c r="D78" s="271" t="n">
        <v>2500</v>
      </c>
      <c r="E78" s="37" t="n">
        <v>1815</v>
      </c>
      <c r="F78" s="38">
        <f>IFERROR(D78+E78+G78+U78+Y78,0)</f>
        <v>4705.0</v>
      </c>
      <c r="G78" s="272" t="n">
        <v>390</v>
      </c>
      <c r="H78" s="273">
        <f>SUMIFS('💸 Expenses'!$F$8:$F$5000,'💸 Expenses'!$B$8:$B$5000,"&gt;="&amp;B78,'💸 Expenses'!$B$8:$B$5000,"&lt;"&amp;(B78+1))</f>
        <v>1993.0</v>
      </c>
      <c r="I78" s="274">
        <f>IFERROR(F78-H78,0)</f>
        <v>2712.0</v>
      </c>
      <c r="J78" s="275">
        <f>IFERROR(I78/F78,0)</f>
        <v>0.576408</v>
      </c>
      <c r="K78" s="250" t="n"/>
      <c r="L78" s="276" t="inlineStr">
        <is>
          <t>Cierre via loka.py</t>
        </is>
      </c>
      <c r="M78" s="323" t="n"/>
      <c r="N78" s="324" t="n"/>
      <c r="O78" s="325" t="n"/>
      <c r="P78" s="326" t="n"/>
      <c r="Q78" s="324" t="n"/>
      <c r="R78" s="327">
        <f>IFERROR(D78*$T$7,0)</f>
        <v>101.5</v>
      </c>
      <c r="S78" s="324" t="n"/>
      <c r="T78" s="324" t="n"/>
      <c r="U78" s="327" t="n">
        <v>0</v>
      </c>
      <c r="V78" s="327" t="n">
        <v>0</v>
      </c>
      <c r="W78" s="324" t="n"/>
      <c r="X78" s="324" t="n"/>
      <c r="Y78" s="327" t="n">
        <v>0</v>
      </c>
      <c r="Z78" s="327" t="n">
        <v>0</v>
      </c>
      <c r="AA78" s="324" t="n"/>
      <c r="AB78" s="324" t="n"/>
    </row>
    <row r="79" ht="16.5" customHeight="1" s="331">
      <c r="B79" s="229" t="n">
        <v>46235</v>
      </c>
      <c r="C79" s="255" t="inlineStr">
        <is>
          <t>Sat</t>
        </is>
      </c>
      <c r="D79" s="256" t="n">
        <v>2238</v>
      </c>
      <c r="E79" s="49" t="n">
        <v>1275</v>
      </c>
      <c r="F79" s="50">
        <f>IFERROR(D79+E79+G79+U79+Y79,0)</f>
        <v>3738.0</v>
      </c>
      <c r="G79" s="257" t="n">
        <v>225</v>
      </c>
      <c r="H79" s="258">
        <f>SUMIFS('💸 Expenses'!$F$8:$F$5000,'💸 Expenses'!$B$8:$B$5000,"&gt;="&amp;B79,'💸 Expenses'!$B$8:$B$5000,"&lt;"&amp;(B79+1))</f>
        <v>7208.0</v>
      </c>
      <c r="I79" s="259">
        <f>IFERROR(F79-H79,0)</f>
        <v>-3470.0</v>
      </c>
      <c r="J79" s="260">
        <f>IFERROR(I79/F79,0)</f>
        <v>-0.928304</v>
      </c>
      <c r="K79" s="254" t="n"/>
      <c r="L79" s="261" t="inlineStr">
        <is>
          <t>Cierre via loka.py</t>
        </is>
      </c>
      <c r="M79" s="291" t="n"/>
      <c r="N79" s="292" t="n"/>
      <c r="O79" s="293" t="n"/>
      <c r="P79" s="294" t="n"/>
      <c r="Q79" s="292" t="n"/>
      <c r="R79" s="311">
        <f>IFERROR(D79*$T$7,0)</f>
        <v>90.86</v>
      </c>
      <c r="S79" s="292" t="n"/>
      <c r="T79" s="292" t="n"/>
      <c r="U79" s="311" t="n">
        <v>0</v>
      </c>
      <c r="V79" s="311" t="n">
        <v>0</v>
      </c>
      <c r="W79" s="292" t="n"/>
      <c r="X79" s="292" t="n"/>
      <c r="Y79" s="311" t="n">
        <v>0</v>
      </c>
      <c r="Z79" s="311" t="n">
        <v>0</v>
      </c>
      <c r="AA79" s="292" t="n"/>
      <c r="AB79" s="292" t="n"/>
    </row>
    <row r="80" ht="16.5" customHeight="1" s="331">
      <c r="B80" s="427" t="n">
        <v>46237</v>
      </c>
      <c r="C80" s="270" t="inlineStr">
        <is>
          <t>Mon</t>
        </is>
      </c>
      <c r="D80" s="271" t="n">
        <v>0</v>
      </c>
      <c r="E80" s="37" t="n">
        <v>2430</v>
      </c>
      <c r="F80" s="38">
        <f>IFERROR(D80+E80+G80+U80+Y80,0)</f>
        <v>4360.0</v>
      </c>
      <c r="G80" s="272" t="n">
        <v>0</v>
      </c>
      <c r="H80" s="273">
        <f>SUMIFS('💸 Expenses'!$F$8:$F$5000,'💸 Expenses'!$B$8:$B$5000,"&gt;="&amp;B80,'💸 Expenses'!$B$8:$B$5000,"&lt;"&amp;(B80+1))</f>
        <v>1008.0</v>
      </c>
      <c r="I80" s="274">
        <f>IFERROR(F80-H80,0)</f>
        <v>3352.0</v>
      </c>
      <c r="J80" s="275">
        <f>IFERROR(I80/F80,0)</f>
        <v>0.768807</v>
      </c>
      <c r="K80" s="250" t="n"/>
      <c r="L80" s="276" t="inlineStr">
        <is>
          <t>Cierre via loka.py</t>
        </is>
      </c>
      <c r="M80" s="323" t="n"/>
      <c r="N80" s="324" t="n"/>
      <c r="O80" s="325" t="n"/>
      <c r="P80" s="326" t="n"/>
      <c r="Q80" s="324" t="n"/>
      <c r="R80" s="428">
        <f>IFERROR(D80*$T$7,0)</f>
        <v>0.0</v>
      </c>
      <c r="S80" s="324" t="n"/>
      <c r="T80" s="324" t="n"/>
      <c r="U80" s="428" t="n">
        <v>0</v>
      </c>
      <c r="V80" s="428" t="n">
        <v>0</v>
      </c>
      <c r="W80" s="324" t="n"/>
      <c r="X80" s="324" t="n"/>
      <c r="Y80" s="428" t="n">
        <v>1930</v>
      </c>
      <c r="Z80" s="428" t="n">
        <v>36.67</v>
      </c>
      <c r="AA80" s="324" t="n"/>
      <c r="AB80" s="324" t="n"/>
    </row>
    <row r="81" ht="16.5" customHeight="1" s="331">
      <c r="B81" s="427" t="n">
        <v>46238</v>
      </c>
      <c r="C81" s="255" t="inlineStr">
        <is>
          <t>Tue</t>
        </is>
      </c>
      <c r="D81" s="256" t="n">
        <v>0</v>
      </c>
      <c r="E81" s="49" t="n">
        <v>2500</v>
      </c>
      <c r="F81" s="50">
        <f>IFERROR(D81+E81+G81+U81+Y81,0)</f>
        <v>3775.0</v>
      </c>
      <c r="G81" s="257" t="n">
        <v>0</v>
      </c>
      <c r="H81" s="258">
        <f>SUMIFS('💸 Expenses'!$F$8:$F$5000,'💸 Expenses'!$B$8:$B$5000,"&gt;="&amp;B81,'💸 Expenses'!$B$8:$B$5000,"&lt;"&amp;(B81+1))</f>
        <v>28989.04</v>
      </c>
      <c r="I81" s="259">
        <f>IFERROR(F81-H81,0)</f>
        <v>-25214.04</v>
      </c>
      <c r="J81" s="260">
        <f>IFERROR(I81/F81,0)</f>
        <v>-6.679216</v>
      </c>
      <c r="K81" s="254" t="n"/>
      <c r="L81" s="261" t="inlineStr">
        <is>
          <t>Cierre via loka.py</t>
        </is>
      </c>
      <c r="M81" s="291" t="n"/>
      <c r="N81" s="292" t="n"/>
      <c r="O81" s="293" t="n"/>
      <c r="P81" s="294" t="n"/>
      <c r="Q81" s="292" t="n"/>
      <c r="R81" s="443">
        <f>IFERROR(D81*$T$7,0)</f>
        <v>0.0</v>
      </c>
      <c r="S81" s="292" t="n"/>
      <c r="T81" s="292" t="n"/>
      <c r="U81" s="443" t="n">
        <v>0</v>
      </c>
      <c r="V81" s="443" t="n">
        <v>0</v>
      </c>
      <c r="W81" s="292" t="n"/>
      <c r="X81" s="292" t="n"/>
      <c r="Y81" s="443" t="n">
        <v>1275</v>
      </c>
      <c r="Z81" s="443" t="n">
        <v>24.23</v>
      </c>
      <c r="AA81" s="292" t="n"/>
      <c r="AB81" s="292" t="n"/>
    </row>
    <row r="82" ht="16.5" customHeight="1" s="331">
      <c r="B82" s="427" t="n">
        <v>46239</v>
      </c>
      <c r="C82" s="270" t="inlineStr">
        <is>
          <t>Wed</t>
        </is>
      </c>
      <c r="D82" s="271" t="n">
        <v>0</v>
      </c>
      <c r="E82" s="37" t="n">
        <v>1185</v>
      </c>
      <c r="F82" s="38">
        <f>IFERROR(D82+E82+G82+U82+Y82,0)</f>
        <v>5165.0</v>
      </c>
      <c r="G82" s="272" t="n">
        <v>0</v>
      </c>
      <c r="H82" s="273">
        <f>SUMIFS('💸 Expenses'!$F$8:$F$5000,'💸 Expenses'!$B$8:$B$5000,"&gt;="&amp;B82,'💸 Expenses'!$B$8:$B$5000,"&lt;"&amp;(B82+1))</f>
        <v>1445.0</v>
      </c>
      <c r="I82" s="274">
        <f>IFERROR(F82-H82,0)</f>
        <v>3720.0</v>
      </c>
      <c r="J82" s="275">
        <f>IFERROR(I82/F82,0)</f>
        <v>0.720232</v>
      </c>
      <c r="K82" s="250" t="n"/>
      <c r="L82" s="276" t="inlineStr">
        <is>
          <t>Cierre via loka.py</t>
        </is>
      </c>
      <c r="M82" s="323" t="n"/>
      <c r="N82" s="324" t="n"/>
      <c r="O82" s="325" t="n"/>
      <c r="P82" s="326" t="n"/>
      <c r="Q82" s="324" t="n"/>
      <c r="R82" s="428">
        <f>IFERROR(D82*$T$7,0)</f>
        <v>0.0</v>
      </c>
      <c r="S82" s="324" t="n"/>
      <c r="T82" s="324" t="n"/>
      <c r="U82" s="428" t="n">
        <v>0</v>
      </c>
      <c r="V82" s="428" t="n">
        <v>0</v>
      </c>
      <c r="W82" s="324" t="n"/>
      <c r="X82" s="324" t="n"/>
      <c r="Y82" s="428" t="n">
        <v>3980</v>
      </c>
      <c r="Z82" s="428" t="n">
        <v>75.62</v>
      </c>
      <c r="AA82" s="324" t="n"/>
      <c r="AB82" s="324" t="n"/>
    </row>
    <row r="83" ht="16.5" customHeight="1" s="331">
      <c r="B83" s="427" t="n">
        <v>46240</v>
      </c>
      <c r="C83" s="255" t="inlineStr">
        <is>
          <t>Thu</t>
        </is>
      </c>
      <c r="D83" s="256" t="n">
        <v>130</v>
      </c>
      <c r="E83" s="49" t="n">
        <v>1605</v>
      </c>
      <c r="F83" s="50">
        <f>IFERROR(D83+E83+G83+U83+Y83,0)</f>
        <v>3765.0</v>
      </c>
      <c r="G83" s="257" t="n">
        <v>130</v>
      </c>
      <c r="H83" s="258">
        <f>SUMIFS('💸 Expenses'!$F$8:$F$5000,'💸 Expenses'!$B$8:$B$5000,"&gt;="&amp;B83,'💸 Expenses'!$B$8:$B$5000,"&lt;"&amp;(B83+1))</f>
        <v>2372.0</v>
      </c>
      <c r="I83" s="259">
        <f>IFERROR(F83-H83,0)</f>
        <v>1393.0</v>
      </c>
      <c r="J83" s="260">
        <f>IFERROR(I83/F83,0)</f>
        <v>0.369987</v>
      </c>
      <c r="K83" s="254" t="n"/>
      <c r="L83" s="261" t="inlineStr">
        <is>
          <t>Cierre via loka.py</t>
        </is>
      </c>
      <c r="M83" s="291" t="n"/>
      <c r="N83" s="292" t="n"/>
      <c r="O83" s="293" t="n"/>
      <c r="P83" s="294" t="n"/>
      <c r="Q83" s="292" t="n"/>
      <c r="R83" s="443">
        <f>IFERROR(D83*$T$7,0)</f>
        <v>5.28</v>
      </c>
      <c r="S83" s="292" t="n"/>
      <c r="T83" s="292" t="n"/>
      <c r="U83" s="443" t="n">
        <v>0</v>
      </c>
      <c r="V83" s="443" t="n">
        <v>0</v>
      </c>
      <c r="W83" s="292" t="n"/>
      <c r="X83" s="292" t="n"/>
      <c r="Y83" s="443" t="n">
        <v>1900</v>
      </c>
      <c r="Z83" s="443" t="n">
        <v>36.1</v>
      </c>
      <c r="AA83" s="292" t="n"/>
      <c r="AB83" s="292" t="n"/>
    </row>
    <row r="84" ht="16.5" customHeight="1" s="331">
      <c r="B84" s="427" t="n">
        <v>46241</v>
      </c>
      <c r="C84" s="270" t="inlineStr">
        <is>
          <t>Fri</t>
        </is>
      </c>
      <c r="D84" s="271" t="n">
        <v>115</v>
      </c>
      <c r="E84" s="37" t="n">
        <v>3495</v>
      </c>
      <c r="F84" s="38">
        <f>IFERROR(D84+E84+G84+U84+Y84,0)</f>
        <v>6725.0</v>
      </c>
      <c r="G84" s="272" t="n">
        <v>130</v>
      </c>
      <c r="H84" s="273">
        <f>SUMIFS('💸 Expenses'!$F$8:$F$5000,'💸 Expenses'!$B$8:$B$5000,"&gt;="&amp;B84,'💸 Expenses'!$B$8:$B$5000,"&lt;"&amp;(B84+1))</f>
        <v>2152.0</v>
      </c>
      <c r="I84" s="274">
        <f>IFERROR(F84-H84,0)</f>
        <v>4573.0</v>
      </c>
      <c r="J84" s="275">
        <f>IFERROR(I84/F84,0)</f>
        <v>0.68</v>
      </c>
      <c r="K84" s="250" t="n"/>
      <c r="L84" s="276" t="inlineStr">
        <is>
          <t>Cierre via loka.py</t>
        </is>
      </c>
      <c r="M84" s="323" t="n"/>
      <c r="N84" s="324" t="n"/>
      <c r="O84" s="325" t="n"/>
      <c r="P84" s="326" t="n"/>
      <c r="Q84" s="324" t="n"/>
      <c r="R84" s="428">
        <f>IFERROR(D84*$T$7,0)</f>
        <v>4.67</v>
      </c>
      <c r="S84" s="324" t="n"/>
      <c r="T84" s="324" t="n"/>
      <c r="U84" s="428" t="n">
        <v>0</v>
      </c>
      <c r="V84" s="428" t="n">
        <v>0</v>
      </c>
      <c r="W84" s="324" t="n"/>
      <c r="X84" s="324" t="n"/>
      <c r="Y84" s="428" t="n">
        <v>2985</v>
      </c>
      <c r="Z84" s="428" t="n">
        <v>56.72</v>
      </c>
      <c r="AA84" s="324" t="n"/>
      <c r="AB84" s="324" t="n"/>
    </row>
    <row r="85" ht="16.5" customHeight="1" s="331">
      <c r="B85" s="427" t="n">
        <v>46242</v>
      </c>
      <c r="C85" s="255" t="inlineStr">
        <is>
          <t>Sat</t>
        </is>
      </c>
      <c r="D85" s="256" t="n">
        <v>420</v>
      </c>
      <c r="E85" s="49" t="n">
        <v>1115</v>
      </c>
      <c r="F85" s="50">
        <f>IFERROR(D85+E85+G85+U85+Y85,0)</f>
        <v>2410.0</v>
      </c>
      <c r="G85" s="257" t="n">
        <v>135</v>
      </c>
      <c r="H85" s="258">
        <f>SUMIFS('💸 Expenses'!$F$8:$F$5000,'💸 Expenses'!$B$8:$B$5000,"&gt;="&amp;B85,'💸 Expenses'!$B$8:$B$5000,"&lt;"&amp;(B85+1))</f>
        <v>7943.0</v>
      </c>
      <c r="I85" s="259">
        <f>IFERROR(F85-H85,0)</f>
        <v>-5533.0</v>
      </c>
      <c r="J85" s="260">
        <f>IFERROR(I85/F85,0)</f>
        <v>-2.295851</v>
      </c>
      <c r="K85" s="254" t="n"/>
      <c r="L85" s="261" t="inlineStr">
        <is>
          <t>Cierre via loka.py</t>
        </is>
      </c>
      <c r="M85" s="291" t="n"/>
      <c r="N85" s="292" t="n"/>
      <c r="O85" s="293" t="n"/>
      <c r="P85" s="294" t="n"/>
      <c r="Q85" s="292" t="n"/>
      <c r="R85" s="443">
        <f>IFERROR(D85*$T$7,0)</f>
        <v>17.05</v>
      </c>
      <c r="S85" s="292" t="n"/>
      <c r="T85" s="292" t="n"/>
      <c r="U85" s="443" t="n">
        <v>0</v>
      </c>
      <c r="V85" s="443" t="n">
        <v>0</v>
      </c>
      <c r="W85" s="292" t="n"/>
      <c r="X85" s="292" t="n"/>
      <c r="Y85" s="443" t="n">
        <v>740</v>
      </c>
      <c r="Z85" s="443" t="n">
        <v>14.06</v>
      </c>
      <c r="AA85" s="292" t="n"/>
      <c r="AB85" s="292" t="n"/>
    </row>
    <row r="86" ht="16.5" customHeight="1" s="331">
      <c r="B86" s="427" t="n">
        <v>46244</v>
      </c>
      <c r="C86" s="270" t="inlineStr">
        <is>
          <t>Mon</t>
        </is>
      </c>
      <c r="D86" s="271" t="n">
        <v>65</v>
      </c>
      <c r="E86" s="37" t="n">
        <v>4305</v>
      </c>
      <c r="F86" s="38">
        <f>IFERROR(D86+E86+G86+U86+Y86,0)</f>
        <v>6540.0</v>
      </c>
      <c r="G86" s="272" t="n">
        <v>130</v>
      </c>
      <c r="H86" s="273">
        <f>SUMIFS('💸 Expenses'!$F$8:$F$5000,'💸 Expenses'!$B$8:$B$5000,"&gt;="&amp;B86,'💸 Expenses'!$B$8:$B$5000,"&lt;"&amp;(B86+1))</f>
        <v>1138.0</v>
      </c>
      <c r="I86" s="274">
        <f>IFERROR(F86-H86,0)</f>
        <v>5402.0</v>
      </c>
      <c r="J86" s="275">
        <f>IFERROR(I86/F86,0)</f>
        <v>0.825994</v>
      </c>
      <c r="K86" s="250" t="n"/>
      <c r="L86" s="276" t="inlineStr">
        <is>
          <t>Cierre via loka.py</t>
        </is>
      </c>
      <c r="M86" s="323" t="n"/>
      <c r="N86" s="324" t="n"/>
      <c r="O86" s="325" t="n"/>
      <c r="P86" s="326" t="n"/>
      <c r="Q86" s="324" t="n"/>
      <c r="R86" s="428">
        <f>IFERROR(D86*$T$7,0)</f>
        <v>2.64</v>
      </c>
      <c r="S86" s="324" t="n"/>
      <c r="T86" s="324" t="n"/>
      <c r="U86" s="428" t="n">
        <v>0</v>
      </c>
      <c r="V86" s="428" t="n">
        <v>0</v>
      </c>
      <c r="W86" s="324" t="n"/>
      <c r="X86" s="324" t="n"/>
      <c r="Y86" s="428" t="n">
        <v>2040</v>
      </c>
      <c r="Z86" s="428" t="n">
        <v>38.76</v>
      </c>
      <c r="AA86" s="324" t="n"/>
      <c r="AB86" s="324" t="n"/>
    </row>
    <row r="87" ht="16.5" customHeight="1" s="331">
      <c r="B87" s="427" t="n">
        <v>46245</v>
      </c>
      <c r="C87" s="255" t="inlineStr">
        <is>
          <t>Tue</t>
        </is>
      </c>
      <c r="D87" s="256" t="n">
        <v>240</v>
      </c>
      <c r="E87" s="49" t="n">
        <v>2880</v>
      </c>
      <c r="F87" s="50">
        <f>IFERROR(D87+E87+G87+U87+Y87,0)</f>
        <v>4705.0</v>
      </c>
      <c r="G87" s="257" t="n">
        <v>655</v>
      </c>
      <c r="H87" s="258">
        <f>SUMIFS('💸 Expenses'!$F$8:$F$5000,'💸 Expenses'!$B$8:$B$5000,"&gt;="&amp;B87,'💸 Expenses'!$B$8:$B$5000,"&lt;"&amp;(B87+1))</f>
        <v>1333.0</v>
      </c>
      <c r="I87" s="259">
        <f>IFERROR(F87-H87,0)</f>
        <v>3372.0</v>
      </c>
      <c r="J87" s="260">
        <f>IFERROR(I87/F87,0)</f>
        <v>0.716684</v>
      </c>
      <c r="K87" s="254" t="n"/>
      <c r="L87" s="261" t="inlineStr">
        <is>
          <t>Cierre via loka.py</t>
        </is>
      </c>
      <c r="M87" s="291" t="n"/>
      <c r="N87" s="292" t="n"/>
      <c r="O87" s="293" t="n"/>
      <c r="P87" s="294" t="n"/>
      <c r="Q87" s="292" t="n"/>
      <c r="R87" s="443">
        <f>IFERROR(D87*$T$7,0)</f>
        <v>9.74</v>
      </c>
      <c r="S87" s="292" t="n"/>
      <c r="T87" s="292" t="n"/>
      <c r="U87" s="443" t="n">
        <v>0</v>
      </c>
      <c r="V87" s="443" t="n">
        <v>0</v>
      </c>
      <c r="W87" s="292" t="n"/>
      <c r="X87" s="292" t="n"/>
      <c r="Y87" s="443" t="n">
        <v>930</v>
      </c>
      <c r="Z87" s="443" t="n">
        <v>17.67</v>
      </c>
      <c r="AA87" s="292" t="n"/>
      <c r="AB87" s="292" t="n"/>
    </row>
    <row r="88" ht="16.5" customHeight="1" s="331">
      <c r="B88" s="427" t="n">
        <v>46246</v>
      </c>
      <c r="C88" s="270" t="inlineStr">
        <is>
          <t>Wed</t>
        </is>
      </c>
      <c r="D88" s="271" t="n">
        <v>0</v>
      </c>
      <c r="E88" s="37" t="n">
        <v>810</v>
      </c>
      <c r="F88" s="38">
        <f>IFERROR(D88+E88+G88+U88+Y88,0)</f>
        <v>2790.0</v>
      </c>
      <c r="G88" s="272" t="n">
        <v>130</v>
      </c>
      <c r="H88" s="273">
        <f>SUMIFS('💸 Expenses'!$F$8:$F$5000,'💸 Expenses'!$B$8:$B$5000,"&gt;="&amp;B88,'💸 Expenses'!$B$8:$B$5000,"&lt;"&amp;(B88+1))</f>
        <v>5043.0</v>
      </c>
      <c r="I88" s="274">
        <f>IFERROR(F88-H88,0)</f>
        <v>-2253.0</v>
      </c>
      <c r="J88" s="275">
        <f>IFERROR(I88/F88,0)</f>
        <v>-0.807527</v>
      </c>
      <c r="K88" s="250" t="n"/>
      <c r="L88" s="276" t="inlineStr">
        <is>
          <t>Cierre via loka.py</t>
        </is>
      </c>
      <c r="M88" s="323" t="n"/>
      <c r="N88" s="324" t="n"/>
      <c r="O88" s="325" t="n"/>
      <c r="P88" s="326" t="n"/>
      <c r="Q88" s="324" t="n"/>
      <c r="R88" s="428">
        <f>IFERROR(D88*$T$7,0)</f>
        <v>0.0</v>
      </c>
      <c r="S88" s="324" t="n"/>
      <c r="T88" s="324" t="n"/>
      <c r="U88" s="428" t="n">
        <v>0</v>
      </c>
      <c r="V88" s="428" t="n">
        <v>0</v>
      </c>
      <c r="W88" s="324" t="n"/>
      <c r="X88" s="324" t="n"/>
      <c r="Y88" s="428" t="n">
        <v>1850</v>
      </c>
      <c r="Z88" s="428" t="n">
        <v>35.15</v>
      </c>
      <c r="AA88" s="324" t="n"/>
      <c r="AB88" s="324" t="n"/>
    </row>
    <row r="89" ht="16.5" customHeight="1" s="331">
      <c r="B89" s="427" t="n">
        <v>46247</v>
      </c>
      <c r="C89" s="255" t="inlineStr">
        <is>
          <t>Thu</t>
        </is>
      </c>
      <c r="D89" s="256" t="n">
        <v>0</v>
      </c>
      <c r="E89" s="49" t="n">
        <v>1140</v>
      </c>
      <c r="F89" s="50">
        <f>IFERROR(D89+E89+G89+U89+Y89,0)</f>
        <v>3440.0</v>
      </c>
      <c r="G89" s="257" t="n">
        <v>135</v>
      </c>
      <c r="H89" s="258">
        <f>SUMIFS('💸 Expenses'!$F$8:$F$5000,'💸 Expenses'!$B$8:$B$5000,"&gt;="&amp;B89,'💸 Expenses'!$B$8:$B$5000,"&lt;"&amp;(B89+1))</f>
        <v>479.0</v>
      </c>
      <c r="I89" s="259">
        <f>IFERROR(F89-H89,0)</f>
        <v>2961.0</v>
      </c>
      <c r="J89" s="260">
        <f>IFERROR(I89/F89,0)</f>
        <v>0.860756</v>
      </c>
      <c r="K89" s="254" t="n"/>
      <c r="L89" s="261" t="inlineStr">
        <is>
          <t>Cierre via loka.py</t>
        </is>
      </c>
      <c r="M89" s="291" t="n"/>
      <c r="N89" s="292" t="n"/>
      <c r="O89" s="293" t="n"/>
      <c r="P89" s="294" t="n"/>
      <c r="Q89" s="292" t="n"/>
      <c r="R89" s="443">
        <f>IFERROR(D89*$T$7,0)</f>
        <v>0.0</v>
      </c>
      <c r="S89" s="292" t="n"/>
      <c r="T89" s="292" t="n"/>
      <c r="U89" s="443" t="n">
        <v>0</v>
      </c>
      <c r="V89" s="443" t="n">
        <v>0</v>
      </c>
      <c r="W89" s="292" t="n"/>
      <c r="X89" s="292" t="n"/>
      <c r="Y89" s="443" t="n">
        <v>2165</v>
      </c>
      <c r="Z89" s="443" t="n">
        <v>41.13</v>
      </c>
      <c r="AA89" s="292" t="n"/>
      <c r="AB89" s="292" t="n"/>
    </row>
    <row r="90" ht="16.5" customHeight="1" s="331">
      <c r="B90" s="427" t="n">
        <v>46248</v>
      </c>
      <c r="C90" s="270" t="inlineStr">
        <is>
          <t>Fri</t>
        </is>
      </c>
      <c r="D90" s="271" t="n">
        <v>0</v>
      </c>
      <c r="E90" s="37" t="n">
        <v>1680</v>
      </c>
      <c r="F90" s="38">
        <f>IFERROR(D90+E90+G90+U90+Y90,0)</f>
        <v>5645.0</v>
      </c>
      <c r="G90" s="272" t="n">
        <v>0</v>
      </c>
      <c r="H90" s="273">
        <f>SUMIFS('💸 Expenses'!$F$8:$F$5000,'💸 Expenses'!$B$8:$B$5000,"&gt;="&amp;B90,'💸 Expenses'!$B$8:$B$5000,"&lt;"&amp;(B90+1))</f>
        <v>3955.0</v>
      </c>
      <c r="I90" s="274">
        <f>IFERROR(F90-H90,0)</f>
        <v>1690.0</v>
      </c>
      <c r="J90" s="275">
        <f>IFERROR(I90/F90,0)</f>
        <v>0.29938</v>
      </c>
      <c r="K90" s="250" t="n"/>
      <c r="L90" s="276" t="inlineStr">
        <is>
          <t>Cierre via loka.py</t>
        </is>
      </c>
      <c r="M90" s="323" t="n"/>
      <c r="N90" s="324" t="n"/>
      <c r="O90" s="325" t="n"/>
      <c r="P90" s="326" t="n"/>
      <c r="Q90" s="324" t="n"/>
      <c r="R90" s="428">
        <f>IFERROR(D90*$T$7,0)</f>
        <v>0.0</v>
      </c>
      <c r="S90" s="324" t="n"/>
      <c r="T90" s="324" t="n"/>
      <c r="U90" s="428" t="n">
        <v>0</v>
      </c>
      <c r="V90" s="428" t="n">
        <v>0</v>
      </c>
      <c r="W90" s="324" t="n"/>
      <c r="X90" s="324" t="n"/>
      <c r="Y90" s="428" t="n">
        <v>3965</v>
      </c>
      <c r="Z90" s="428" t="n">
        <v>75.33</v>
      </c>
      <c r="AA90" s="324" t="n"/>
      <c r="AB90" s="324" t="n"/>
    </row>
    <row r="91" ht="16.5" customHeight="1" s="331">
      <c r="B91" s="427" t="n">
        <v>46249</v>
      </c>
      <c r="C91" s="255" t="inlineStr">
        <is>
          <t>Sat</t>
        </is>
      </c>
      <c r="D91" s="256" t="n">
        <v>2605</v>
      </c>
      <c r="E91" s="49" t="n">
        <v>2300</v>
      </c>
      <c r="F91" s="50">
        <f>IFERROR(D91+E91+G91+U91+Y91,0)</f>
        <v>4905.0</v>
      </c>
      <c r="G91" s="257" t="n">
        <v>0</v>
      </c>
      <c r="H91" s="258">
        <f>SUMIFS('💸 Expenses'!$F$8:$F$5000,'💸 Expenses'!$B$8:$B$5000,"&gt;="&amp;B91,'💸 Expenses'!$B$8:$B$5000,"&lt;"&amp;(B91+1))</f>
        <v>7531.0</v>
      </c>
      <c r="I91" s="259">
        <f>IFERROR(F91-H91,0)</f>
        <v>-2626.0</v>
      </c>
      <c r="J91" s="260">
        <f>IFERROR(I91/F91,0)</f>
        <v>-0.535372</v>
      </c>
      <c r="K91" s="254" t="n"/>
      <c r="L91" s="261" t="inlineStr">
        <is>
          <t>Cierre via loka.py</t>
        </is>
      </c>
      <c r="M91" s="291" t="n"/>
      <c r="N91" s="292" t="n"/>
      <c r="O91" s="293" t="n"/>
      <c r="P91" s="294" t="n"/>
      <c r="Q91" s="292" t="n"/>
      <c r="R91" s="443">
        <f>IFERROR(D91*$T$7,0)</f>
        <v>105.76</v>
      </c>
      <c r="S91" s="292" t="n"/>
      <c r="T91" s="292" t="n"/>
      <c r="U91" s="443" t="n">
        <v>0</v>
      </c>
      <c r="V91" s="443" t="n">
        <v>0</v>
      </c>
      <c r="W91" s="292" t="n"/>
      <c r="X91" s="292" t="n"/>
      <c r="Y91" s="443" t="n">
        <v>0</v>
      </c>
      <c r="Z91" s="443" t="n">
        <v>0</v>
      </c>
      <c r="AA91" s="292" t="n"/>
      <c r="AB91" s="292" t="n"/>
    </row>
    <row r="92" ht="16.5" customHeight="1" s="331">
      <c r="B92" s="427" t="n">
        <v>46251</v>
      </c>
      <c r="C92" s="270" t="inlineStr">
        <is>
          <t>Mon</t>
        </is>
      </c>
      <c r="D92" s="271" t="n">
        <v>2205</v>
      </c>
      <c r="E92" s="37" t="n">
        <v>970</v>
      </c>
      <c r="F92" s="38">
        <f>IFERROR(D92+E92+G92+U92+Y92,0)</f>
        <v>3305.0</v>
      </c>
      <c r="G92" s="272" t="n">
        <v>130</v>
      </c>
      <c r="H92" s="273">
        <f>SUMIFS('💸 Expenses'!$F$8:$F$5000,'💸 Expenses'!$B$8:$B$5000,"&gt;="&amp;B92,'💸 Expenses'!$B$8:$B$5000,"&lt;"&amp;(B92+1))</f>
        <v>3743.0</v>
      </c>
      <c r="I92" s="274">
        <f>IFERROR(F92-H92,0)</f>
        <v>-438.0</v>
      </c>
      <c r="J92" s="275">
        <f>IFERROR(I92/F92,0)</f>
        <v>-0.132526</v>
      </c>
      <c r="K92" s="250" t="n"/>
      <c r="L92" s="276" t="inlineStr">
        <is>
          <t>Cierre via loka.py</t>
        </is>
      </c>
      <c r="M92" s="323" t="n"/>
      <c r="N92" s="324" t="n"/>
      <c r="O92" s="325" t="n"/>
      <c r="P92" s="326" t="n"/>
      <c r="Q92" s="324" t="n"/>
      <c r="R92" s="428">
        <f>IFERROR(D92*$T$7,0)</f>
        <v>89.52</v>
      </c>
      <c r="S92" s="324" t="n"/>
      <c r="T92" s="324" t="n"/>
      <c r="U92" s="428" t="n">
        <v>0</v>
      </c>
      <c r="V92" s="428" t="n">
        <v>0</v>
      </c>
      <c r="W92" s="324" t="n"/>
      <c r="X92" s="324" t="n"/>
      <c r="Y92" s="428" t="n">
        <v>0</v>
      </c>
      <c r="Z92" s="428" t="n">
        <v>0</v>
      </c>
      <c r="AA92" s="324" t="n"/>
      <c r="AB92" s="324" t="n"/>
    </row>
    <row r="93" ht="16.5" customHeight="1" s="331">
      <c r="B93" s="427" t="n">
        <v>46252</v>
      </c>
      <c r="C93" s="255" t="inlineStr">
        <is>
          <t>Tue</t>
        </is>
      </c>
      <c r="D93" s="256" t="n">
        <v>2010</v>
      </c>
      <c r="E93" s="49" t="n">
        <v>2410</v>
      </c>
      <c r="F93" s="50">
        <f>IFERROR(D93+E93+G93+U93+Y93,0)</f>
        <v>4630.0</v>
      </c>
      <c r="G93" s="257" t="n">
        <v>210</v>
      </c>
      <c r="H93" s="258">
        <f>SUMIFS('💸 Expenses'!$F$8:$F$5000,'💸 Expenses'!$B$8:$B$5000,"&gt;="&amp;B93,'💸 Expenses'!$B$8:$B$5000,"&lt;"&amp;(B93+1))</f>
        <v>2603.0</v>
      </c>
      <c r="I93" s="259">
        <f>IFERROR(F93-H93,0)</f>
        <v>2027.0</v>
      </c>
      <c r="J93" s="260">
        <f>IFERROR(I93/F93,0)</f>
        <v>0.437797</v>
      </c>
      <c r="K93" s="254" t="n"/>
      <c r="L93" s="261" t="inlineStr">
        <is>
          <t>Cierre via loka.py</t>
        </is>
      </c>
      <c r="M93" s="291" t="n"/>
      <c r="N93" s="292" t="n"/>
      <c r="O93" s="293" t="n"/>
      <c r="P93" s="294" t="n"/>
      <c r="Q93" s="292" t="n"/>
      <c r="R93" s="443">
        <f>IFERROR(D93*$T$7,0)</f>
        <v>81.61</v>
      </c>
      <c r="S93" s="292" t="n"/>
      <c r="T93" s="292" t="n"/>
      <c r="U93" s="443" t="n">
        <v>0</v>
      </c>
      <c r="V93" s="443" t="n">
        <v>0</v>
      </c>
      <c r="W93" s="292" t="n"/>
      <c r="X93" s="292" t="n"/>
      <c r="Y93" s="443" t="n">
        <v>0</v>
      </c>
      <c r="Z93" s="443" t="n">
        <v>0</v>
      </c>
      <c r="AA93" s="292" t="n"/>
      <c r="AB93" s="292" t="n"/>
    </row>
    <row r="94" ht="16.5" customHeight="1" s="331">
      <c r="B94" s="427" t="n">
        <v>46253</v>
      </c>
      <c r="C94" s="270" t="inlineStr">
        <is>
          <t>Wed</t>
        </is>
      </c>
      <c r="D94" s="271" t="n">
        <v>2680</v>
      </c>
      <c r="E94" s="37" t="n">
        <v>3845</v>
      </c>
      <c r="F94" s="38">
        <f>IFERROR(D94+E94+G94+U94+Y94,0)</f>
        <v>6645.0</v>
      </c>
      <c r="G94" s="272" t="n">
        <v>120</v>
      </c>
      <c r="H94" s="273">
        <f>SUMIFS('💸 Expenses'!$F$8:$F$5000,'💸 Expenses'!$B$8:$B$5000,"&gt;="&amp;B94,'💸 Expenses'!$B$8:$B$5000,"&lt;"&amp;(B94+1))</f>
        <v>2960.0</v>
      </c>
      <c r="I94" s="274">
        <f>IFERROR(F94-H94,0)</f>
        <v>3685.0</v>
      </c>
      <c r="J94" s="275">
        <f>IFERROR(I94/F94,0)</f>
        <v>0.554552</v>
      </c>
      <c r="K94" s="250" t="n"/>
      <c r="L94" s="276" t="inlineStr">
        <is>
          <t>Cierre via loka.py</t>
        </is>
      </c>
      <c r="M94" s="323" t="n"/>
      <c r="N94" s="324" t="n"/>
      <c r="O94" s="325" t="n"/>
      <c r="P94" s="326" t="n"/>
      <c r="Q94" s="324" t="n"/>
      <c r="R94" s="428">
        <f>IFERROR(D94*$T$7,0)</f>
        <v>108.81</v>
      </c>
      <c r="S94" s="324" t="n"/>
      <c r="T94" s="324" t="n"/>
      <c r="U94" s="428" t="n">
        <v>0</v>
      </c>
      <c r="V94" s="428" t="n">
        <v>0</v>
      </c>
      <c r="W94" s="324" t="n"/>
      <c r="X94" s="324" t="n"/>
      <c r="Y94" s="428" t="n">
        <v>0</v>
      </c>
      <c r="Z94" s="428" t="n">
        <v>0</v>
      </c>
      <c r="AA94" s="324" t="n"/>
      <c r="AB94" s="324" t="n"/>
    </row>
    <row r="95" ht="16.5" customHeight="1" s="331">
      <c r="B95" s="427" t="n">
        <v>46254</v>
      </c>
      <c r="C95" s="255" t="inlineStr">
        <is>
          <t>Thu</t>
        </is>
      </c>
      <c r="D95" s="256" t="n">
        <v>3140</v>
      </c>
      <c r="E95" s="49" t="n">
        <v>2055</v>
      </c>
      <c r="F95" s="50">
        <f>IFERROR(D95+E95+G95+U95+Y95,0)</f>
        <v>5195.0</v>
      </c>
      <c r="G95" s="257" t="n">
        <v>0</v>
      </c>
      <c r="H95" s="258">
        <f>SUMIFS('💸 Expenses'!$F$8:$F$5000,'💸 Expenses'!$B$8:$B$5000,"&gt;="&amp;B95,'💸 Expenses'!$B$8:$B$5000,"&lt;"&amp;(B95+1))</f>
        <v>340.0</v>
      </c>
      <c r="I95" s="259">
        <f>IFERROR(F95-H95,0)</f>
        <v>4855.0</v>
      </c>
      <c r="J95" s="260">
        <f>IFERROR(I95/F95,0)</f>
        <v>0.934552</v>
      </c>
      <c r="K95" s="254" t="n"/>
      <c r="L95" s="261" t="inlineStr">
        <is>
          <t>Cierre via loka.py</t>
        </is>
      </c>
      <c r="M95" s="291" t="n"/>
      <c r="N95" s="292" t="n"/>
      <c r="O95" s="293" t="n"/>
      <c r="P95" s="294" t="n"/>
      <c r="Q95" s="292" t="n"/>
      <c r="R95" s="443">
        <f>IFERROR(D95*$T$7,0)</f>
        <v>127.48</v>
      </c>
      <c r="S95" s="292" t="n"/>
      <c r="T95" s="292" t="n"/>
      <c r="U95" s="443" t="n">
        <v>0</v>
      </c>
      <c r="V95" s="443" t="n">
        <v>0</v>
      </c>
      <c r="W95" s="292" t="n"/>
      <c r="X95" s="292" t="n"/>
      <c r="Y95" s="443" t="n">
        <v>0</v>
      </c>
      <c r="Z95" s="443" t="n">
        <v>0</v>
      </c>
      <c r="AA95" s="292" t="n"/>
      <c r="AB95" s="292" t="n"/>
    </row>
    <row r="96" ht="16.5" customHeight="1" s="331">
      <c r="B96" s="427" t="n">
        <v>46255</v>
      </c>
      <c r="C96" s="270" t="inlineStr">
        <is>
          <t>Fri</t>
        </is>
      </c>
      <c r="D96" s="271" t="n">
        <v>1210</v>
      </c>
      <c r="E96" s="37" t="n">
        <v>2105</v>
      </c>
      <c r="F96" s="38">
        <f>IFERROR(D96+E96+G96+U96+Y96,0)</f>
        <v>3315.0</v>
      </c>
      <c r="G96" s="272" t="n">
        <v>0</v>
      </c>
      <c r="H96" s="273">
        <f>SUMIFS('💸 Expenses'!$F$8:$F$5000,'💸 Expenses'!$B$8:$B$5000,"&gt;="&amp;B96,'💸 Expenses'!$B$8:$B$5000,"&lt;"&amp;(B96+1))</f>
        <v>3736.0</v>
      </c>
      <c r="I96" s="274">
        <f>IFERROR(F96-H96,0)</f>
        <v>-421.0</v>
      </c>
      <c r="J96" s="275">
        <f>IFERROR(I96/F96,0)</f>
        <v>-0.126998</v>
      </c>
      <c r="K96" s="250" t="n"/>
      <c r="L96" s="276" t="inlineStr">
        <is>
          <t>Cierre via loka.py</t>
        </is>
      </c>
      <c r="M96" s="323" t="n"/>
      <c r="N96" s="324" t="n"/>
      <c r="O96" s="325" t="n"/>
      <c r="P96" s="326" t="n"/>
      <c r="Q96" s="324" t="n"/>
      <c r="R96" s="428">
        <f>IFERROR(D96*$T$7,0)</f>
        <v>49.13</v>
      </c>
      <c r="S96" s="324" t="n"/>
      <c r="T96" s="324" t="n"/>
      <c r="U96" s="428" t="n">
        <v>0</v>
      </c>
      <c r="V96" s="428" t="n">
        <v>0</v>
      </c>
      <c r="W96" s="324" t="n"/>
      <c r="X96" s="324" t="n"/>
      <c r="Y96" s="428" t="n">
        <v>0</v>
      </c>
      <c r="Z96" s="428" t="n">
        <v>0</v>
      </c>
      <c r="AA96" s="324" t="n"/>
      <c r="AB96" s="324" t="n"/>
    </row>
    <row r="97" ht="16.5" customHeight="1" s="331">
      <c r="B97" s="427" t="n">
        <v>46256</v>
      </c>
      <c r="C97" s="255" t="inlineStr">
        <is>
          <t>Sat</t>
        </is>
      </c>
      <c r="D97" s="256" t="n">
        <v>0</v>
      </c>
      <c r="E97" s="49" t="n">
        <v>1015</v>
      </c>
      <c r="F97" s="50">
        <f>IFERROR(D97+E97+G97+U97+Y97,0)</f>
        <v>2060.0</v>
      </c>
      <c r="G97" s="257" t="n">
        <v>0</v>
      </c>
      <c r="H97" s="258">
        <f>SUMIFS('💸 Expenses'!$F$8:$F$5000,'💸 Expenses'!$B$8:$B$5000,"&gt;="&amp;B97,'💸 Expenses'!$B$8:$B$5000,"&lt;"&amp;(B97+1))</f>
        <v>4809.0</v>
      </c>
      <c r="I97" s="259">
        <f>IFERROR(F97-H97,0)</f>
        <v>-2749.0</v>
      </c>
      <c r="J97" s="260">
        <f>IFERROR(I97/F97,0)</f>
        <v>-1.334466</v>
      </c>
      <c r="K97" s="254" t="n"/>
      <c r="L97" s="261" t="inlineStr">
        <is>
          <t>Cierre via loka.py</t>
        </is>
      </c>
      <c r="M97" s="291" t="n"/>
      <c r="N97" s="292" t="n"/>
      <c r="O97" s="293" t="n"/>
      <c r="P97" s="294" t="n"/>
      <c r="Q97" s="292" t="n"/>
      <c r="R97" s="443">
        <f>IFERROR(D97*$T$7,0)</f>
        <v>0.0</v>
      </c>
      <c r="S97" s="292" t="n"/>
      <c r="T97" s="292" t="n"/>
      <c r="U97" s="443" t="n">
        <v>0</v>
      </c>
      <c r="V97" s="443" t="n">
        <v>0</v>
      </c>
      <c r="W97" s="292" t="n"/>
      <c r="X97" s="292" t="n"/>
      <c r="Y97" s="443" t="n">
        <v>1045</v>
      </c>
      <c r="Z97" s="443" t="n">
        <v>19.86</v>
      </c>
      <c r="AA97" s="292" t="n"/>
      <c r="AB97" s="292" t="n"/>
    </row>
    <row r="98" ht="16.5" customHeight="1" s="331">
      <c r="B98" s="427" t="n">
        <v>46258</v>
      </c>
      <c r="C98" s="270" t="inlineStr">
        <is>
          <t>Mon</t>
        </is>
      </c>
      <c r="D98" s="271" t="n">
        <v>1085</v>
      </c>
      <c r="E98" s="37" t="n">
        <v>1715</v>
      </c>
      <c r="F98" s="38">
        <f>IFERROR(D98+E98+G98+U98+Y98,0)</f>
        <v>2800.0</v>
      </c>
      <c r="G98" s="272" t="n">
        <v>0</v>
      </c>
      <c r="H98" s="273">
        <f>SUMIFS('💸 Expenses'!$F$8:$F$5000,'💸 Expenses'!$B$8:$B$5000,"&gt;="&amp;B98,'💸 Expenses'!$B$8:$B$5000,"&lt;"&amp;(B98+1))</f>
        <v>2964.0</v>
      </c>
      <c r="I98" s="274">
        <f>IFERROR(F98-H98,0)</f>
        <v>-164.0</v>
      </c>
      <c r="J98" s="275">
        <f>IFERROR(I98/F98,0)</f>
        <v>-0.058571</v>
      </c>
      <c r="K98" s="250" t="n"/>
      <c r="L98" s="276" t="inlineStr">
        <is>
          <t>Cierre via loka.py</t>
        </is>
      </c>
      <c r="M98" s="323" t="n"/>
      <c r="N98" s="324" t="n"/>
      <c r="O98" s="325" t="n"/>
      <c r="P98" s="326" t="n"/>
      <c r="Q98" s="324" t="n"/>
      <c r="R98" s="428">
        <f>IFERROR(D98*$T$7,0)</f>
        <v>44.05</v>
      </c>
      <c r="S98" s="324" t="n"/>
      <c r="T98" s="324" t="n"/>
      <c r="U98" s="428" t="n">
        <v>0</v>
      </c>
      <c r="V98" s="428" t="n">
        <v>0</v>
      </c>
      <c r="W98" s="324" t="n"/>
      <c r="X98" s="324" t="n"/>
      <c r="Y98" s="428" t="n">
        <v>0</v>
      </c>
      <c r="Z98" s="428" t="n">
        <v>0</v>
      </c>
      <c r="AA98" s="324" t="n"/>
      <c r="AB98" s="324" t="n"/>
    </row>
    <row r="99" ht="16.5" customHeight="1" s="331">
      <c r="B99" s="427" t="n">
        <v>46259</v>
      </c>
      <c r="C99" s="255" t="inlineStr">
        <is>
          <t>Tue</t>
        </is>
      </c>
      <c r="D99" s="256" t="n">
        <v>500</v>
      </c>
      <c r="E99" s="49" t="n">
        <v>1160</v>
      </c>
      <c r="F99" s="50">
        <f>IFERROR(D99+E99+G99+U99+Y99,0)</f>
        <v>1910.0</v>
      </c>
      <c r="G99" s="257" t="n">
        <v>250</v>
      </c>
      <c r="H99" s="258">
        <f>SUMIFS('💸 Expenses'!$F$8:$F$5000,'💸 Expenses'!$B$8:$B$5000,"&gt;="&amp;B99,'💸 Expenses'!$B$8:$B$5000,"&lt;"&amp;(B99+1))</f>
        <v>698.0</v>
      </c>
      <c r="I99" s="259">
        <f>IFERROR(F99-H99,0)</f>
        <v>1212.0</v>
      </c>
      <c r="J99" s="260">
        <f>IFERROR(I99/F99,0)</f>
        <v>0.634555</v>
      </c>
      <c r="K99" s="254" t="n"/>
      <c r="L99" s="261" t="inlineStr">
        <is>
          <t>Cierre via loka.py</t>
        </is>
      </c>
      <c r="M99" s="291" t="n"/>
      <c r="N99" s="292" t="n"/>
      <c r="O99" s="293" t="n"/>
      <c r="P99" s="294" t="n"/>
      <c r="Q99" s="292" t="n"/>
      <c r="R99" s="443">
        <f>IFERROR(D99*$T$7,0)</f>
        <v>20.3</v>
      </c>
      <c r="S99" s="292" t="n"/>
      <c r="T99" s="292" t="n"/>
      <c r="U99" s="443" t="n">
        <v>0</v>
      </c>
      <c r="V99" s="443" t="n">
        <v>0</v>
      </c>
      <c r="W99" s="292" t="n"/>
      <c r="X99" s="292" t="n"/>
      <c r="Y99" s="443" t="n">
        <v>0</v>
      </c>
      <c r="Z99" s="443" t="n">
        <v>0</v>
      </c>
      <c r="AA99" s="292" t="n"/>
      <c r="AB99" s="292" t="n"/>
    </row>
    <row r="100" ht="16.5" customHeight="1" s="331">
      <c r="B100" s="427" t="n">
        <v>46260</v>
      </c>
      <c r="C100" s="270" t="inlineStr">
        <is>
          <t>Wed</t>
        </is>
      </c>
      <c r="D100" s="271" t="n">
        <v>2910</v>
      </c>
      <c r="E100" s="37" t="n">
        <v>2765</v>
      </c>
      <c r="F100" s="38">
        <f>IFERROR(D100+E100+G100+U100+Y100,0)</f>
        <v>5675.0</v>
      </c>
      <c r="G100" s="272" t="n">
        <v>0</v>
      </c>
      <c r="H100" s="273">
        <f>SUMIFS('💸 Expenses'!$F$8:$F$5000,'💸 Expenses'!$B$8:$B$5000,"&gt;="&amp;B100,'💸 Expenses'!$B$8:$B$5000,"&lt;"&amp;(B100+1))</f>
        <v>0.0</v>
      </c>
      <c r="I100" s="274">
        <f>IFERROR(F100-H100,0)</f>
        <v>5675.0</v>
      </c>
      <c r="J100" s="275">
        <f>IFERROR(I100/F100,0)</f>
        <v>1.0</v>
      </c>
      <c r="K100" s="250" t="n"/>
      <c r="L100" s="276" t="inlineStr">
        <is>
          <t>Cierre via loka.py</t>
        </is>
      </c>
      <c r="M100" s="323" t="n"/>
      <c r="N100" s="324" t="n"/>
      <c r="O100" s="325" t="n"/>
      <c r="P100" s="326" t="n"/>
      <c r="Q100" s="324" t="n"/>
      <c r="R100" s="428">
        <f>IFERROR(D100*$T$7,0)</f>
        <v>118.15</v>
      </c>
      <c r="S100" s="324" t="n"/>
      <c r="T100" s="324" t="n"/>
      <c r="U100" s="428" t="n">
        <v>0</v>
      </c>
      <c r="V100" s="428" t="n">
        <v>0</v>
      </c>
      <c r="W100" s="324" t="n"/>
      <c r="X100" s="324" t="n"/>
      <c r="Y100" s="428" t="n">
        <v>0</v>
      </c>
      <c r="Z100" s="428" t="n">
        <v>0</v>
      </c>
      <c r="AA100" s="324" t="n"/>
      <c r="AB100" s="324" t="n"/>
    </row>
    <row r="101" ht="16.5" customHeight="1" s="331">
      <c r="B101" s="427" t="n">
        <v>46261</v>
      </c>
      <c r="C101" s="255" t="inlineStr">
        <is>
          <t>Thu</t>
        </is>
      </c>
      <c r="D101" s="256" t="n">
        <v>835</v>
      </c>
      <c r="E101" s="49" t="n">
        <v>2815</v>
      </c>
      <c r="F101" s="50">
        <f>IFERROR(D101+E101+G101+U101+Y101,0)</f>
        <v>3910.0</v>
      </c>
      <c r="G101" s="257" t="n">
        <v>260</v>
      </c>
      <c r="H101" s="258">
        <f>SUMIFS('💸 Expenses'!$F$8:$F$5000,'💸 Expenses'!$B$8:$B$5000,"&gt;="&amp;B101,'💸 Expenses'!$B$8:$B$5000,"&lt;"&amp;(B101+1))</f>
        <v>565.0</v>
      </c>
      <c r="I101" s="259">
        <f>IFERROR(F101-H101,0)</f>
        <v>3345.0</v>
      </c>
      <c r="J101" s="260">
        <f>IFERROR(I101/F101,0)</f>
        <v>0.855499</v>
      </c>
      <c r="K101" s="254" t="n"/>
      <c r="L101" s="261" t="inlineStr">
        <is>
          <t>Cierre via loka.py</t>
        </is>
      </c>
      <c r="M101" s="291" t="n"/>
      <c r="N101" s="292" t="n"/>
      <c r="O101" s="293" t="n"/>
      <c r="P101" s="294" t="n"/>
      <c r="Q101" s="292" t="n"/>
      <c r="R101" s="443">
        <f>IFERROR(D101*$T$7,0)</f>
        <v>33.9</v>
      </c>
      <c r="S101" s="292" t="n"/>
      <c r="T101" s="292" t="n"/>
      <c r="U101" s="443" t="n">
        <v>0</v>
      </c>
      <c r="V101" s="443" t="n">
        <v>0</v>
      </c>
      <c r="W101" s="292" t="n"/>
      <c r="X101" s="292" t="n"/>
      <c r="Y101" s="443" t="n">
        <v>0</v>
      </c>
      <c r="Z101" s="443" t="n">
        <v>0</v>
      </c>
      <c r="AA101" s="292" t="n"/>
      <c r="AB101" s="292" t="n"/>
    </row>
    <row r="102" ht="16.5" customHeight="1" s="331">
      <c r="B102" s="427" t="n">
        <v>46262</v>
      </c>
      <c r="C102" s="270" t="inlineStr">
        <is>
          <t>Fri</t>
        </is>
      </c>
      <c r="D102" s="271" t="n">
        <v>1110</v>
      </c>
      <c r="E102" s="37" t="n">
        <v>590</v>
      </c>
      <c r="F102" s="38">
        <f>IFERROR(D102+E102+G102+U102+Y102,0)</f>
        <v>1935.0</v>
      </c>
      <c r="G102" s="272" t="n">
        <v>235</v>
      </c>
      <c r="H102" s="273">
        <f>SUMIFS('💸 Expenses'!$F$8:$F$5000,'💸 Expenses'!$B$8:$B$5000,"&gt;="&amp;B102,'💸 Expenses'!$B$8:$B$5000,"&lt;"&amp;(B102+1))</f>
        <v>2071.0</v>
      </c>
      <c r="I102" s="274">
        <f>IFERROR(F102-H102,0)</f>
        <v>-136.0</v>
      </c>
      <c r="J102" s="275">
        <f>IFERROR(I102/F102,0)</f>
        <v>-0.070284</v>
      </c>
      <c r="K102" s="250" t="n"/>
      <c r="L102" s="276" t="inlineStr">
        <is>
          <t>Cierre via loka.py</t>
        </is>
      </c>
      <c r="M102" s="323" t="n"/>
      <c r="N102" s="324" t="n"/>
      <c r="O102" s="325" t="n"/>
      <c r="P102" s="326" t="n"/>
      <c r="Q102" s="324" t="n"/>
      <c r="R102" s="428">
        <f>IFERROR(D102*$T$7,0)</f>
        <v>45.07</v>
      </c>
      <c r="S102" s="324" t="n"/>
      <c r="T102" s="324" t="n"/>
      <c r="U102" s="428" t="n">
        <v>0</v>
      </c>
      <c r="V102" s="428" t="n">
        <v>0</v>
      </c>
      <c r="W102" s="324" t="n"/>
      <c r="X102" s="324" t="n"/>
      <c r="Y102" s="428" t="n">
        <v>0</v>
      </c>
      <c r="Z102" s="428" t="n">
        <v>0</v>
      </c>
      <c r="AA102" s="324" t="n"/>
      <c r="AB102" s="324" t="n"/>
    </row>
    <row r="103" ht="16.5" customHeight="1" s="331">
      <c r="B103" s="427" t="n">
        <v>46263</v>
      </c>
      <c r="C103" s="255" t="inlineStr">
        <is>
          <t>Sat</t>
        </is>
      </c>
      <c r="D103" s="256" t="n">
        <v>110</v>
      </c>
      <c r="E103" s="49" t="n">
        <v>980</v>
      </c>
      <c r="F103" s="50">
        <f>IFERROR(D103+E103+G103+U103+Y103,0)</f>
        <v>2160.0</v>
      </c>
      <c r="G103" s="257" t="n">
        <v>0</v>
      </c>
      <c r="H103" s="258">
        <f>SUMIFS('💸 Expenses'!$F$8:$F$5000,'💸 Expenses'!$B$8:$B$5000,"&gt;="&amp;B103,'💸 Expenses'!$B$8:$B$5000,"&lt;"&amp;(B103+1))</f>
        <v>6970.0</v>
      </c>
      <c r="I103" s="259">
        <f>IFERROR(F103-H103,0)</f>
        <v>-4810.0</v>
      </c>
      <c r="J103" s="260">
        <f>IFERROR(I103/F103,0)</f>
        <v>-2.226852</v>
      </c>
      <c r="K103" s="254" t="n"/>
      <c r="L103" s="261" t="inlineStr">
        <is>
          <t>Cierre via loka.py</t>
        </is>
      </c>
      <c r="M103" s="291" t="n"/>
      <c r="N103" s="292" t="n"/>
      <c r="O103" s="293" t="n"/>
      <c r="P103" s="294" t="n"/>
      <c r="Q103" s="292" t="n"/>
      <c r="R103" s="443">
        <f>IFERROR(D103*$T$7,0)</f>
        <v>4.47</v>
      </c>
      <c r="S103" s="292" t="n"/>
      <c r="T103" s="292" t="n"/>
      <c r="U103" s="443" t="n">
        <v>0</v>
      </c>
      <c r="V103" s="443" t="n">
        <v>0</v>
      </c>
      <c r="W103" s="292" t="n"/>
      <c r="X103" s="292" t="n"/>
      <c r="Y103" s="443" t="n">
        <v>1070</v>
      </c>
      <c r="Z103" s="443" t="n">
        <v>20.33</v>
      </c>
      <c r="AA103" s="292" t="n"/>
      <c r="AB103" s="292" t="n"/>
    </row>
    <row r="104" ht="16.5" customHeight="1" s="331">
      <c r="B104" s="427" t="n">
        <v>46265</v>
      </c>
      <c r="C104" s="270" t="inlineStr">
        <is>
          <t>Mon</t>
        </is>
      </c>
      <c r="D104" s="271" t="n">
        <v>875</v>
      </c>
      <c r="E104" s="37" t="n">
        <v>1260</v>
      </c>
      <c r="F104" s="38">
        <f>IFERROR(D104+E104+G104+U104+Y104,0)</f>
        <v>3755.0</v>
      </c>
      <c r="G104" s="272" t="n">
        <v>130</v>
      </c>
      <c r="H104" s="273">
        <f>SUMIFS('💸 Expenses'!$F$8:$F$5000,'💸 Expenses'!$B$8:$B$5000,"&gt;="&amp;B104,'💸 Expenses'!$B$8:$B$5000,"&lt;"&amp;(B104+1))</f>
        <v>1438.0</v>
      </c>
      <c r="I104" s="274">
        <f>IFERROR(F104-H104,0)</f>
        <v>2317.0</v>
      </c>
      <c r="J104" s="275">
        <f>IFERROR(I104/F104,0)</f>
        <v>0.617044</v>
      </c>
      <c r="K104" s="250" t="n"/>
      <c r="L104" s="276" t="inlineStr">
        <is>
          <t>Cierre via loka.py</t>
        </is>
      </c>
      <c r="M104" s="323" t="n"/>
      <c r="N104" s="324" t="n"/>
      <c r="O104" s="325" t="n"/>
      <c r="P104" s="326" t="n"/>
      <c r="Q104" s="324" t="n"/>
      <c r="R104" s="428">
        <f>IFERROR(D104*$T$7,0)</f>
        <v>35.52</v>
      </c>
      <c r="S104" s="324" t="n"/>
      <c r="T104" s="324" t="n"/>
      <c r="U104" s="428" t="n">
        <v>0</v>
      </c>
      <c r="V104" s="428" t="n">
        <v>0</v>
      </c>
      <c r="W104" s="324" t="n"/>
      <c r="X104" s="324" t="n"/>
      <c r="Y104" s="428" t="n">
        <v>1490</v>
      </c>
      <c r="Z104" s="428" t="n">
        <v>28.31</v>
      </c>
      <c r="AA104" s="324" t="n"/>
      <c r="AB104" s="324" t="n"/>
    </row>
    <row r="105" ht="16.5" customHeight="1" s="331">
      <c r="B105" s="427" t="n">
        <v>46266</v>
      </c>
      <c r="C105" s="255" t="inlineStr">
        <is>
          <t>Tue</t>
        </is>
      </c>
      <c r="D105" s="256" t="n">
        <v>120</v>
      </c>
      <c r="E105" s="49" t="n">
        <v>1480</v>
      </c>
      <c r="F105" s="50">
        <f>IFERROR(D105+E105+G105+U105+Y105,0)</f>
        <v>3240.0</v>
      </c>
      <c r="G105" s="257" t="n">
        <v>0</v>
      </c>
      <c r="H105" s="258">
        <f>SUMIFS('💸 Expenses'!$F$8:$F$5000,'💸 Expenses'!$B$8:$B$5000,"&gt;="&amp;B105,'💸 Expenses'!$B$8:$B$5000,"&lt;"&amp;(B105+1))</f>
        <v>7777.0</v>
      </c>
      <c r="I105" s="259">
        <f>IFERROR(F105-H105,0)</f>
        <v>-4537.0</v>
      </c>
      <c r="J105" s="260">
        <f>IFERROR(I105/F105,0)</f>
        <v>-1.400309</v>
      </c>
      <c r="K105" s="254" t="n"/>
      <c r="L105" s="261" t="inlineStr">
        <is>
          <t>Cierre via loka.py | updated 23:07</t>
        </is>
      </c>
      <c r="M105" s="291" t="n"/>
      <c r="N105" s="292" t="n"/>
      <c r="O105" s="293" t="n"/>
      <c r="P105" s="294" t="n"/>
      <c r="Q105" s="292" t="n"/>
      <c r="R105" s="443">
        <f>IFERROR(D105*$T$7,0)</f>
        <v>4.87</v>
      </c>
      <c r="S105" s="292" t="n"/>
      <c r="T105" s="292" t="n"/>
      <c r="U105" s="443" t="n">
        <v>0</v>
      </c>
      <c r="V105" s="443" t="n">
        <v>0</v>
      </c>
      <c r="W105" s="292" t="n"/>
      <c r="X105" s="292" t="n"/>
      <c r="Y105" s="443" t="n">
        <v>1640</v>
      </c>
      <c r="Z105" s="443" t="n">
        <v>31.15</v>
      </c>
      <c r="AA105" s="292" t="n"/>
      <c r="AB105" s="292" t="n"/>
    </row>
    <row r="106" ht="16.5" customHeight="1" s="331">
      <c r="B106" s="427" t="n">
        <v>46267</v>
      </c>
      <c r="C106" s="270" t="inlineStr">
        <is>
          <t>Wed</t>
        </is>
      </c>
      <c r="D106" s="271" t="n">
        <v>1300</v>
      </c>
      <c r="E106" s="37" t="n">
        <v>1765</v>
      </c>
      <c r="F106" s="38">
        <f>IFERROR(D106+E106+G106+U106+Y106,0)</f>
        <v>4030.0</v>
      </c>
      <c r="G106" s="272" t="n">
        <v>0</v>
      </c>
      <c r="H106" s="273">
        <f>SUMIFS('💸 Expenses'!$F$8:$F$5000,'💸 Expenses'!$B$8:$B$5000,"&gt;="&amp;B106,'💸 Expenses'!$B$8:$B$5000,"&lt;"&amp;(B106+1))</f>
        <v>688.0</v>
      </c>
      <c r="I106" s="274">
        <f>IFERROR(F106-H106,0)</f>
        <v>3342.0</v>
      </c>
      <c r="J106" s="275">
        <f>IFERROR(I106/F106,0)</f>
        <v>0.82928</v>
      </c>
      <c r="K106" s="250" t="n"/>
      <c r="L106" s="276" t="inlineStr">
        <is>
          <t>Cierre via loka.py</t>
        </is>
      </c>
      <c r="M106" s="323" t="n"/>
      <c r="N106" s="324" t="n"/>
      <c r="O106" s="325" t="n"/>
      <c r="P106" s="326" t="n"/>
      <c r="Q106" s="324" t="n"/>
      <c r="R106" s="428">
        <f>IFERROR(D106*$T$7,0)</f>
        <v>52.78</v>
      </c>
      <c r="S106" s="324" t="n"/>
      <c r="T106" s="324" t="n"/>
      <c r="U106" s="428" t="n">
        <v>0</v>
      </c>
      <c r="V106" s="428" t="n">
        <v>0</v>
      </c>
      <c r="W106" s="324" t="n"/>
      <c r="X106" s="324" t="n"/>
      <c r="Y106" s="428" t="n">
        <v>965</v>
      </c>
      <c r="Z106" s="428" t="n">
        <v>18.34</v>
      </c>
      <c r="AA106" s="324" t="n"/>
      <c r="AB106" s="324" t="n"/>
    </row>
    <row r="107" ht="16.5" customHeight="1" s="331">
      <c r="B107" s="427" t="n">
        <v>46268</v>
      </c>
      <c r="C107" s="255" t="inlineStr">
        <is>
          <t>Thu</t>
        </is>
      </c>
      <c r="D107" s="256" t="n">
        <v>6620</v>
      </c>
      <c r="E107" s="49" t="n">
        <v>3030</v>
      </c>
      <c r="F107" s="50">
        <f>IFERROR(D107+E107+G107+U107+Y107,0)</f>
        <v>10740.0</v>
      </c>
      <c r="G107" s="257" t="n">
        <v>0</v>
      </c>
      <c r="H107" s="258">
        <f>SUMIFS('💸 Expenses'!$F$8:$F$5000,'💸 Expenses'!$B$8:$B$5000,"&gt;="&amp;B107,'💸 Expenses'!$B$8:$B$5000,"&lt;"&amp;(B107+1))</f>
        <v>5505.0</v>
      </c>
      <c r="I107" s="259">
        <f>IFERROR(F107-H107,0)</f>
        <v>5235.0</v>
      </c>
      <c r="J107" s="260">
        <f>IFERROR(I107/F107,0)</f>
        <v>0.48743</v>
      </c>
      <c r="K107" s="254" t="n"/>
      <c r="L107" s="261" t="inlineStr">
        <is>
          <t>Cierre via loka.py</t>
        </is>
      </c>
      <c r="M107" s="291" t="n"/>
      <c r="N107" s="292" t="n"/>
      <c r="O107" s="293" t="n"/>
      <c r="P107" s="294" t="n"/>
      <c r="Q107" s="292" t="n"/>
      <c r="R107" s="443">
        <f>IFERROR(D107*$T$7,0)</f>
        <v>268.77</v>
      </c>
      <c r="S107" s="292" t="n"/>
      <c r="T107" s="292" t="n"/>
      <c r="U107" s="443" t="n">
        <v>0</v>
      </c>
      <c r="V107" s="443" t="n">
        <v>0</v>
      </c>
      <c r="W107" s="292" t="n"/>
      <c r="X107" s="292" t="n"/>
      <c r="Y107" s="443" t="n">
        <v>1090</v>
      </c>
      <c r="Z107" s="443" t="n">
        <v>20.71</v>
      </c>
      <c r="AA107" s="292" t="n"/>
      <c r="AB107" s="292" t="n"/>
    </row>
    <row r="108" ht="16.5" customHeight="1" s="331">
      <c r="B108" s="427" t="n">
        <v>46269</v>
      </c>
      <c r="C108" s="270" t="inlineStr">
        <is>
          <t>Fri</t>
        </is>
      </c>
      <c r="D108" s="271" t="n">
        <v>825</v>
      </c>
      <c r="E108" s="37" t="n">
        <v>1974</v>
      </c>
      <c r="F108" s="38">
        <f>IFERROR(D108+E108+G108+U108+Y108,0)</f>
        <v>4839.0</v>
      </c>
      <c r="G108" s="272" t="n">
        <v>0</v>
      </c>
      <c r="H108" s="273">
        <f>SUMIFS('💸 Expenses'!$F$8:$F$5000,'💸 Expenses'!$B$8:$B$5000,"&gt;="&amp;B108,'💸 Expenses'!$B$8:$B$5000,"&lt;"&amp;(B108+1))</f>
        <v>20107.68</v>
      </c>
      <c r="I108" s="274">
        <f>IFERROR(F108-H108,0)</f>
        <v>-15268.68</v>
      </c>
      <c r="J108" s="275">
        <f>IFERROR(I108/F108,0)</f>
        <v>-3.155338</v>
      </c>
      <c r="K108" s="250" t="n"/>
      <c r="L108" s="276" t="inlineStr">
        <is>
          <t>Cierre via loka.py</t>
        </is>
      </c>
      <c r="M108" s="323" t="n"/>
      <c r="N108" s="324" t="n"/>
      <c r="O108" s="325" t="n"/>
      <c r="P108" s="326" t="n"/>
      <c r="Q108" s="324" t="n"/>
      <c r="R108" s="428">
        <f>IFERROR(D108*$T$7,0)</f>
        <v>33.49</v>
      </c>
      <c r="S108" s="324" t="n"/>
      <c r="T108" s="324" t="n"/>
      <c r="U108" s="428" t="n">
        <v>0</v>
      </c>
      <c r="V108" s="428" t="n">
        <v>0</v>
      </c>
      <c r="W108" s="324" t="n"/>
      <c r="X108" s="324" t="n"/>
      <c r="Y108" s="428" t="n">
        <v>2040</v>
      </c>
      <c r="Z108" s="428" t="n">
        <v>38.76</v>
      </c>
      <c r="AA108" s="324" t="n"/>
      <c r="AB108" s="324" t="n"/>
    </row>
    <row r="109" ht="16.5" customHeight="1" s="331">
      <c r="B109" s="427" t="n">
        <v>46270</v>
      </c>
      <c r="C109" s="255" t="inlineStr">
        <is>
          <t>Sat</t>
        </is>
      </c>
      <c r="D109" s="256" t="n">
        <v>0</v>
      </c>
      <c r="E109" s="49" t="n">
        <v>1590</v>
      </c>
      <c r="F109" s="50">
        <f>IFERROR(D109+E109+G109+U109+Y109,0)</f>
        <v>2695.0</v>
      </c>
      <c r="G109" s="257" t="n">
        <v>0</v>
      </c>
      <c r="H109" s="258">
        <f>SUMIFS('💸 Expenses'!$F$8:$F$5000,'💸 Expenses'!$B$8:$B$5000,"&gt;="&amp;B109,'💸 Expenses'!$B$8:$B$5000,"&lt;"&amp;(B109+1))</f>
        <v>9182.0</v>
      </c>
      <c r="I109" s="259">
        <f>IFERROR(F109-H109,0)</f>
        <v>-6487.0</v>
      </c>
      <c r="J109" s="260">
        <f>IFERROR(I109/F109,0)</f>
        <v>-2.40705</v>
      </c>
      <c r="K109" s="254" t="n"/>
      <c r="L109" s="261" t="inlineStr">
        <is>
          <t>Cierre via loka.py</t>
        </is>
      </c>
      <c r="M109" s="291" t="n"/>
      <c r="N109" s="292" t="n"/>
      <c r="O109" s="293" t="n"/>
      <c r="P109" s="294" t="n"/>
      <c r="Q109" s="292" t="n"/>
      <c r="R109" s="443">
        <f>IFERROR(D109*$T$7,0)</f>
        <v>0.0</v>
      </c>
      <c r="S109" s="292" t="n"/>
      <c r="T109" s="292" t="n"/>
      <c r="U109" s="443" t="n">
        <v>0</v>
      </c>
      <c r="V109" s="443" t="n">
        <v>0</v>
      </c>
      <c r="W109" s="292" t="n"/>
      <c r="X109" s="292" t="n"/>
      <c r="Y109" s="443" t="n">
        <v>1105</v>
      </c>
      <c r="Z109" s="443" t="n">
        <v>21</v>
      </c>
      <c r="AA109" s="292" t="n"/>
      <c r="AB109" s="292" t="n"/>
    </row>
    <row r="110" ht="16.5" customHeight="1" s="331">
      <c r="B110" s="427" t="n">
        <v>46272</v>
      </c>
      <c r="C110" s="270" t="inlineStr">
        <is>
          <t>Mon</t>
        </is>
      </c>
      <c r="D110" s="271" t="n">
        <v>1740</v>
      </c>
      <c r="E110" s="37" t="n">
        <v>1070</v>
      </c>
      <c r="F110" s="38">
        <f>IFERROR(D110+E110+G110+U110+Y110,0)</f>
        <v>3885.0</v>
      </c>
      <c r="G110" s="272" t="n">
        <v>0</v>
      </c>
      <c r="H110" s="273">
        <f>SUMIFS('💸 Expenses'!$F$8:$F$5000,'💸 Expenses'!$B$8:$B$5000,"&gt;="&amp;B110,'💸 Expenses'!$B$8:$B$5000,"&lt;"&amp;(B110+1))</f>
        <v>6288.0</v>
      </c>
      <c r="I110" s="274">
        <f>IFERROR(F110-H110,0)</f>
        <v>-2403.0</v>
      </c>
      <c r="J110" s="275">
        <f>IFERROR(I110/F110,0)</f>
        <v>-0.618533</v>
      </c>
      <c r="K110" s="250" t="n"/>
      <c r="L110" s="276" t="inlineStr">
        <is>
          <t>Cierre via loka.py</t>
        </is>
      </c>
      <c r="M110" s="323" t="n"/>
      <c r="N110" s="324" t="n"/>
      <c r="O110" s="325" t="n"/>
      <c r="P110" s="326" t="n"/>
      <c r="Q110" s="324" t="n"/>
      <c r="R110" s="428">
        <f>IFERROR(D110*$T$7,0)</f>
        <v>70.64</v>
      </c>
      <c r="S110" s="324" t="n"/>
      <c r="T110" s="324" t="n"/>
      <c r="U110" s="428" t="n">
        <v>0</v>
      </c>
      <c r="V110" s="428" t="n">
        <v>0</v>
      </c>
      <c r="W110" s="324" t="n"/>
      <c r="X110" s="324" t="n"/>
      <c r="Y110" s="428" t="n">
        <v>1075</v>
      </c>
      <c r="Z110" s="428" t="n">
        <v>20.43</v>
      </c>
      <c r="AA110" s="324" t="n"/>
      <c r="AB110" s="324" t="n"/>
    </row>
    <row r="111" ht="16.5" customHeight="1" s="331">
      <c r="B111" s="427" t="n">
        <v>46273</v>
      </c>
      <c r="C111" s="255" t="inlineStr">
        <is>
          <t>Tue</t>
        </is>
      </c>
      <c r="D111" s="256" t="n">
        <v>0</v>
      </c>
      <c r="E111" s="49" t="n">
        <v>1745</v>
      </c>
      <c r="F111" s="50">
        <f>IFERROR(D111+E111+G111+U111+Y111,0)</f>
        <v>2935.0</v>
      </c>
      <c r="G111" s="257" t="n">
        <v>275</v>
      </c>
      <c r="H111" s="258">
        <f>SUMIFS('💸 Expenses'!$F$8:$F$5000,'💸 Expenses'!$B$8:$B$5000,"&gt;="&amp;B111,'💸 Expenses'!$B$8:$B$5000,"&lt;"&amp;(B111+1))</f>
        <v>1980.0</v>
      </c>
      <c r="I111" s="259">
        <f>IFERROR(F111-H111,0)</f>
        <v>955.0</v>
      </c>
      <c r="J111" s="260">
        <f>IFERROR(I111/F111,0)</f>
        <v>0.325383</v>
      </c>
      <c r="K111" s="254" t="n"/>
      <c r="L111" s="261" t="inlineStr">
        <is>
          <t>Cierre via loka.py | updated 18:49</t>
        </is>
      </c>
      <c r="M111" s="291" t="n"/>
      <c r="N111" s="292" t="n"/>
      <c r="O111" s="293" t="n"/>
      <c r="P111" s="294" t="n"/>
      <c r="Q111" s="292" t="n"/>
      <c r="R111" s="443">
        <f>IFERROR(D111*$T$7,0)</f>
        <v>0.0</v>
      </c>
      <c r="S111" s="292" t="n"/>
      <c r="T111" s="292" t="n"/>
      <c r="U111" s="443" t="n">
        <v>0</v>
      </c>
      <c r="V111" s="443" t="n">
        <v>0</v>
      </c>
      <c r="W111" s="292" t="n"/>
      <c r="X111" s="292" t="n"/>
      <c r="Y111" s="443" t="n">
        <v>915</v>
      </c>
      <c r="Z111" s="443" t="n">
        <v>17.39</v>
      </c>
      <c r="AA111" s="292" t="n"/>
      <c r="AB111" s="292" t="n"/>
    </row>
    <row r="112" ht="16.5" customHeight="1" s="331">
      <c r="B112" s="427" t="n">
        <v>46274</v>
      </c>
      <c r="C112" s="270" t="inlineStr">
        <is>
          <t>Wed</t>
        </is>
      </c>
      <c r="D112" s="271" t="n">
        <v>0</v>
      </c>
      <c r="E112" s="37" t="n">
        <v>1040</v>
      </c>
      <c r="F112" s="38">
        <f>IFERROR(D112+E112+G112+U112+Y112,0)</f>
        <v>3160.0</v>
      </c>
      <c r="G112" s="272" t="n">
        <v>250</v>
      </c>
      <c r="H112" s="273">
        <f>SUMIFS('💸 Expenses'!$F$8:$F$5000,'💸 Expenses'!$B$8:$B$5000,"&gt;="&amp;B112,'💸 Expenses'!$B$8:$B$5000,"&lt;"&amp;(B112+1))</f>
        <v>1106.0</v>
      </c>
      <c r="I112" s="274">
        <f>IFERROR(F112-H112,0)</f>
        <v>2054.0</v>
      </c>
      <c r="J112" s="275">
        <f>IFERROR(I112/F112,0)</f>
        <v>0.65</v>
      </c>
      <c r="K112" s="250" t="n"/>
      <c r="L112" s="276" t="inlineStr">
        <is>
          <t>Cierre via loka.py | updated 17:50 | updated 21:09</t>
        </is>
      </c>
      <c r="M112" s="323" t="n"/>
      <c r="N112" s="324" t="n"/>
      <c r="O112" s="325" t="n"/>
      <c r="P112" s="326" t="n"/>
      <c r="Q112" s="324" t="n"/>
      <c r="R112" s="428">
        <f>IFERROR(D112*$T$7,0)</f>
        <v>0.0</v>
      </c>
      <c r="S112" s="324" t="n"/>
      <c r="T112" s="324" t="n"/>
      <c r="U112" s="428" t="n">
        <v>0</v>
      </c>
      <c r="V112" s="428" t="n">
        <v>0</v>
      </c>
      <c r="W112" s="324" t="n"/>
      <c r="X112" s="324" t="n"/>
      <c r="Y112" s="428" t="n">
        <v>1870</v>
      </c>
      <c r="Z112" s="428" t="n">
        <v>35.53</v>
      </c>
      <c r="AA112" s="324" t="n"/>
      <c r="AB112" s="324" t="n"/>
    </row>
    <row r="113" ht="16.5" customHeight="1" s="331">
      <c r="B113" s="427" t="n">
        <v>46275</v>
      </c>
      <c r="C113" s="255" t="inlineStr">
        <is>
          <t>Thu</t>
        </is>
      </c>
      <c r="D113" s="256" t="n">
        <v>0</v>
      </c>
      <c r="E113" s="49" t="n">
        <v>1685</v>
      </c>
      <c r="F113" s="50">
        <f>IFERROR(D113+E113+G113+U113+Y113,0)</f>
        <v>3805.0</v>
      </c>
      <c r="G113" s="257" t="n">
        <v>120</v>
      </c>
      <c r="H113" s="258">
        <f>SUMIFS('💸 Expenses'!$F$8:$F$5000,'💸 Expenses'!$B$8:$B$5000,"&gt;="&amp;B113,'💸 Expenses'!$B$8:$B$5000,"&lt;"&amp;(B113+1))</f>
        <v>1659.0</v>
      </c>
      <c r="I113" s="259">
        <f>IFERROR(F113-H113,0)</f>
        <v>2146.0</v>
      </c>
      <c r="J113" s="260">
        <f>IFERROR(I113/F113,0)</f>
        <v>0.563995</v>
      </c>
      <c r="K113" s="254" t="n"/>
      <c r="L113" s="261" t="inlineStr">
        <is>
          <t>Cierre via loka.py | updated 17:29</t>
        </is>
      </c>
      <c r="M113" s="291" t="n"/>
      <c r="N113" s="292" t="n"/>
      <c r="O113" s="293" t="n"/>
      <c r="P113" s="294" t="n"/>
      <c r="Q113" s="292" t="n"/>
      <c r="R113" s="443">
        <f>IFERROR(D113*$T$7,0)</f>
        <v>0.0</v>
      </c>
      <c r="S113" s="292" t="n"/>
      <c r="T113" s="292" t="n"/>
      <c r="U113" s="443" t="n">
        <v>0</v>
      </c>
      <c r="V113" s="443" t="n">
        <v>0</v>
      </c>
      <c r="W113" s="292" t="n"/>
      <c r="X113" s="292" t="n"/>
      <c r="Y113" s="443" t="n">
        <v>2000</v>
      </c>
      <c r="Z113" s="443" t="n">
        <v>38</v>
      </c>
      <c r="AA113" s="292" t="n"/>
      <c r="AB113" s="292" t="n"/>
    </row>
    <row r="114" ht="16.5" customHeight="1" s="331">
      <c r="B114" s="427" t="n">
        <v>46276</v>
      </c>
      <c r="C114" s="270" t="inlineStr">
        <is>
          <t>Fri</t>
        </is>
      </c>
      <c r="D114" s="271" t="n">
        <v>0</v>
      </c>
      <c r="E114" s="37" t="n">
        <v>820</v>
      </c>
      <c r="F114" s="38">
        <f>IFERROR(D114+E114+G114+U114+Y114,0)</f>
        <v>3345.0</v>
      </c>
      <c r="G114" s="272" t="n">
        <v>1010</v>
      </c>
      <c r="H114" s="273">
        <f>SUMIFS('💸 Expenses'!$F$8:$F$5000,'💸 Expenses'!$B$8:$B$5000,"&gt;="&amp;B114,'💸 Expenses'!$B$8:$B$5000,"&lt;"&amp;(B114+1))</f>
        <v>45.0</v>
      </c>
      <c r="I114" s="274">
        <f>IFERROR(F114-H114,0)</f>
        <v>3300.0</v>
      </c>
      <c r="J114" s="275">
        <f>IFERROR(I114/F114,0)</f>
        <v>0.986547</v>
      </c>
      <c r="K114" s="250" t="n"/>
      <c r="L114" s="276" t="inlineStr">
        <is>
          <t>Cierre via loka.py</t>
        </is>
      </c>
      <c r="M114" s="323" t="n"/>
      <c r="N114" s="324" t="n"/>
      <c r="O114" s="325" t="n"/>
      <c r="P114" s="326" t="n"/>
      <c r="Q114" s="324" t="n"/>
      <c r="R114" s="428">
        <f>IFERROR(D114*$T$7,0)</f>
        <v>0.0</v>
      </c>
      <c r="S114" s="324" t="n"/>
      <c r="T114" s="324" t="n"/>
      <c r="U114" s="428" t="n">
        <v>0</v>
      </c>
      <c r="V114" s="428" t="n">
        <v>0</v>
      </c>
      <c r="W114" s="324" t="n"/>
      <c r="X114" s="324" t="n"/>
      <c r="Y114" s="428" t="n">
        <v>1515</v>
      </c>
      <c r="Z114" s="428" t="n">
        <v>28.79</v>
      </c>
      <c r="AA114" s="324" t="n"/>
      <c r="AB114" s="324" t="n"/>
    </row>
    <row r="115" ht="16.5" customHeight="1" s="331">
      <c r="B115" s="427" t="n">
        <v>46277</v>
      </c>
      <c r="C115" s="255" t="inlineStr">
        <is>
          <t>Sat</t>
        </is>
      </c>
      <c r="D115" s="256" t="n">
        <v>585</v>
      </c>
      <c r="E115" s="49" t="n">
        <v>1835</v>
      </c>
      <c r="F115" s="50">
        <f>IFERROR(D115+E115+G115+U115+Y115,0)</f>
        <v>2420.0</v>
      </c>
      <c r="G115" s="257" t="n">
        <v>0</v>
      </c>
      <c r="H115" s="258">
        <f>SUMIFS('💸 Expenses'!$F$8:$F$5000,'💸 Expenses'!$B$8:$B$5000,"&gt;="&amp;B115,'💸 Expenses'!$B$8:$B$5000,"&lt;"&amp;(B115+1))</f>
        <v>8813.0</v>
      </c>
      <c r="I115" s="259">
        <f>IFERROR(F115-H115,0)</f>
        <v>-6393.0</v>
      </c>
      <c r="J115" s="260">
        <f>IFERROR(I115/F115,0)</f>
        <v>-2.641736</v>
      </c>
      <c r="K115" s="254" t="n"/>
      <c r="L115" s="261" t="inlineStr">
        <is>
          <t>Cierre via loka.py</t>
        </is>
      </c>
      <c r="M115" s="291" t="n"/>
      <c r="N115" s="292" t="n"/>
      <c r="O115" s="293" t="n"/>
      <c r="P115" s="294" t="n"/>
      <c r="Q115" s="292" t="n"/>
      <c r="R115" s="443">
        <f>IFERROR(D115*$T$7,0)</f>
        <v>23.75</v>
      </c>
      <c r="S115" s="292" t="n"/>
      <c r="T115" s="292" t="n"/>
      <c r="U115" s="443" t="n">
        <v>0</v>
      </c>
      <c r="V115" s="443" t="n">
        <v>0</v>
      </c>
      <c r="W115" s="292" t="n"/>
      <c r="X115" s="292" t="n"/>
      <c r="Y115" s="443" t="n">
        <v>0</v>
      </c>
      <c r="Z115" s="443" t="n">
        <v>0</v>
      </c>
      <c r="AA115" s="292" t="n"/>
      <c r="AB115" s="292" t="n"/>
    </row>
    <row r="116" ht="16.5" customHeight="1" s="331">
      <c r="B116" s="427" t="n">
        <v>46279</v>
      </c>
      <c r="C116" s="270" t="inlineStr">
        <is>
          <t>Mon</t>
        </is>
      </c>
      <c r="D116" s="271" t="n">
        <v>1950</v>
      </c>
      <c r="E116" s="37" t="n">
        <v>2090</v>
      </c>
      <c r="F116" s="38">
        <f>IFERROR(D116+E116+G116+U116+Y116,0)</f>
        <v>4170.0</v>
      </c>
      <c r="G116" s="272" t="n">
        <v>130</v>
      </c>
      <c r="H116" s="273">
        <f>SUMIFS('💸 Expenses'!$F$8:$F$5000,'💸 Expenses'!$B$8:$B$5000,"&gt;="&amp;B116,'💸 Expenses'!$B$8:$B$5000,"&lt;"&amp;(B116+1))</f>
        <v>660.0</v>
      </c>
      <c r="I116" s="274">
        <f>IFERROR(F116-H116,0)</f>
        <v>3510.0</v>
      </c>
      <c r="J116" s="275">
        <f>IFERROR(I116/F116,0)</f>
        <v>0.841727</v>
      </c>
      <c r="K116" s="250" t="n"/>
      <c r="L116" s="276" t="inlineStr">
        <is>
          <t>Cierre via loka.py</t>
        </is>
      </c>
      <c r="M116" s="323" t="n"/>
      <c r="N116" s="324" t="n"/>
      <c r="O116" s="325" t="n"/>
      <c r="P116" s="326" t="n"/>
      <c r="Q116" s="324" t="n"/>
      <c r="R116" s="428">
        <f>IFERROR(D116*$T$7,0)</f>
        <v>79.17</v>
      </c>
      <c r="S116" s="324" t="n"/>
      <c r="T116" s="324" t="n"/>
      <c r="U116" s="428" t="n">
        <v>0</v>
      </c>
      <c r="V116" s="428" t="n">
        <v>0</v>
      </c>
      <c r="W116" s="324" t="n"/>
      <c r="X116" s="324" t="n"/>
      <c r="Y116" s="428" t="n">
        <v>0</v>
      </c>
      <c r="Z116" s="428" t="n">
        <v>0</v>
      </c>
      <c r="AA116" s="324" t="n"/>
      <c r="AB116" s="324" t="n"/>
    </row>
    <row r="117" ht="16.5" customHeight="1" s="331">
      <c r="B117" s="427" t="n">
        <v>46282</v>
      </c>
      <c r="C117" s="255" t="inlineStr">
        <is>
          <t>Thu</t>
        </is>
      </c>
      <c r="D117" s="256" t="n">
        <v>2875</v>
      </c>
      <c r="E117" s="49" t="n">
        <v>1000</v>
      </c>
      <c r="F117" s="50">
        <f>IFERROR(D117+E117+G117+U117+Y117,0)</f>
        <v>20031.0</v>
      </c>
      <c r="G117" s="257" t="n">
        <v>16156</v>
      </c>
      <c r="H117" s="258">
        <f>SUMIFS('💸 Expenses'!$F$8:$F$5000,'💸 Expenses'!$B$8:$B$5000,"&gt;="&amp;B117,'💸 Expenses'!$B$8:$B$5000,"&lt;"&amp;(B117+1))</f>
        <v>2794.0</v>
      </c>
      <c r="I117" s="259">
        <f>IFERROR(F117-H117,0)</f>
        <v>17237.0</v>
      </c>
      <c r="J117" s="260">
        <f>IFERROR(I117/F117,0)</f>
        <v>0.860516</v>
      </c>
      <c r="K117" s="254" t="n"/>
      <c r="L117" s="261" t="inlineStr">
        <is>
          <t>Cierre via loka.py | updated 20:08</t>
        </is>
      </c>
      <c r="M117" s="291" t="n"/>
      <c r="N117" s="292" t="n"/>
      <c r="O117" s="293" t="n"/>
      <c r="P117" s="294" t="n"/>
      <c r="Q117" s="292" t="n"/>
      <c r="R117" s="443">
        <f>IFERROR(D117*$T$7,0)</f>
        <v>116.72</v>
      </c>
      <c r="S117" s="292" t="n"/>
      <c r="T117" s="292" t="n"/>
      <c r="U117" s="443" t="n">
        <v>0</v>
      </c>
      <c r="V117" s="443" t="n">
        <v>0</v>
      </c>
      <c r="W117" s="292" t="n"/>
      <c r="X117" s="292" t="n"/>
      <c r="Y117" s="443" t="n">
        <v>0</v>
      </c>
      <c r="Z117" s="443" t="n">
        <v>0</v>
      </c>
      <c r="AA117" s="292" t="n"/>
      <c r="AB117" s="292" t="n"/>
    </row>
    <row r="118" ht="16.5" customHeight="1" s="331">
      <c r="B118" s="427" t="n">
        <v>46283</v>
      </c>
      <c r="C118" s="270" t="inlineStr">
        <is>
          <t>Fri</t>
        </is>
      </c>
      <c r="D118" s="271" t="n">
        <v>1225</v>
      </c>
      <c r="E118" s="37" t="n">
        <v>1100</v>
      </c>
      <c r="F118" s="38">
        <f>IFERROR(D118+E118+G118+U118+Y118,0)</f>
        <v>2325.0</v>
      </c>
      <c r="G118" s="272" t="n">
        <v>0</v>
      </c>
      <c r="H118" s="273">
        <f>SUMIFS('💸 Expenses'!$F$8:$F$5000,'💸 Expenses'!$B$8:$B$5000,"&gt;="&amp;B118,'💸 Expenses'!$B$8:$B$5000,"&lt;"&amp;(B118+1))</f>
        <v>1979.0</v>
      </c>
      <c r="I118" s="274">
        <f>IFERROR(F118-H118,0)</f>
        <v>346.0</v>
      </c>
      <c r="J118" s="275">
        <f>IFERROR(I118/F118,0)</f>
        <v>0.148817</v>
      </c>
      <c r="K118" s="250" t="n"/>
      <c r="L118" s="276" t="inlineStr">
        <is>
          <t>Cierre via loka.py</t>
        </is>
      </c>
      <c r="M118" s="323" t="n"/>
      <c r="N118" s="324" t="n"/>
      <c r="O118" s="325" t="n"/>
      <c r="P118" s="326" t="n"/>
      <c r="Q118" s="324" t="n"/>
      <c r="R118" s="428">
        <f>IFERROR(D118*$T$7,0)</f>
        <v>49.73</v>
      </c>
      <c r="S118" s="324" t="n"/>
      <c r="T118" s="324" t="n"/>
      <c r="U118" s="428" t="n">
        <v>0</v>
      </c>
      <c r="V118" s="428" t="n">
        <v>0</v>
      </c>
      <c r="W118" s="324" t="n"/>
      <c r="X118" s="324" t="n"/>
      <c r="Y118" s="428" t="n">
        <v>0</v>
      </c>
      <c r="Z118" s="428" t="n">
        <v>0</v>
      </c>
      <c r="AA118" s="324" t="n"/>
      <c r="AB118" s="324" t="n"/>
    </row>
    <row r="119" ht="16.5" customHeight="1" s="331">
      <c r="B119" s="427" t="n">
        <v>46284</v>
      </c>
      <c r="C119" s="255" t="inlineStr">
        <is>
          <t>Sat</t>
        </is>
      </c>
      <c r="D119" s="256" t="n">
        <v>625</v>
      </c>
      <c r="E119" s="49" t="n">
        <v>1335</v>
      </c>
      <c r="F119" s="50">
        <f>IFERROR(D119+E119+G119+U119+Y119,0)</f>
        <v>1960.0</v>
      </c>
      <c r="G119" s="257" t="n">
        <v>0</v>
      </c>
      <c r="H119" s="258">
        <f>SUMIFS('💸 Expenses'!$F$8:$F$5000,'💸 Expenses'!$B$8:$B$5000,"&gt;="&amp;B119,'💸 Expenses'!$B$8:$B$5000,"&lt;"&amp;(B119+1))</f>
        <v>4626.0</v>
      </c>
      <c r="I119" s="259">
        <f>IFERROR(F119-H119,0)</f>
        <v>-2666.0</v>
      </c>
      <c r="J119" s="260">
        <f>IFERROR(I119/F119,0)</f>
        <v>-1.360204</v>
      </c>
      <c r="K119" s="254" t="n"/>
      <c r="L119" s="261" t="inlineStr">
        <is>
          <t>Cierre via loka.py</t>
        </is>
      </c>
      <c r="M119" s="291" t="n"/>
      <c r="N119" s="292" t="n"/>
      <c r="O119" s="293" t="n"/>
      <c r="P119" s="294" t="n"/>
      <c r="Q119" s="292" t="n"/>
      <c r="R119" s="443">
        <f>IFERROR(D119*$T$7,0)</f>
        <v>25.38</v>
      </c>
      <c r="S119" s="292" t="n"/>
      <c r="T119" s="292" t="n"/>
      <c r="U119" s="443" t="n">
        <v>0</v>
      </c>
      <c r="V119" s="443" t="n">
        <v>0</v>
      </c>
      <c r="W119" s="292" t="n"/>
      <c r="X119" s="292" t="n"/>
      <c r="Y119" s="443" t="n">
        <v>0</v>
      </c>
      <c r="Z119" s="443" t="n">
        <v>0</v>
      </c>
      <c r="AA119" s="292" t="n"/>
      <c r="AB119" s="292" t="n"/>
    </row>
    <row r="120" ht="16.5" customHeight="1" s="331">
      <c r="B120" s="427" t="n">
        <v>46286</v>
      </c>
      <c r="C120" s="270" t="inlineStr">
        <is>
          <t>Mon</t>
        </is>
      </c>
      <c r="D120" s="271" t="n">
        <v>2860</v>
      </c>
      <c r="E120" s="37" t="n">
        <v>1680</v>
      </c>
      <c r="F120" s="38">
        <f>IFERROR(D120+E120+G120+U120+Y120,0)</f>
        <v>4800.0</v>
      </c>
      <c r="G120" s="272" t="n">
        <v>260</v>
      </c>
      <c r="H120" s="273">
        <f>SUMIFS('💸 Expenses'!$F$8:$F$5000,'💸 Expenses'!$B$8:$B$5000,"&gt;="&amp;B120,'💸 Expenses'!$B$8:$B$5000,"&lt;"&amp;(B120+1))</f>
        <v>3883.0</v>
      </c>
      <c r="I120" s="274">
        <f>IFERROR(F120-H120,0)</f>
        <v>917.0</v>
      </c>
      <c r="J120" s="275">
        <f>IFERROR(I120/F120,0)</f>
        <v>0.191042</v>
      </c>
      <c r="K120" s="250" t="n"/>
      <c r="L120" s="276" t="inlineStr">
        <is>
          <t>Cierre via loka.py | updated 21:05</t>
        </is>
      </c>
      <c r="M120" s="323" t="n"/>
      <c r="N120" s="324" t="n"/>
      <c r="O120" s="325" t="n"/>
      <c r="P120" s="326" t="n"/>
      <c r="Q120" s="324" t="n"/>
      <c r="R120" s="428">
        <f>IFERROR(D120*$T$7,0)</f>
        <v>116.12</v>
      </c>
      <c r="S120" s="324" t="n"/>
      <c r="T120" s="324" t="n"/>
      <c r="U120" s="428" t="n">
        <v>0</v>
      </c>
      <c r="V120" s="428" t="n">
        <v>0</v>
      </c>
      <c r="W120" s="324" t="n"/>
      <c r="X120" s="324" t="n"/>
      <c r="Y120" s="428" t="n">
        <v>0</v>
      </c>
      <c r="Z120" s="428" t="n">
        <v>0</v>
      </c>
      <c r="AA120" s="324" t="n"/>
      <c r="AB120" s="324" t="n"/>
    </row>
    <row r="121" ht="16.5" customHeight="1" s="331">
      <c r="B121" s="427" t="n">
        <v>46287</v>
      </c>
      <c r="C121" s="255" t="inlineStr">
        <is>
          <t>Tue</t>
        </is>
      </c>
      <c r="D121" s="256" t="n">
        <v>1575</v>
      </c>
      <c r="E121" s="49" t="n">
        <v>1515</v>
      </c>
      <c r="F121" s="50">
        <f>IFERROR(D121+E121+G121+U121+Y121,0)</f>
        <v>3090.0</v>
      </c>
      <c r="G121" s="257" t="n">
        <v>0</v>
      </c>
      <c r="H121" s="258">
        <f>SUMIFS('💸 Expenses'!$F$8:$F$5000,'💸 Expenses'!$B$8:$B$5000,"&gt;="&amp;B121,'💸 Expenses'!$B$8:$B$5000,"&lt;"&amp;(B121+1))</f>
        <v>18980.0</v>
      </c>
      <c r="I121" s="259">
        <f>IFERROR(F121-H121,0)</f>
        <v>-15890.0</v>
      </c>
      <c r="J121" s="260">
        <f>IFERROR(I121/F121,0)</f>
        <v>-5.142395</v>
      </c>
      <c r="K121" s="254" t="n"/>
      <c r="L121" s="261" t="inlineStr">
        <is>
          <t>Cierre via loka.py</t>
        </is>
      </c>
      <c r="M121" s="291" t="n"/>
      <c r="N121" s="292" t="n"/>
      <c r="O121" s="293" t="n"/>
      <c r="P121" s="294" t="n"/>
      <c r="Q121" s="292" t="n"/>
      <c r="R121" s="443">
        <f>IFERROR(D121*$T$7,0)</f>
        <v>63.94</v>
      </c>
      <c r="S121" s="292" t="n"/>
      <c r="T121" s="292" t="n"/>
      <c r="U121" s="443" t="n">
        <v>0</v>
      </c>
      <c r="V121" s="443" t="n">
        <v>0</v>
      </c>
      <c r="W121" s="292" t="n"/>
      <c r="X121" s="292" t="n"/>
      <c r="Y121" s="443" t="n">
        <v>0</v>
      </c>
      <c r="Z121" s="443" t="n">
        <v>0</v>
      </c>
      <c r="AA121" s="292" t="n"/>
      <c r="AB121" s="292" t="n"/>
    </row>
    <row r="122" ht="16.5" customHeight="1" s="331">
      <c r="B122" s="427" t="n">
        <v>46288</v>
      </c>
      <c r="C122" s="270" t="inlineStr">
        <is>
          <t>Wed</t>
        </is>
      </c>
      <c r="D122" s="271" t="n">
        <v>3585</v>
      </c>
      <c r="E122" s="37" t="n">
        <v>1360</v>
      </c>
      <c r="F122" s="38">
        <f>IFERROR(D122+E122+G122+U122+Y122,0)</f>
        <v>4945.0</v>
      </c>
      <c r="G122" s="272" t="n">
        <v>0</v>
      </c>
      <c r="H122" s="273">
        <f>SUMIFS('💸 Expenses'!$F$8:$F$5000,'💸 Expenses'!$B$8:$B$5000,"&gt;="&amp;B122,'💸 Expenses'!$B$8:$B$5000,"&lt;"&amp;(B122+1))</f>
        <v>5375.0</v>
      </c>
      <c r="I122" s="274">
        <f>IFERROR(F122-H122,0)</f>
        <v>-430.0</v>
      </c>
      <c r="J122" s="275">
        <f>IFERROR(I122/F122,0)</f>
        <v>-0.086957</v>
      </c>
      <c r="K122" s="250" t="n"/>
      <c r="L122" s="276" t="inlineStr">
        <is>
          <t>Cierre via loka.py</t>
        </is>
      </c>
      <c r="M122" s="323" t="n"/>
      <c r="N122" s="324" t="n"/>
      <c r="O122" s="325" t="n"/>
      <c r="P122" s="326" t="n"/>
      <c r="Q122" s="324" t="n"/>
      <c r="R122" s="428">
        <f>IFERROR(D122*$T$7,0)</f>
        <v>145.55</v>
      </c>
      <c r="S122" s="324" t="n"/>
      <c r="T122" s="324" t="n"/>
      <c r="U122" s="428" t="n">
        <v>0</v>
      </c>
      <c r="V122" s="428" t="n">
        <v>0</v>
      </c>
      <c r="W122" s="324" t="n"/>
      <c r="X122" s="324" t="n"/>
      <c r="Y122" s="428" t="n">
        <v>0</v>
      </c>
      <c r="Z122" s="428" t="n">
        <v>0</v>
      </c>
      <c r="AA122" s="324" t="n"/>
      <c r="AB122" s="324" t="n"/>
    </row>
    <row r="123" ht="16.5" customHeight="1" s="331">
      <c r="B123" s="427" t="n">
        <v>46289</v>
      </c>
      <c r="C123" s="255" t="inlineStr">
        <is>
          <t>Thu</t>
        </is>
      </c>
      <c r="D123" s="256" t="n">
        <v>2490</v>
      </c>
      <c r="E123" s="49" t="n">
        <v>850</v>
      </c>
      <c r="F123" s="50">
        <f>IFERROR(D123+E123+G123+U123+Y123,0)</f>
        <v>3340.0</v>
      </c>
      <c r="G123" s="257" t="n">
        <v>0</v>
      </c>
      <c r="H123" s="258">
        <f>SUMIFS('💸 Expenses'!$F$8:$F$5000,'💸 Expenses'!$B$8:$B$5000,"&gt;="&amp;B123,'💸 Expenses'!$B$8:$B$5000,"&lt;"&amp;(B123+1))</f>
        <v>2465.0</v>
      </c>
      <c r="I123" s="259">
        <f>IFERROR(F123-H123,0)</f>
        <v>875.0</v>
      </c>
      <c r="J123" s="260">
        <f>IFERROR(I123/F123,0)</f>
        <v>0.261976</v>
      </c>
      <c r="K123" s="254" t="n"/>
      <c r="L123" s="261" t="inlineStr">
        <is>
          <t>Cierre via loka.py</t>
        </is>
      </c>
      <c r="M123" s="291" t="n"/>
      <c r="N123" s="292" t="n"/>
      <c r="O123" s="293" t="n"/>
      <c r="P123" s="294" t="n"/>
      <c r="Q123" s="292" t="n"/>
      <c r="R123" s="443">
        <f>IFERROR(D123*$T$7,0)</f>
        <v>101.09</v>
      </c>
      <c r="S123" s="292" t="n"/>
      <c r="T123" s="292" t="n"/>
      <c r="U123" s="443" t="n">
        <v>0</v>
      </c>
      <c r="V123" s="443" t="n">
        <v>0</v>
      </c>
      <c r="W123" s="292" t="n"/>
      <c r="X123" s="292" t="n"/>
      <c r="Y123" s="443" t="n">
        <v>0</v>
      </c>
      <c r="Z123" s="443" t="n">
        <v>0</v>
      </c>
      <c r="AA123" s="292" t="n"/>
      <c r="AB123" s="292" t="n"/>
    </row>
    <row r="124" ht="16.5" customHeight="1" s="331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31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31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31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31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31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31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31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31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31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31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31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31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31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31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31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31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31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31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31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31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31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31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31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31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31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31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31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31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31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31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31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31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31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31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31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31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31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31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31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31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31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31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31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31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31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31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31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31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31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31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31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31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31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31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31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31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31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31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31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31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31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31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31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31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31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31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31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31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31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31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31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31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31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31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31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31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31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31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31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31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31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31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31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31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31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31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31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31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31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31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31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31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31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31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31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31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31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31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31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31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31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31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31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31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31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31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31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31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31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31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31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31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31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31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31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31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31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31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31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31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31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31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31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31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31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31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31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31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31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31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31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31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31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31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31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31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31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31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31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31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31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31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31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31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31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31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31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31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31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31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31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31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31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31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31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31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31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31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31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31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31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31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31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31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31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31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31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31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31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31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31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31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31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31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31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31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31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31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31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31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31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31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31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31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31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31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31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31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31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31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31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31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31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31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31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31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31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31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31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31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31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31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31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31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31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31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31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31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31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31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31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31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31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31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31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31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31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31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31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31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31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31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31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31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31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31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31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31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31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31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31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31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31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31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31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31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31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31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31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31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31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31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31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31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31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31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31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31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B5:P5"/>
    <mergeCell ref="A2:H2"/>
    <mergeCell ref="I2:P2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802"/>
  <sheetViews>
    <sheetView showGridLines="0" tabSelected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4" customWidth="1" style="331" min="3" max="3"/>
    <col width="22" customWidth="1" style="331" min="4" max="4"/>
    <col width="19.77734375" customWidth="1" style="331" min="5" max="5"/>
    <col width="16" customWidth="1" style="331" min="6" max="6"/>
    <col width="14" customWidth="1" style="331" min="7" max="7"/>
    <col width="16" customWidth="1" style="331" min="8" max="8"/>
    <col width="18" customWidth="1" style="331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31">
      <c r="A2" s="417" t="inlineStr">
        <is>
          <t>💸  LOKA — EXPENSES TRACKER</t>
        </is>
      </c>
      <c r="E2" s="418" t="inlineStr">
        <is>
          <t>Log every cost: ingredients, staff, utilities, supplies…</t>
        </is>
      </c>
    </row>
    <row r="3">
      <c r="A3" s="4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31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31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31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31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31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31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31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31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31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31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296" t="n">
        <v>46216</v>
      </c>
      <c r="C471" s="297" t="inlineStr">
        <is>
          <t>Aceite (Oxxo)</t>
        </is>
      </c>
      <c r="D471" s="298" t="inlineStr">
        <is>
          <t>OXXO</t>
        </is>
      </c>
      <c r="E471" s="297" t="inlineStr">
        <is>
          <t>Ingredients - Pantry</t>
        </is>
      </c>
      <c r="F471" s="299" t="n">
        <v>112</v>
      </c>
      <c r="G471" s="300" t="inlineStr">
        <is>
          <t>Restaurant</t>
        </is>
      </c>
      <c r="H471" s="300" t="inlineStr">
        <is>
          <t>Cash</t>
        </is>
      </c>
      <c r="I471" s="301" t="inlineStr">
        <is>
          <t>✅ Paid</t>
        </is>
      </c>
      <c r="J471" s="295" t="inlineStr">
        <is>
          <t>No receipt; cash</t>
        </is>
      </c>
    </row>
    <row r="472">
      <c r="B472" s="296" t="n">
        <v>46216</v>
      </c>
      <c r="C472" s="297" t="inlineStr">
        <is>
          <t>Agua</t>
        </is>
      </c>
      <c r="D472" s="298" t="inlineStr">
        <is>
          <t>No bill</t>
        </is>
      </c>
      <c r="E472" s="297" t="inlineStr">
        <is>
          <t>Ingredients - Beverages</t>
        </is>
      </c>
      <c r="F472" s="299" t="n">
        <v>60</v>
      </c>
      <c r="G472" s="300" t="inlineStr">
        <is>
          <t>Lohith</t>
        </is>
      </c>
      <c r="H472" s="300" t="inlineStr">
        <is>
          <t>Cash</t>
        </is>
      </c>
      <c r="I472" s="301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296" t="n">
        <v>46216</v>
      </c>
      <c r="C473" s="297" t="inlineStr">
        <is>
          <t>Aceite</t>
        </is>
      </c>
      <c r="D473" s="298" t="inlineStr">
        <is>
          <t>No bill</t>
        </is>
      </c>
      <c r="E473" s="297" t="inlineStr">
        <is>
          <t>Ingredients - Pantry</t>
        </is>
      </c>
      <c r="F473" s="299" t="n">
        <v>330</v>
      </c>
      <c r="G473" s="300" t="inlineStr">
        <is>
          <t>Lohith</t>
        </is>
      </c>
      <c r="H473" s="300" t="inlineStr">
        <is>
          <t>Cash</t>
        </is>
      </c>
      <c r="I473" s="301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296" t="n">
        <v>46216</v>
      </c>
      <c r="C474" s="297" t="inlineStr">
        <is>
          <t>Clorox</t>
        </is>
      </c>
      <c r="D474" s="298" t="inlineStr">
        <is>
          <t>No bill</t>
        </is>
      </c>
      <c r="E474" s="297" t="inlineStr">
        <is>
          <t>Kitchen Supplies</t>
        </is>
      </c>
      <c r="F474" s="299" t="n">
        <v>10</v>
      </c>
      <c r="G474" s="300" t="inlineStr">
        <is>
          <t>Lohith</t>
        </is>
      </c>
      <c r="H474" s="300" t="inlineStr">
        <is>
          <t>Cash</t>
        </is>
      </c>
      <c r="I474" s="301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296" t="n">
        <v>46217</v>
      </c>
      <c r="C475" s="297" t="inlineStr">
        <is>
          <t>Clorox 3.8L + Tortillas blancas x3 + Rosca marmoleada + Bolillo x6</t>
        </is>
      </c>
      <c r="D475" s="298" t="inlineStr">
        <is>
          <t>Chedraui Paseo</t>
        </is>
      </c>
      <c r="E475" s="297" t="inlineStr">
        <is>
          <t>Supermarket/General</t>
        </is>
      </c>
      <c r="F475" s="299" t="n">
        <v>224.38</v>
      </c>
      <c r="G475" s="300" t="inlineStr">
        <is>
          <t>Restaurant</t>
        </is>
      </c>
      <c r="H475" s="300" t="inlineStr">
        <is>
          <t>Card</t>
        </is>
      </c>
      <c r="I475" s="301" t="inlineStr">
        <is>
          <t>✅ Paid</t>
        </is>
      </c>
      <c r="J475" s="411" t="inlineStr">
        <is>
          <t>Debito BBVA ***3982 AUT 312881; 14-Jul 09:17; subtotal $228 - desc $3.62 = $224.38</t>
        </is>
      </c>
    </row>
    <row r="476">
      <c r="B476" s="296" t="n">
        <v>46217</v>
      </c>
      <c r="C476" s="297" t="inlineStr">
        <is>
          <t>Mojarra (pescado)</t>
        </is>
      </c>
      <c r="D476" s="298" t="inlineStr">
        <is>
          <t>No bill</t>
        </is>
      </c>
      <c r="E476" s="297" t="inlineStr">
        <is>
          <t>Ingredients - Meat &amp; Fish</t>
        </is>
      </c>
      <c r="F476" s="299" t="n">
        <v>372</v>
      </c>
      <c r="G476" s="300" t="inlineStr">
        <is>
          <t>Restaurant</t>
        </is>
      </c>
      <c r="H476" s="300" t="inlineStr">
        <is>
          <t>Cash</t>
        </is>
      </c>
      <c r="I476" s="301" t="inlineStr">
        <is>
          <t>✅ Paid</t>
        </is>
      </c>
      <c r="J476" s="411" t="inlineStr">
        <is>
          <t>No receipt; cash</t>
        </is>
      </c>
    </row>
    <row r="477">
      <c r="B477" s="296" t="n">
        <v>46218</v>
      </c>
      <c r="C477" s="297" t="inlineStr">
        <is>
          <t>Italpast 1kg x5</t>
        </is>
      </c>
      <c r="D477" s="298" t="inlineStr">
        <is>
          <t>Sam's Club</t>
        </is>
      </c>
      <c r="E477" s="297" t="inlineStr">
        <is>
          <t>Ingredients - Pantry</t>
        </is>
      </c>
      <c r="F477" s="299" t="n">
        <v>195</v>
      </c>
      <c r="G477" s="300" t="inlineStr">
        <is>
          <t>Lohith</t>
        </is>
      </c>
      <c r="H477" s="300" t="inlineStr">
        <is>
          <t>Cash</t>
        </is>
      </c>
      <c r="I477" s="301" t="inlineStr">
        <is>
          <t>✅ Paid</t>
        </is>
      </c>
      <c r="J477" s="411" t="inlineStr">
        <is>
          <t>Sam's $195 (sub $199.50 - desc $4.50). Pagado en EFECTIVO por LOHITH (bolsillo propio, no de la caja). Reembolsable via Owner Ledger.</t>
        </is>
      </c>
    </row>
    <row r="478">
      <c r="B478" s="296" t="n">
        <v>46218</v>
      </c>
      <c r="C478" s="297" t="inlineStr">
        <is>
          <t>Leche deslactosada, Unico fresco, Crutones</t>
        </is>
      </c>
      <c r="D478" s="298" t="inlineStr">
        <is>
          <t>Costco</t>
        </is>
      </c>
      <c r="E478" s="297" t="inlineStr">
        <is>
          <t>Supermarket/General</t>
        </is>
      </c>
      <c r="F478" s="299" t="n">
        <v>615</v>
      </c>
      <c r="G478" s="300" t="inlineStr">
        <is>
          <t>Restaurant</t>
        </is>
      </c>
      <c r="H478" s="300" t="inlineStr">
        <is>
          <t>Card</t>
        </is>
      </c>
      <c r="I478" s="301" t="inlineStr">
        <is>
          <t>✅ Paid</t>
        </is>
      </c>
      <c r="J478" s="411" t="inlineStr">
        <is>
          <t>Debito ***3982 ticket 1672; total $615 (sub $629.13 - desc $14.13)</t>
        </is>
      </c>
    </row>
    <row r="479">
      <c r="B479" s="296" t="n">
        <v>46218</v>
      </c>
      <c r="C479" s="297" t="inlineStr">
        <is>
          <t>Snickers, Queso Philadelphia x2, tortillas, baguette</t>
        </is>
      </c>
      <c r="D479" s="298" t="inlineStr">
        <is>
          <t>Chedraui Selecto</t>
        </is>
      </c>
      <c r="E479" s="297" t="inlineStr">
        <is>
          <t>Supermarket/General</t>
        </is>
      </c>
      <c r="F479" s="299" t="n">
        <v>282.86</v>
      </c>
      <c r="G479" s="300" t="inlineStr">
        <is>
          <t>Restaurant</t>
        </is>
      </c>
      <c r="H479" s="300" t="inlineStr">
        <is>
          <t>Card</t>
        </is>
      </c>
      <c r="I479" s="301" t="inlineStr">
        <is>
          <t>✅ Paid</t>
        </is>
      </c>
      <c r="J479" s="411" t="inlineStr">
        <is>
          <t>Debito ***3982 AUT 305923; sub $286.87 - desc $3.01 = $282.86</t>
        </is>
      </c>
    </row>
    <row r="480">
      <c r="B480" s="296" t="n">
        <v>46218</v>
      </c>
      <c r="C480" s="297" t="inlineStr">
        <is>
          <t>Carne</t>
        </is>
      </c>
      <c r="D480" s="298" t="inlineStr">
        <is>
          <t>No bill</t>
        </is>
      </c>
      <c r="E480" s="297" t="inlineStr">
        <is>
          <t>Ingredients - Meat</t>
        </is>
      </c>
      <c r="F480" s="299" t="n">
        <v>581</v>
      </c>
      <c r="G480" s="300" t="inlineStr">
        <is>
          <t>Restaurant</t>
        </is>
      </c>
      <c r="H480" s="300" t="inlineStr">
        <is>
          <t>Cash</t>
        </is>
      </c>
      <c r="I480" s="301" t="inlineStr">
        <is>
          <t>✅ Paid</t>
        </is>
      </c>
      <c r="J480" s="411" t="inlineStr">
        <is>
          <t>No receipt; cash</t>
        </is>
      </c>
    </row>
    <row r="481">
      <c r="B481" s="296" t="n">
        <v>46218</v>
      </c>
      <c r="C481" s="297" t="inlineStr">
        <is>
          <t>Cilantro</t>
        </is>
      </c>
      <c r="D481" s="298" t="inlineStr">
        <is>
          <t>No bill</t>
        </is>
      </c>
      <c r="E481" s="297" t="inlineStr">
        <is>
          <t>Ingredients - Vegetables</t>
        </is>
      </c>
      <c r="F481" s="299" t="n">
        <v>5</v>
      </c>
      <c r="G481" s="300" t="inlineStr">
        <is>
          <t>Restaurant</t>
        </is>
      </c>
      <c r="H481" s="300" t="inlineStr">
        <is>
          <t>Cash</t>
        </is>
      </c>
      <c r="I481" s="301" t="inlineStr">
        <is>
          <t>✅ Paid</t>
        </is>
      </c>
      <c r="J481" s="411" t="inlineStr">
        <is>
          <t>No receipt; cash</t>
        </is>
      </c>
    </row>
    <row r="482">
      <c r="B482" s="296" t="n">
        <v>46218</v>
      </c>
      <c r="C482" s="297" t="inlineStr">
        <is>
          <t>Pollo</t>
        </is>
      </c>
      <c r="D482" s="298" t="inlineStr">
        <is>
          <t>No bill</t>
        </is>
      </c>
      <c r="E482" s="297" t="inlineStr">
        <is>
          <t>Ingredients - Meat</t>
        </is>
      </c>
      <c r="F482" s="299" t="n">
        <v>579</v>
      </c>
      <c r="G482" s="300" t="inlineStr">
        <is>
          <t>Restaurant</t>
        </is>
      </c>
      <c r="H482" s="300" t="inlineStr">
        <is>
          <t>Cash</t>
        </is>
      </c>
      <c r="I482" s="301" t="inlineStr">
        <is>
          <t>✅ Paid</t>
        </is>
      </c>
      <c r="J482" s="411" t="inlineStr">
        <is>
          <t>No receipt; cash</t>
        </is>
      </c>
    </row>
    <row r="483">
      <c r="B483" s="296" t="n">
        <v>46218</v>
      </c>
      <c r="C483" s="297" t="inlineStr">
        <is>
          <t>Telmex (internet/telefono)</t>
        </is>
      </c>
      <c r="D483" s="298" t="inlineStr">
        <is>
          <t>Telmex</t>
        </is>
      </c>
      <c r="E483" s="297" t="inlineStr">
        <is>
          <t>Utilities/Internet</t>
        </is>
      </c>
      <c r="F483" s="299" t="n">
        <v>349</v>
      </c>
      <c r="G483" s="300" t="inlineStr">
        <is>
          <t>Restaurant</t>
        </is>
      </c>
      <c r="H483" s="300" t="inlineStr">
        <is>
          <t>Cash</t>
        </is>
      </c>
      <c r="I483" s="301" t="inlineStr">
        <is>
          <t>✅ Paid</t>
        </is>
      </c>
      <c r="J483" s="411" t="inlineStr">
        <is>
          <t>No receipt; cash; monthly internet/phone</t>
        </is>
      </c>
    </row>
    <row r="484">
      <c r="B484" s="296" t="n">
        <v>46219</v>
      </c>
      <c r="C484" s="297" t="inlineStr">
        <is>
          <t>Vasos plastico + Reyma tapas (desechables)</t>
        </is>
      </c>
      <c r="D484" s="298" t="inlineStr">
        <is>
          <t>Guimar Polietilenos</t>
        </is>
      </c>
      <c r="E484" s="297" t="inlineStr">
        <is>
          <t>Packaging/Disposables</t>
        </is>
      </c>
      <c r="F484" s="299" t="n">
        <v>106</v>
      </c>
      <c r="G484" s="300" t="inlineStr">
        <is>
          <t>Restaurant</t>
        </is>
      </c>
      <c r="H484" s="300" t="inlineStr">
        <is>
          <t>Cash</t>
        </is>
      </c>
      <c r="I484" s="301" t="inlineStr">
        <is>
          <t>✅ Paid</t>
        </is>
      </c>
      <c r="J484" s="411" t="inlineStr">
        <is>
          <t>Folio XCC39648; disposables</t>
        </is>
      </c>
    </row>
    <row r="485">
      <c r="B485" s="296" t="n">
        <v>46219</v>
      </c>
      <c r="C485" s="297" t="inlineStr">
        <is>
          <t>Jamaica</t>
        </is>
      </c>
      <c r="D485" s="298" t="inlineStr">
        <is>
          <t>Molino y Condimentos La Cruz</t>
        </is>
      </c>
      <c r="E485" s="297" t="inlineStr">
        <is>
          <t>Ingredients - Beverages</t>
        </is>
      </c>
      <c r="F485" s="299" t="n">
        <v>110</v>
      </c>
      <c r="G485" s="300" t="inlineStr">
        <is>
          <t>Restaurant</t>
        </is>
      </c>
      <c r="H485" s="300" t="inlineStr">
        <is>
          <t>Cash</t>
        </is>
      </c>
      <c r="I485" s="301" t="inlineStr">
        <is>
          <t>✅ Paid</t>
        </is>
      </c>
      <c r="J485" s="411" t="inlineStr">
        <is>
          <t>Molino La Cruz; jamaica (agua fresca)</t>
        </is>
      </c>
    </row>
    <row r="486">
      <c r="B486" s="296" t="n">
        <v>46219</v>
      </c>
      <c r="C486" s="297" t="inlineStr">
        <is>
          <t>Queso</t>
        </is>
      </c>
      <c r="D486" s="298" t="inlineStr">
        <is>
          <t>La Bodega del Buen Queso</t>
        </is>
      </c>
      <c r="E486" s="297" t="inlineStr">
        <is>
          <t>Ingredients - Dairy</t>
        </is>
      </c>
      <c r="F486" s="299" t="n">
        <v>409</v>
      </c>
      <c r="G486" s="300" t="inlineStr">
        <is>
          <t>Restaurant</t>
        </is>
      </c>
      <c r="H486" s="300" t="inlineStr">
        <is>
          <t>Cash</t>
        </is>
      </c>
      <c r="I486" s="301" t="inlineStr">
        <is>
          <t>✅ Paid</t>
        </is>
      </c>
      <c r="J486" s="411" t="inlineStr">
        <is>
          <t>Nota de venta 16-Jul</t>
        </is>
      </c>
    </row>
    <row r="487">
      <c r="B487" s="296" t="n">
        <v>46219</v>
      </c>
      <c r="C487" s="297" t="inlineStr">
        <is>
          <t>Fideo La Moderna x3</t>
        </is>
      </c>
      <c r="D487" s="298" t="inlineStr">
        <is>
          <t>Tres B</t>
        </is>
      </c>
      <c r="E487" s="297" t="inlineStr">
        <is>
          <t>Ingredients - Pantry</t>
        </is>
      </c>
      <c r="F487" s="299" t="n">
        <v>51</v>
      </c>
      <c r="G487" s="300" t="inlineStr">
        <is>
          <t>Restaurant</t>
        </is>
      </c>
      <c r="H487" s="300" t="inlineStr">
        <is>
          <t>Card</t>
        </is>
      </c>
      <c r="I487" s="301" t="inlineStr">
        <is>
          <t>✅ Paid</t>
        </is>
      </c>
      <c r="J487" s="411" t="inlineStr">
        <is>
          <t>3x $17; Mercado Libre contactless</t>
        </is>
      </c>
    </row>
    <row r="488">
      <c r="B488" s="296" t="n">
        <v>46219</v>
      </c>
      <c r="C488" s="297" t="inlineStr">
        <is>
          <t>Carne</t>
        </is>
      </c>
      <c r="D488" s="298" t="inlineStr">
        <is>
          <t>No bill</t>
        </is>
      </c>
      <c r="E488" s="297" t="inlineStr">
        <is>
          <t>Ingredients - Meat</t>
        </is>
      </c>
      <c r="F488" s="299" t="n">
        <v>263</v>
      </c>
      <c r="G488" s="300" t="inlineStr">
        <is>
          <t>Restaurant</t>
        </is>
      </c>
      <c r="H488" s="300" t="inlineStr">
        <is>
          <t>Cash</t>
        </is>
      </c>
      <c r="I488" s="301" t="inlineStr">
        <is>
          <t>✅ Paid</t>
        </is>
      </c>
      <c r="J488" s="411" t="inlineStr">
        <is>
          <t>No receipt; cash</t>
        </is>
      </c>
    </row>
    <row r="489">
      <c r="B489" s="296" t="n">
        <v>46219</v>
      </c>
      <c r="C489" s="297" t="inlineStr">
        <is>
          <t>Wine glasses</t>
        </is>
      </c>
      <c r="D489" s="298" t="inlineStr">
        <is>
          <t>No bill</t>
        </is>
      </c>
      <c r="E489" s="297" t="inlineStr">
        <is>
          <t>Kitchen Supplies</t>
        </is>
      </c>
      <c r="F489" s="299" t="n">
        <v>150</v>
      </c>
      <c r="G489" s="300" t="inlineStr">
        <is>
          <t>Restaurant</t>
        </is>
      </c>
      <c r="H489" s="300" t="inlineStr">
        <is>
          <t>Cash</t>
        </is>
      </c>
      <c r="I489" s="301" t="inlineStr">
        <is>
          <t>✅ Paid</t>
        </is>
      </c>
      <c r="J489" s="411" t="inlineStr">
        <is>
          <t>No receipt; cash; glassware</t>
        </is>
      </c>
    </row>
    <row r="490">
      <c r="B490" s="296" t="n">
        <v>46219</v>
      </c>
      <c r="C490" s="297" t="inlineStr">
        <is>
          <t>Salvo (lavatrastes)</t>
        </is>
      </c>
      <c r="D490" s="298" t="inlineStr">
        <is>
          <t>No bill</t>
        </is>
      </c>
      <c r="E490" s="297" t="inlineStr">
        <is>
          <t>Kitchen Supplies</t>
        </is>
      </c>
      <c r="F490" s="299" t="n">
        <v>28</v>
      </c>
      <c r="G490" s="300" t="inlineStr">
        <is>
          <t>Restaurant</t>
        </is>
      </c>
      <c r="H490" s="300" t="inlineStr">
        <is>
          <t>Cash</t>
        </is>
      </c>
      <c r="I490" s="301" t="inlineStr">
        <is>
          <t>✅ Paid</t>
        </is>
      </c>
      <c r="J490" s="411" t="inlineStr">
        <is>
          <t>No receipt; cash; dish soap</t>
        </is>
      </c>
    </row>
    <row r="491">
      <c r="B491" s="296" t="n">
        <v>46219</v>
      </c>
      <c r="C491" s="297" t="inlineStr">
        <is>
          <t>Topo Chico (Oxxo)</t>
        </is>
      </c>
      <c r="D491" s="298" t="inlineStr">
        <is>
          <t>OXXO</t>
        </is>
      </c>
      <c r="E491" s="297" t="inlineStr">
        <is>
          <t>Ingredients - Beverages</t>
        </is>
      </c>
      <c r="F491" s="299" t="n">
        <v>40</v>
      </c>
      <c r="G491" s="300" t="inlineStr">
        <is>
          <t>Restaurant</t>
        </is>
      </c>
      <c r="H491" s="300" t="inlineStr">
        <is>
          <t>Cash</t>
        </is>
      </c>
      <c r="I491" s="301" t="inlineStr">
        <is>
          <t>✅ Paid</t>
        </is>
      </c>
      <c r="J491" s="411" t="inlineStr">
        <is>
          <t>No receipt; cash</t>
        </is>
      </c>
    </row>
    <row r="492">
      <c r="B492" s="296" t="n">
        <v>46214</v>
      </c>
      <c r="C492" s="297" t="inlineStr">
        <is>
          <t>Pan y salsas</t>
        </is>
      </c>
      <c r="D492" s="298" t="inlineStr">
        <is>
          <t>Pan Reales</t>
        </is>
      </c>
      <c r="E492" s="297" t="inlineStr">
        <is>
          <t>Ingredients - Bread</t>
        </is>
      </c>
      <c r="F492" s="299" t="n">
        <v>867</v>
      </c>
      <c r="G492" s="300" t="inlineStr">
        <is>
          <t>Restaurant</t>
        </is>
      </c>
      <c r="H492" s="300" t="inlineStr">
        <is>
          <t>Cash</t>
        </is>
      </c>
      <c r="I492" s="301" t="inlineStr">
        <is>
          <t>✅ Paid</t>
        </is>
      </c>
      <c r="J492" s="411" t="inlineStr">
        <is>
          <t>Pan + salsas; gasto de 11-Jul agregado despues (missed en el EOD original)</t>
        </is>
      </c>
    </row>
    <row r="493">
      <c r="B493" s="296" t="n">
        <v>46219</v>
      </c>
      <c r="C493" s="297" t="inlineStr">
        <is>
          <t>John (Head Chef) — pago por quedarse tarde (wine party)</t>
        </is>
      </c>
      <c r="D493" s="298" t="inlineStr">
        <is>
          <t>Payroll</t>
        </is>
      </c>
      <c r="E493" s="297" t="inlineStr">
        <is>
          <t>Staff - Salary</t>
        </is>
      </c>
      <c r="F493" s="299" t="n">
        <v>500</v>
      </c>
      <c r="G493" s="300" t="inlineStr">
        <is>
          <t>Restaurant</t>
        </is>
      </c>
      <c r="H493" s="300" t="inlineStr">
        <is>
          <t>Cash</t>
        </is>
      </c>
      <c r="I493" s="301" t="inlineStr">
        <is>
          <t>✅ Paid</t>
        </is>
      </c>
      <c r="J493" s="411" t="inlineStr">
        <is>
          <t>Pago extra al chef por trabajar tarde en el evento de vino (16-Jul). Sueldo/bono, no propina.</t>
        </is>
      </c>
    </row>
    <row r="494">
      <c r="B494" s="296" t="n">
        <v>46220</v>
      </c>
      <c r="C494" s="297" t="inlineStr">
        <is>
          <t>Arroz (Oxxo)</t>
        </is>
      </c>
      <c r="D494" s="298" t="inlineStr">
        <is>
          <t>OXXO</t>
        </is>
      </c>
      <c r="E494" s="297" t="inlineStr">
        <is>
          <t>Ingredients - Pantry</t>
        </is>
      </c>
      <c r="F494" s="299" t="n">
        <v>52</v>
      </c>
      <c r="G494" s="300" t="inlineStr">
        <is>
          <t>Restaurant</t>
        </is>
      </c>
      <c r="H494" s="300" t="inlineStr">
        <is>
          <t>Cash</t>
        </is>
      </c>
      <c r="I494" s="301" t="inlineStr">
        <is>
          <t>✅ Paid</t>
        </is>
      </c>
      <c r="J494" s="411" t="inlineStr">
        <is>
          <t>No receipt; cash</t>
        </is>
      </c>
    </row>
    <row r="495">
      <c r="B495" s="296" t="n">
        <v>46220</v>
      </c>
      <c r="C495" s="297" t="inlineStr">
        <is>
          <t>Pollo</t>
        </is>
      </c>
      <c r="D495" s="298" t="inlineStr">
        <is>
          <t>No bill</t>
        </is>
      </c>
      <c r="E495" s="297" t="inlineStr">
        <is>
          <t>Ingredients - Meat</t>
        </is>
      </c>
      <c r="F495" s="299" t="n">
        <v>300</v>
      </c>
      <c r="G495" s="300" t="inlineStr">
        <is>
          <t>Lohith</t>
        </is>
      </c>
      <c r="H495" s="300" t="inlineStr">
        <is>
          <t>Cash</t>
        </is>
      </c>
      <c r="I495" s="301" t="inlineStr">
        <is>
          <t>✅ Paid</t>
        </is>
      </c>
      <c r="J495" s="411" t="inlineStr">
        <is>
          <t>Pollo pagado personalmente por Lohith (17-Jul); gasto operativo real, reembolsable via Owner Ledger. No salio de la caja.</t>
        </is>
      </c>
    </row>
    <row r="496">
      <c r="B496" s="296" t="n">
        <v>46220</v>
      </c>
      <c r="C496" s="297" t="inlineStr">
        <is>
          <t>Vegetables</t>
        </is>
      </c>
      <c r="D496" s="298" t="inlineStr">
        <is>
          <t>No bill</t>
        </is>
      </c>
      <c r="E496" s="297" t="inlineStr">
        <is>
          <t>Ingredients - Vegetables</t>
        </is>
      </c>
      <c r="F496" s="299" t="n">
        <v>51</v>
      </c>
      <c r="G496" s="300" t="inlineStr">
        <is>
          <t>Restaurant</t>
        </is>
      </c>
      <c r="H496" s="300" t="inlineStr">
        <is>
          <t>Cash</t>
        </is>
      </c>
      <c r="I496" s="301" t="inlineStr">
        <is>
          <t>✅ Paid</t>
        </is>
      </c>
      <c r="J496" s="411" t="inlineStr">
        <is>
          <t>No receipt; cash</t>
        </is>
      </c>
    </row>
    <row r="497">
      <c r="B497" s="296" t="n">
        <v>46220</v>
      </c>
      <c r="C497" s="297" t="inlineStr">
        <is>
          <t>Lechuga</t>
        </is>
      </c>
      <c r="D497" s="298" t="inlineStr">
        <is>
          <t>No bill</t>
        </is>
      </c>
      <c r="E497" s="297" t="inlineStr">
        <is>
          <t>Ingredients - Vegetables</t>
        </is>
      </c>
      <c r="F497" s="299" t="n">
        <v>88</v>
      </c>
      <c r="G497" s="300" t="inlineStr">
        <is>
          <t>Restaurant</t>
        </is>
      </c>
      <c r="H497" s="300" t="inlineStr">
        <is>
          <t>Cash</t>
        </is>
      </c>
      <c r="I497" s="301" t="inlineStr">
        <is>
          <t>✅ Paid</t>
        </is>
      </c>
      <c r="J497" s="411" t="inlineStr">
        <is>
          <t>No receipt; cash</t>
        </is>
      </c>
    </row>
    <row r="498">
      <c r="B498" s="296" t="n">
        <v>46220</v>
      </c>
      <c r="C498" s="297" t="inlineStr">
        <is>
          <t>Bistec</t>
        </is>
      </c>
      <c r="D498" s="298" t="inlineStr">
        <is>
          <t>No bill</t>
        </is>
      </c>
      <c r="E498" s="297" t="inlineStr">
        <is>
          <t>Ingredients - Meat</t>
        </is>
      </c>
      <c r="F498" s="299" t="n">
        <v>96</v>
      </c>
      <c r="G498" s="300" t="inlineStr">
        <is>
          <t>Restaurant</t>
        </is>
      </c>
      <c r="H498" s="300" t="inlineStr">
        <is>
          <t>Cash</t>
        </is>
      </c>
      <c r="I498" s="301" t="inlineStr">
        <is>
          <t>✅ Paid</t>
        </is>
      </c>
      <c r="J498" s="411" t="inlineStr">
        <is>
          <t>No receipt; cash</t>
        </is>
      </c>
    </row>
    <row r="499">
      <c r="B499" s="296" t="n">
        <v>46220</v>
      </c>
      <c r="C499" s="297" t="inlineStr">
        <is>
          <t>Chedraui (varios)</t>
        </is>
      </c>
      <c r="D499" s="298" t="inlineStr">
        <is>
          <t>Chedraui</t>
        </is>
      </c>
      <c r="E499" s="297" t="inlineStr">
        <is>
          <t>Supermarket/General</t>
        </is>
      </c>
      <c r="F499" s="299" t="n">
        <v>164</v>
      </c>
      <c r="G499" s="300" t="inlineStr">
        <is>
          <t>Restaurant</t>
        </is>
      </c>
      <c r="H499" s="300" t="inlineStr">
        <is>
          <t>Cash</t>
        </is>
      </c>
      <c r="I499" s="301" t="inlineStr">
        <is>
          <t>✅ Paid</t>
        </is>
      </c>
      <c r="J499" s="411" t="inlineStr">
        <is>
          <t>No receipt provided; cash</t>
        </is>
      </c>
    </row>
    <row r="500">
      <c r="B500" s="296" t="n">
        <v>46220</v>
      </c>
      <c r="C500" s="297" t="inlineStr">
        <is>
          <t>Samu — Ayudante Week 9</t>
        </is>
      </c>
      <c r="D500" s="298" t="inlineStr">
        <is>
          <t>Payroll</t>
        </is>
      </c>
      <c r="E500" s="297" t="inlineStr">
        <is>
          <t>Staff - Salary</t>
        </is>
      </c>
      <c r="F500" s="299" t="n">
        <v>1200</v>
      </c>
      <c r="G500" s="300" t="inlineStr">
        <is>
          <t>Restaurant</t>
        </is>
      </c>
      <c r="H500" s="300" t="inlineStr">
        <is>
          <t>Cash</t>
        </is>
      </c>
      <c r="I500" s="301" t="inlineStr">
        <is>
          <t>✅ Paid</t>
        </is>
      </c>
      <c r="J500" s="411" t="inlineStr">
        <is>
          <t>Week 9 salary, paid Friday 17 Jul</t>
        </is>
      </c>
    </row>
    <row r="501">
      <c r="B501" s="296" t="n">
        <v>46221</v>
      </c>
      <c r="C501" s="297" t="inlineStr">
        <is>
          <t>John — Head Chef Week 9</t>
        </is>
      </c>
      <c r="D501" s="298" t="inlineStr">
        <is>
          <t>Payroll</t>
        </is>
      </c>
      <c r="E501" s="297" t="inlineStr">
        <is>
          <t>Staff - Salary</t>
        </is>
      </c>
      <c r="F501" s="299" t="n">
        <v>3750</v>
      </c>
      <c r="G501" s="300" t="inlineStr">
        <is>
          <t>Restaurant</t>
        </is>
      </c>
      <c r="H501" s="300" t="inlineStr">
        <is>
          <t>Cash</t>
        </is>
      </c>
      <c r="I501" s="301" t="inlineStr">
        <is>
          <t>✅ Paid</t>
        </is>
      </c>
      <c r="J501" s="411" t="inlineStr">
        <is>
          <t>Week 9 salary, paid Saturday 18 Jul</t>
        </is>
      </c>
    </row>
    <row r="502">
      <c r="B502" s="296" t="n">
        <v>46221</v>
      </c>
      <c r="C502" s="297" t="inlineStr">
        <is>
          <t>Duvi/Debi — Limpieza Week 9</t>
        </is>
      </c>
      <c r="D502" s="298" t="inlineStr">
        <is>
          <t>Payroll</t>
        </is>
      </c>
      <c r="E502" s="297" t="inlineStr">
        <is>
          <t>Staff - Salary</t>
        </is>
      </c>
      <c r="F502" s="299" t="n">
        <v>1500</v>
      </c>
      <c r="G502" s="300" t="inlineStr">
        <is>
          <t>Restaurant</t>
        </is>
      </c>
      <c r="H502" s="300" t="inlineStr">
        <is>
          <t>Cash</t>
        </is>
      </c>
      <c r="I502" s="301" t="inlineStr">
        <is>
          <t>✅ Paid</t>
        </is>
      </c>
      <c r="J502" s="411" t="inlineStr">
        <is>
          <t>Week 9 salary, paid Saturday 18 Jul (full week)</t>
        </is>
      </c>
    </row>
    <row r="503">
      <c r="B503" s="296" t="n">
        <v>46223</v>
      </c>
      <c r="C503" s="297" t="inlineStr">
        <is>
          <t>Milk (Oxxo)</t>
        </is>
      </c>
      <c r="D503" s="298" t="inlineStr">
        <is>
          <t>OXXO</t>
        </is>
      </c>
      <c r="E503" s="297" t="inlineStr">
        <is>
          <t>Ingredients - Dairy</t>
        </is>
      </c>
      <c r="F503" s="299" t="n">
        <v>36</v>
      </c>
      <c r="G503" s="300" t="inlineStr">
        <is>
          <t>Restaurant</t>
        </is>
      </c>
      <c r="H503" s="300" t="inlineStr">
        <is>
          <t>Cash</t>
        </is>
      </c>
      <c r="I503" s="301" t="inlineStr">
        <is>
          <t>✅ Paid</t>
        </is>
      </c>
      <c r="J503" s="411" t="inlineStr">
        <is>
          <t>No receipt; cash</t>
        </is>
      </c>
    </row>
    <row r="504">
      <c r="B504" s="296" t="n">
        <v>46223</v>
      </c>
      <c r="C504" s="297" t="inlineStr">
        <is>
          <t>Bistec</t>
        </is>
      </c>
      <c r="D504" s="298" t="inlineStr">
        <is>
          <t>No bill</t>
        </is>
      </c>
      <c r="E504" s="297" t="inlineStr">
        <is>
          <t>Ingredients - Meat</t>
        </is>
      </c>
      <c r="F504" s="299" t="n">
        <v>290</v>
      </c>
      <c r="G504" s="300" t="inlineStr">
        <is>
          <t>Lohith</t>
        </is>
      </c>
      <c r="H504" s="300" t="inlineStr">
        <is>
          <t>Cash</t>
        </is>
      </c>
      <c r="I504" s="301" t="inlineStr">
        <is>
          <t>✅ Paid</t>
        </is>
      </c>
      <c r="J504" s="411" t="inlineStr">
        <is>
          <t>Pagado por Lohith (bolsillo); reembolsable via Owner Ledger; no de la caja</t>
        </is>
      </c>
    </row>
    <row r="505">
      <c r="B505" s="296" t="n">
        <v>46223</v>
      </c>
      <c r="C505" s="297" t="inlineStr">
        <is>
          <t>Pollo</t>
        </is>
      </c>
      <c r="D505" s="298" t="inlineStr">
        <is>
          <t>No bill</t>
        </is>
      </c>
      <c r="E505" s="297" t="inlineStr">
        <is>
          <t>Ingredients - Meat</t>
        </is>
      </c>
      <c r="F505" s="299" t="n">
        <v>89</v>
      </c>
      <c r="G505" s="300" t="inlineStr">
        <is>
          <t>Lohith</t>
        </is>
      </c>
      <c r="H505" s="300" t="inlineStr">
        <is>
          <t>Cash</t>
        </is>
      </c>
      <c r="I505" s="301" t="inlineStr">
        <is>
          <t>✅ Paid</t>
        </is>
      </c>
      <c r="J505" s="411" t="inlineStr">
        <is>
          <t>Pagado por Lohith (bolsillo); reembolsable via Owner Ledger; no de la caja</t>
        </is>
      </c>
    </row>
    <row r="506">
      <c r="B506" s="296" t="n">
        <v>46223</v>
      </c>
      <c r="C506" s="297" t="inlineStr">
        <is>
          <t>Agua natural</t>
        </is>
      </c>
      <c r="D506" s="298" t="inlineStr">
        <is>
          <t>No bill</t>
        </is>
      </c>
      <c r="E506" s="297" t="inlineStr">
        <is>
          <t>Ingredients - Beverages</t>
        </is>
      </c>
      <c r="F506" s="299" t="n">
        <v>30</v>
      </c>
      <c r="G506" s="300" t="inlineStr">
        <is>
          <t>Restaurant</t>
        </is>
      </c>
      <c r="H506" s="300" t="inlineStr">
        <is>
          <t>Cash</t>
        </is>
      </c>
      <c r="I506" s="301" t="inlineStr">
        <is>
          <t>✅ Paid</t>
        </is>
      </c>
      <c r="J506" s="411" t="inlineStr">
        <is>
          <t>No receipt; cash</t>
        </is>
      </c>
    </row>
    <row r="507">
      <c r="B507" s="296" t="n">
        <v>46223</v>
      </c>
      <c r="C507" s="297" t="inlineStr">
        <is>
          <t>Hielo (Oxxo)</t>
        </is>
      </c>
      <c r="D507" s="298" t="inlineStr">
        <is>
          <t>OXXO</t>
        </is>
      </c>
      <c r="E507" s="297" t="inlineStr">
        <is>
          <t>Kitchen Supplies</t>
        </is>
      </c>
      <c r="F507" s="299" t="n">
        <v>54</v>
      </c>
      <c r="G507" s="300" t="inlineStr">
        <is>
          <t>Lohith</t>
        </is>
      </c>
      <c r="H507" s="300" t="inlineStr">
        <is>
          <t>Cash</t>
        </is>
      </c>
      <c r="I507" s="301" t="inlineStr">
        <is>
          <t>✅ Paid</t>
        </is>
      </c>
      <c r="J507" s="411" t="inlineStr">
        <is>
          <t>Pagado por Lohith (bolsillo); reembolsable via Owner Ledger; no de la caja</t>
        </is>
      </c>
    </row>
    <row r="508">
      <c r="B508" s="296" t="n">
        <v>46223</v>
      </c>
      <c r="C508" s="297" t="inlineStr">
        <is>
          <t>Hielos (mercado)</t>
        </is>
      </c>
      <c r="D508" s="298" t="inlineStr">
        <is>
          <t>No bill</t>
        </is>
      </c>
      <c r="E508" s="297" t="inlineStr">
        <is>
          <t>Kitchen Supplies</t>
        </is>
      </c>
      <c r="F508" s="299" t="n">
        <v>200</v>
      </c>
      <c r="G508" s="300" t="inlineStr">
        <is>
          <t>Restaurant</t>
        </is>
      </c>
      <c r="H508" s="300" t="inlineStr">
        <is>
          <t>Cash</t>
        </is>
      </c>
      <c r="I508" s="301" t="inlineStr">
        <is>
          <t>✅ Paid</t>
        </is>
      </c>
      <c r="J508" s="411" t="inlineStr">
        <is>
          <t>No receipt; cash</t>
        </is>
      </c>
    </row>
    <row r="509">
      <c r="B509" s="296" t="n">
        <v>46223</v>
      </c>
      <c r="C509" s="297" t="inlineStr">
        <is>
          <t>Sam's Club (varios)</t>
        </is>
      </c>
      <c r="D509" s="298" t="inlineStr">
        <is>
          <t>Sam's Club</t>
        </is>
      </c>
      <c r="E509" s="297" t="inlineStr">
        <is>
          <t>Supermarket/General</t>
        </is>
      </c>
      <c r="F509" s="299" t="n">
        <v>1760</v>
      </c>
      <c r="G509" s="300" t="inlineStr">
        <is>
          <t>Restaurant</t>
        </is>
      </c>
      <c r="H509" s="300" t="inlineStr">
        <is>
          <t>Card</t>
        </is>
      </c>
      <c r="I509" s="301" t="inlineStr">
        <is>
          <t>✅ Paid</t>
        </is>
      </c>
      <c r="J509" s="411" t="inlineStr">
        <is>
          <t>No receipt provided; restaurant-paid</t>
        </is>
      </c>
    </row>
    <row r="510">
      <c r="B510" s="296" t="n">
        <v>46221</v>
      </c>
      <c r="C510" s="297" t="inlineStr">
        <is>
          <t>Vegetables</t>
        </is>
      </c>
      <c r="D510" s="298" t="inlineStr">
        <is>
          <t>No bill</t>
        </is>
      </c>
      <c r="E510" s="297" t="inlineStr">
        <is>
          <t>Ingredients - Vegetables</t>
        </is>
      </c>
      <c r="F510" s="299" t="n">
        <v>1520</v>
      </c>
      <c r="G510" s="300" t="inlineStr">
        <is>
          <t>Restaurant</t>
        </is>
      </c>
      <c r="H510" s="300" t="inlineStr">
        <is>
          <t>Cash</t>
        </is>
      </c>
      <c r="I510" s="301" t="inlineStr">
        <is>
          <t>✅ Paid</t>
        </is>
      </c>
      <c r="J510" s="411" t="inlineStr">
        <is>
          <t>No receipt; cash; added later (Saturday expense)</t>
        </is>
      </c>
    </row>
    <row r="511">
      <c r="B511" s="296" t="n">
        <v>46224</v>
      </c>
      <c r="C511" s="297" t="inlineStr">
        <is>
          <t>Jamon</t>
        </is>
      </c>
      <c r="D511" s="298" t="inlineStr">
        <is>
          <t>No bill</t>
        </is>
      </c>
      <c r="E511" s="297" t="inlineStr">
        <is>
          <t>Ingredients - Meat</t>
        </is>
      </c>
      <c r="F511" s="299" t="n">
        <v>174</v>
      </c>
      <c r="G511" s="300" t="inlineStr">
        <is>
          <t>Restaurant</t>
        </is>
      </c>
      <c r="H511" s="300" t="inlineStr">
        <is>
          <t>Cash</t>
        </is>
      </c>
      <c r="I511" s="301" t="inlineStr">
        <is>
          <t>✅ Paid</t>
        </is>
      </c>
      <c r="J511" s="411" t="inlineStr">
        <is>
          <t>No receipt; cash</t>
        </is>
      </c>
    </row>
    <row r="512">
      <c r="B512" s="296" t="n">
        <v>46224</v>
      </c>
      <c r="C512" s="297" t="inlineStr">
        <is>
          <t>Carnes</t>
        </is>
      </c>
      <c r="D512" s="298" t="inlineStr">
        <is>
          <t>No bill</t>
        </is>
      </c>
      <c r="E512" s="297" t="inlineStr">
        <is>
          <t>Ingredients - Meat</t>
        </is>
      </c>
      <c r="F512" s="299" t="n">
        <v>562</v>
      </c>
      <c r="G512" s="300" t="inlineStr">
        <is>
          <t>Restaurant</t>
        </is>
      </c>
      <c r="H512" s="300" t="inlineStr">
        <is>
          <t>Cash</t>
        </is>
      </c>
      <c r="I512" s="301" t="inlineStr">
        <is>
          <t>✅ Paid</t>
        </is>
      </c>
      <c r="J512" s="411" t="inlineStr">
        <is>
          <t>No receipt; cash</t>
        </is>
      </c>
    </row>
    <row r="513">
      <c r="B513" s="296" t="n">
        <v>46224</v>
      </c>
      <c r="C513" s="297" t="inlineStr">
        <is>
          <t>Carne de hamburguesa</t>
        </is>
      </c>
      <c r="D513" s="298" t="inlineStr">
        <is>
          <t>No bill</t>
        </is>
      </c>
      <c r="E513" s="297" t="inlineStr">
        <is>
          <t>Ingredients - Meat</t>
        </is>
      </c>
      <c r="F513" s="299" t="n">
        <v>380</v>
      </c>
      <c r="G513" s="300" t="inlineStr">
        <is>
          <t>Restaurant</t>
        </is>
      </c>
      <c r="H513" s="300" t="inlineStr">
        <is>
          <t>Cash</t>
        </is>
      </c>
      <c r="I513" s="301" t="inlineStr">
        <is>
          <t>✅ Paid</t>
        </is>
      </c>
      <c r="J513" s="411" t="inlineStr">
        <is>
          <t>No receipt; cash</t>
        </is>
      </c>
    </row>
    <row r="514">
      <c r="B514" s="296" t="n">
        <v>46224</v>
      </c>
      <c r="C514" s="297" t="inlineStr">
        <is>
          <t>Arroz (Oxxo)</t>
        </is>
      </c>
      <c r="D514" s="298" t="inlineStr">
        <is>
          <t>OXXO</t>
        </is>
      </c>
      <c r="E514" s="297" t="inlineStr">
        <is>
          <t>Ingredients - Pantry</t>
        </is>
      </c>
      <c r="F514" s="299" t="n">
        <v>26</v>
      </c>
      <c r="G514" s="300" t="inlineStr">
        <is>
          <t>Restaurant</t>
        </is>
      </c>
      <c r="H514" s="300" t="inlineStr">
        <is>
          <t>Cash</t>
        </is>
      </c>
      <c r="I514" s="301" t="inlineStr">
        <is>
          <t>✅ Paid</t>
        </is>
      </c>
      <c r="J514" s="411" t="inlineStr">
        <is>
          <t>No receipt; cash</t>
        </is>
      </c>
    </row>
    <row r="515">
      <c r="B515" s="296" t="n">
        <v>46224</v>
      </c>
      <c r="C515" s="297" t="inlineStr">
        <is>
          <t>Chedraui (varios)</t>
        </is>
      </c>
      <c r="D515" s="298" t="inlineStr">
        <is>
          <t>Chedraui</t>
        </is>
      </c>
      <c r="E515" s="297" t="inlineStr">
        <is>
          <t>Supermarket/General</t>
        </is>
      </c>
      <c r="F515" s="299" t="n">
        <v>116</v>
      </c>
      <c r="G515" s="300" t="inlineStr">
        <is>
          <t>Restaurant</t>
        </is>
      </c>
      <c r="H515" s="300" t="inlineStr">
        <is>
          <t>Cash</t>
        </is>
      </c>
      <c r="I515" s="301" t="inlineStr">
        <is>
          <t>✅ Paid</t>
        </is>
      </c>
      <c r="J515" s="411" t="inlineStr">
        <is>
          <t>No receipt provided; cash</t>
        </is>
      </c>
    </row>
    <row r="516">
      <c r="B516" s="296" t="n">
        <v>46224</v>
      </c>
      <c r="C516" s="297" t="inlineStr">
        <is>
          <t>Pollo</t>
        </is>
      </c>
      <c r="D516" s="298" t="inlineStr">
        <is>
          <t>No bill</t>
        </is>
      </c>
      <c r="E516" s="297" t="inlineStr">
        <is>
          <t>Ingredients - Meat</t>
        </is>
      </c>
      <c r="F516" s="299" t="n">
        <v>939</v>
      </c>
      <c r="G516" s="300" t="inlineStr">
        <is>
          <t>Restaurant</t>
        </is>
      </c>
      <c r="H516" s="300" t="inlineStr">
        <is>
          <t>Cash</t>
        </is>
      </c>
      <c r="I516" s="301" t="inlineStr">
        <is>
          <t>✅ Paid</t>
        </is>
      </c>
      <c r="J516" s="411" t="inlineStr">
        <is>
          <t>No receipt; cash</t>
        </is>
      </c>
    </row>
    <row r="517">
      <c r="B517" s="296" t="n">
        <v>46225</v>
      </c>
      <c r="C517" s="297" t="inlineStr">
        <is>
          <t>Avia Reca (bebidas)</t>
        </is>
      </c>
      <c r="D517" s="298" t="inlineStr">
        <is>
          <t>Reca</t>
        </is>
      </c>
      <c r="E517" s="297" t="inlineStr">
        <is>
          <t>Ingredients - Beverages</t>
        </is>
      </c>
      <c r="F517" s="299" t="n">
        <v>300</v>
      </c>
      <c r="G517" s="300" t="inlineStr">
        <is>
          <t>Restaurant</t>
        </is>
      </c>
      <c r="H517" s="300" t="inlineStr">
        <is>
          <t>Cash</t>
        </is>
      </c>
      <c r="I517" s="301" t="inlineStr">
        <is>
          <t>✅ Paid</t>
        </is>
      </c>
      <c r="J517" s="411" t="inlineStr">
        <is>
          <t>Marca de bebidas; gasto operativo recurrente de inventario de bebidas.</t>
        </is>
      </c>
    </row>
    <row r="518">
      <c r="B518" s="296" t="n">
        <v>46225</v>
      </c>
      <c r="C518" s="297" t="inlineStr">
        <is>
          <t>Carnes</t>
        </is>
      </c>
      <c r="D518" s="298" t="inlineStr">
        <is>
          <t>No bill</t>
        </is>
      </c>
      <c r="E518" s="297" t="inlineStr">
        <is>
          <t>Ingredients - Meat</t>
        </is>
      </c>
      <c r="F518" s="299" t="n">
        <v>833</v>
      </c>
      <c r="G518" s="300" t="inlineStr">
        <is>
          <t>Restaurant</t>
        </is>
      </c>
      <c r="H518" s="300" t="inlineStr">
        <is>
          <t>Cash</t>
        </is>
      </c>
      <c r="I518" s="301" t="inlineStr">
        <is>
          <t>✅ Paid</t>
        </is>
      </c>
      <c r="J518" s="411" t="inlineStr">
        <is>
          <t>No receipt; cash</t>
        </is>
      </c>
    </row>
    <row r="519">
      <c r="B519" s="296" t="n">
        <v>46225</v>
      </c>
      <c r="C519" s="297" t="inlineStr">
        <is>
          <t>Elote (Oxxo)</t>
        </is>
      </c>
      <c r="D519" s="298" t="inlineStr">
        <is>
          <t>OXXO</t>
        </is>
      </c>
      <c r="E519" s="297" t="inlineStr">
        <is>
          <t>Ingredients - Vegetables</t>
        </is>
      </c>
      <c r="F519" s="299" t="n">
        <v>20</v>
      </c>
      <c r="G519" s="300" t="inlineStr">
        <is>
          <t>Restaurant</t>
        </is>
      </c>
      <c r="H519" s="300" t="inlineStr">
        <is>
          <t>Cash</t>
        </is>
      </c>
      <c r="I519" s="301" t="inlineStr">
        <is>
          <t>✅ Paid</t>
        </is>
      </c>
      <c r="J519" s="411" t="inlineStr">
        <is>
          <t>No receipt; cash</t>
        </is>
      </c>
    </row>
    <row r="520">
      <c r="B520" s="296" t="n">
        <v>46225</v>
      </c>
      <c r="C520" s="297" t="inlineStr">
        <is>
          <t>Tilapia</t>
        </is>
      </c>
      <c r="D520" s="298" t="inlineStr">
        <is>
          <t>Brisa del Mar</t>
        </is>
      </c>
      <c r="E520" s="297" t="inlineStr">
        <is>
          <t>Ingredients - Meat &amp; Fish</t>
        </is>
      </c>
      <c r="F520" s="299" t="n">
        <v>366</v>
      </c>
      <c r="G520" s="300" t="inlineStr">
        <is>
          <t>Restaurant</t>
        </is>
      </c>
      <c r="H520" s="300" t="inlineStr">
        <is>
          <t>Cash</t>
        </is>
      </c>
      <c r="I520" s="301" t="inlineStr">
        <is>
          <t>✅ Paid</t>
        </is>
      </c>
      <c r="J520" s="411" t="inlineStr">
        <is>
          <t>No receipt; cash; pescado</t>
        </is>
      </c>
    </row>
    <row r="521">
      <c r="B521" s="296" t="n">
        <v>46225</v>
      </c>
      <c r="C521" s="297" t="inlineStr">
        <is>
          <t>Pollo</t>
        </is>
      </c>
      <c r="D521" s="298" t="inlineStr">
        <is>
          <t>No bill</t>
        </is>
      </c>
      <c r="E521" s="297" t="inlineStr">
        <is>
          <t>Ingredients - Meat</t>
        </is>
      </c>
      <c r="F521" s="299" t="n">
        <v>234</v>
      </c>
      <c r="G521" s="300" t="inlineStr">
        <is>
          <t>Lohith</t>
        </is>
      </c>
      <c r="H521" s="300" t="inlineStr">
        <is>
          <t>Cash</t>
        </is>
      </c>
      <c r="I521" s="301" t="inlineStr">
        <is>
          <t>✅ Paid</t>
        </is>
      </c>
      <c r="J521" s="411" t="inlineStr">
        <is>
          <t>Pagado por Lohith (bolsillo); reembolsable via Owner Ledger; no de la caja</t>
        </is>
      </c>
    </row>
    <row r="522">
      <c r="B522" s="296" t="n">
        <v>46225</v>
      </c>
      <c r="C522" s="297" t="inlineStr">
        <is>
          <t>Soft Restaurant app subscription</t>
        </is>
      </c>
      <c r="D522" s="298" t="inlineStr">
        <is>
          <t>Soft Restaurant</t>
        </is>
      </c>
      <c r="E522" s="297" t="inlineStr">
        <is>
          <t>Utilities/Internet</t>
        </is>
      </c>
      <c r="F522" s="299" t="n">
        <v>810</v>
      </c>
      <c r="G522" s="300" t="inlineStr">
        <is>
          <t>Restaurant</t>
        </is>
      </c>
      <c r="H522" s="300" t="inlineStr">
        <is>
          <t>Cash</t>
        </is>
      </c>
      <c r="I522" s="301" t="inlineStr">
        <is>
          <t>✅ Paid</t>
        </is>
      </c>
      <c r="J522" s="411" t="inlineStr">
        <is>
          <t>Suscripcion MENSUAL recurrente del software POS Soft Restaurant. Gasto OPERATIVO (no capital) - se repite cada mes.</t>
        </is>
      </c>
    </row>
    <row r="523">
      <c r="B523" s="296" t="n">
        <v>46225</v>
      </c>
      <c r="C523" s="297" t="inlineStr">
        <is>
          <t>Groceries (Tres B)</t>
        </is>
      </c>
      <c r="D523" s="298" t="inlineStr">
        <is>
          <t>Tres B</t>
        </is>
      </c>
      <c r="E523" s="297" t="inlineStr">
        <is>
          <t>Supermarket/General</t>
        </is>
      </c>
      <c r="F523" s="299" t="n">
        <v>1186</v>
      </c>
      <c r="G523" s="300" t="inlineStr">
        <is>
          <t>Restaurant</t>
        </is>
      </c>
      <c r="H523" s="300" t="inlineStr">
        <is>
          <t>Cash</t>
        </is>
      </c>
      <c r="I523" s="301" t="inlineStr">
        <is>
          <t>✅ Paid</t>
        </is>
      </c>
      <c r="J523" s="411" t="inlineStr">
        <is>
          <t>No receipt provided; cash; abarrotes</t>
        </is>
      </c>
    </row>
    <row r="524">
      <c r="B524" s="296" t="n">
        <v>46225</v>
      </c>
      <c r="C524" s="297" t="inlineStr">
        <is>
          <t>Agua natural</t>
        </is>
      </c>
      <c r="D524" s="298" t="inlineStr">
        <is>
          <t>No bill</t>
        </is>
      </c>
      <c r="E524" s="297" t="inlineStr">
        <is>
          <t>Ingredients - Beverages</t>
        </is>
      </c>
      <c r="F524" s="299" t="n">
        <v>70</v>
      </c>
      <c r="G524" s="300" t="inlineStr">
        <is>
          <t>Restaurant</t>
        </is>
      </c>
      <c r="H524" s="300" t="inlineStr">
        <is>
          <t>Cash</t>
        </is>
      </c>
      <c r="I524" s="301" t="inlineStr">
        <is>
          <t>✅ Paid</t>
        </is>
      </c>
      <c r="J524" s="411" t="inlineStr">
        <is>
          <t>No receipt; cash</t>
        </is>
      </c>
    </row>
    <row r="525">
      <c r="B525" s="296" t="n">
        <v>46226</v>
      </c>
      <c r="C525" s="297" t="inlineStr">
        <is>
          <t>Vegetables</t>
        </is>
      </c>
      <c r="D525" s="298" t="inlineStr">
        <is>
          <t>No bill</t>
        </is>
      </c>
      <c r="E525" s="297" t="inlineStr">
        <is>
          <t>Ingredients - Vegetables</t>
        </is>
      </c>
      <c r="F525" s="299" t="n">
        <v>105</v>
      </c>
      <c r="G525" s="300" t="inlineStr">
        <is>
          <t>Restaurant</t>
        </is>
      </c>
      <c r="H525" s="300" t="inlineStr">
        <is>
          <t>Cash</t>
        </is>
      </c>
      <c r="I525" s="301" t="inlineStr">
        <is>
          <t>✅ Paid</t>
        </is>
      </c>
      <c r="J525" s="411" t="inlineStr">
        <is>
          <t>No receipt; cash</t>
        </is>
      </c>
    </row>
    <row r="526">
      <c r="B526" s="296" t="n">
        <v>46226</v>
      </c>
      <c r="C526" s="297" t="inlineStr">
        <is>
          <t>Carnes</t>
        </is>
      </c>
      <c r="D526" s="298" t="inlineStr">
        <is>
          <t>No bill</t>
        </is>
      </c>
      <c r="E526" s="297" t="inlineStr">
        <is>
          <t>Ingredients - Meat</t>
        </is>
      </c>
      <c r="F526" s="299" t="n">
        <v>600</v>
      </c>
      <c r="G526" s="300" t="inlineStr">
        <is>
          <t>Restaurant</t>
        </is>
      </c>
      <c r="H526" s="300" t="inlineStr">
        <is>
          <t>Cash</t>
        </is>
      </c>
      <c r="I526" s="301" t="inlineStr">
        <is>
          <t>✅ Paid</t>
        </is>
      </c>
      <c r="J526" s="411" t="inlineStr">
        <is>
          <t>No receipt; cash</t>
        </is>
      </c>
    </row>
    <row r="527">
      <c r="B527" s="296" t="n">
        <v>46226</v>
      </c>
      <c r="C527" s="297" t="inlineStr">
        <is>
          <t>Pollo</t>
        </is>
      </c>
      <c r="D527" s="298" t="inlineStr">
        <is>
          <t>No bill</t>
        </is>
      </c>
      <c r="E527" s="297" t="inlineStr">
        <is>
          <t>Ingredients - Meat</t>
        </is>
      </c>
      <c r="F527" s="299" t="n">
        <v>220</v>
      </c>
      <c r="G527" s="300" t="inlineStr">
        <is>
          <t>Restaurant</t>
        </is>
      </c>
      <c r="H527" s="300" t="inlineStr">
        <is>
          <t>Cash</t>
        </is>
      </c>
      <c r="I527" s="301" t="inlineStr">
        <is>
          <t>✅ Paid</t>
        </is>
      </c>
      <c r="J527" s="411" t="inlineStr">
        <is>
          <t>No receipt; cash</t>
        </is>
      </c>
    </row>
    <row r="528">
      <c r="B528" s="296" t="n">
        <v>46226</v>
      </c>
      <c r="C528" s="297" t="inlineStr">
        <is>
          <t>Vasos plast. 12 + Reyma tapas + bolsa negra + stretch film</t>
        </is>
      </c>
      <c r="D528" s="298" t="inlineStr">
        <is>
          <t>Guimar Polietilenos</t>
        </is>
      </c>
      <c r="E528" s="297" t="inlineStr">
        <is>
          <t>Packaging/Disposables</t>
        </is>
      </c>
      <c r="F528" s="299" t="n">
        <v>1544.98</v>
      </c>
      <c r="G528" s="300" t="inlineStr">
        <is>
          <t>Restaurant</t>
        </is>
      </c>
      <c r="H528" s="300" t="inlineStr">
        <is>
          <t>Card</t>
        </is>
      </c>
      <c r="I528" s="301" t="inlineStr">
        <is>
          <t>✅ Paid</t>
        </is>
      </c>
      <c r="J528" s="411" t="inlineStr">
        <is>
          <t>Folio AK93904 10:48. Pagado con tarjeta de Lohith pero YA reembolsado con dinero del restaurante -&gt; gasto del restaurante, sin entrada en Owner Ledger.</t>
        </is>
      </c>
    </row>
    <row r="529">
      <c r="B529" s="296" t="n">
        <v>46226</v>
      </c>
      <c r="C529" s="297" t="inlineStr">
        <is>
          <t>Elote Herdez, agua mineral, detergente 5kg, tortillas, bolillo, rosca de nuez</t>
        </is>
      </c>
      <c r="D529" s="298" t="inlineStr">
        <is>
          <t>Chedraui Selecto</t>
        </is>
      </c>
      <c r="E529" s="297" t="inlineStr">
        <is>
          <t>Supermarket/General</t>
        </is>
      </c>
      <c r="F529" s="299" t="n">
        <v>515.4</v>
      </c>
      <c r="G529" s="300" t="inlineStr">
        <is>
          <t>Restaurant</t>
        </is>
      </c>
      <c r="H529" s="300" t="inlineStr">
        <is>
          <t>Card</t>
        </is>
      </c>
      <c r="I529" s="301" t="inlineStr">
        <is>
          <t>✅ Paid</t>
        </is>
      </c>
      <c r="J529" s="411" t="inlineStr">
        <is>
          <t>Debito BBVA ***3982 AUT 006060; 23-Jul 11:34; 16 articulos</t>
        </is>
      </c>
    </row>
    <row r="530">
      <c r="B530" s="296" t="n">
        <v>46226</v>
      </c>
      <c r="C530" s="297" t="inlineStr">
        <is>
          <t>Contenedor termico 8x8D + papel alimenticio + bolsa poliseda + bolsa en rollo</t>
        </is>
      </c>
      <c r="D530" s="298" t="inlineStr">
        <is>
          <t>Guimar Polietilenos</t>
        </is>
      </c>
      <c r="E530" s="297" t="inlineStr">
        <is>
          <t>Packaging/Disposables</t>
        </is>
      </c>
      <c r="F530" s="299" t="n">
        <v>1481.45</v>
      </c>
      <c r="G530" s="300" t="inlineStr">
        <is>
          <t>Restaurant</t>
        </is>
      </c>
      <c r="H530" s="300" t="inlineStr">
        <is>
          <t>Card</t>
        </is>
      </c>
      <c r="I530" s="301" t="inlineStr">
        <is>
          <t>✅ Paid</t>
        </is>
      </c>
      <c r="J530" s="411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296" t="n">
        <v>46226</v>
      </c>
      <c r="C531" s="297" t="inlineStr">
        <is>
          <t>Arroz (Oxxo)</t>
        </is>
      </c>
      <c r="D531" s="298" t="inlineStr">
        <is>
          <t>OXXO</t>
        </is>
      </c>
      <c r="E531" s="297" t="inlineStr">
        <is>
          <t>Ingredients - Pantry</t>
        </is>
      </c>
      <c r="F531" s="299" t="n">
        <v>35</v>
      </c>
      <c r="G531" s="300" t="inlineStr">
        <is>
          <t>Restaurant</t>
        </is>
      </c>
      <c r="H531" s="300" t="inlineStr">
        <is>
          <t>Cash</t>
        </is>
      </c>
      <c r="I531" s="301" t="inlineStr">
        <is>
          <t>✅ Paid</t>
        </is>
      </c>
      <c r="J531" s="411" t="inlineStr">
        <is>
          <t>No receipt; cash</t>
        </is>
      </c>
    </row>
    <row r="532">
      <c r="B532" s="296" t="n">
        <v>46226</v>
      </c>
      <c r="C532" s="297" t="inlineStr">
        <is>
          <t>Pan y salsas</t>
        </is>
      </c>
      <c r="D532" s="298" t="inlineStr">
        <is>
          <t>Pan Reales</t>
        </is>
      </c>
      <c r="E532" s="297" t="inlineStr">
        <is>
          <t>Ingredients - Bread</t>
        </is>
      </c>
      <c r="F532" s="299" t="n">
        <v>847</v>
      </c>
      <c r="G532" s="300" t="inlineStr">
        <is>
          <t>Restaurant</t>
        </is>
      </c>
      <c r="H532" s="300" t="inlineStr">
        <is>
          <t>Cash</t>
        </is>
      </c>
      <c r="I532" s="301" t="inlineStr">
        <is>
          <t>✅ Paid</t>
        </is>
      </c>
      <c r="J532" s="411" t="inlineStr">
        <is>
          <t>No receipt; cash</t>
        </is>
      </c>
    </row>
    <row r="533">
      <c r="B533" s="296" t="n">
        <v>46227</v>
      </c>
      <c r="C533" s="297" t="inlineStr">
        <is>
          <t>Pan molido</t>
        </is>
      </c>
      <c r="D533" s="298" t="inlineStr">
        <is>
          <t>No bill</t>
        </is>
      </c>
      <c r="E533" s="297" t="inlineStr">
        <is>
          <t>Ingredients - Bread</t>
        </is>
      </c>
      <c r="F533" s="299" t="n">
        <v>72</v>
      </c>
      <c r="G533" s="300" t="inlineStr">
        <is>
          <t>Restaurant</t>
        </is>
      </c>
      <c r="H533" s="300" t="inlineStr">
        <is>
          <t>Cash</t>
        </is>
      </c>
      <c r="I533" s="301" t="inlineStr">
        <is>
          <t>✅ Paid</t>
        </is>
      </c>
      <c r="J533" s="411" t="inlineStr">
        <is>
          <t>No receipt; cash; breadcrumbs</t>
        </is>
      </c>
    </row>
    <row r="534">
      <c r="B534" s="296" t="n">
        <v>46227</v>
      </c>
      <c r="C534" s="297" t="inlineStr">
        <is>
          <t>Azucar (Oxxo)</t>
        </is>
      </c>
      <c r="D534" s="298" t="inlineStr">
        <is>
          <t>OXXO</t>
        </is>
      </c>
      <c r="E534" s="297" t="inlineStr">
        <is>
          <t>Ingredients - Pantry</t>
        </is>
      </c>
      <c r="F534" s="299" t="n">
        <v>24</v>
      </c>
      <c r="G534" s="300" t="inlineStr">
        <is>
          <t>Restaurant</t>
        </is>
      </c>
      <c r="H534" s="300" t="inlineStr">
        <is>
          <t>Cash</t>
        </is>
      </c>
      <c r="I534" s="301" t="inlineStr">
        <is>
          <t>✅ Paid</t>
        </is>
      </c>
      <c r="J534" s="411" t="inlineStr">
        <is>
          <t>No receipt; cash</t>
        </is>
      </c>
    </row>
    <row r="535">
      <c r="B535" s="296" t="n">
        <v>46227</v>
      </c>
      <c r="C535" s="297" t="inlineStr">
        <is>
          <t>Queso panela</t>
        </is>
      </c>
      <c r="D535" s="298" t="inlineStr">
        <is>
          <t>No bill</t>
        </is>
      </c>
      <c r="E535" s="297" t="inlineStr">
        <is>
          <t>Ingredients - Dairy</t>
        </is>
      </c>
      <c r="F535" s="299" t="n">
        <v>590</v>
      </c>
      <c r="G535" s="300" t="inlineStr">
        <is>
          <t>Restaurant</t>
        </is>
      </c>
      <c r="H535" s="300" t="inlineStr">
        <is>
          <t>Cash</t>
        </is>
      </c>
      <c r="I535" s="301" t="inlineStr">
        <is>
          <t>✅ Paid</t>
        </is>
      </c>
      <c r="J535" s="411" t="inlineStr">
        <is>
          <t>No receipt; cash</t>
        </is>
      </c>
    </row>
    <row r="536">
      <c r="B536" s="296" t="n">
        <v>46227</v>
      </c>
      <c r="C536" s="297" t="inlineStr">
        <is>
          <t>Samu — Ayudante Week 10</t>
        </is>
      </c>
      <c r="D536" s="298" t="inlineStr">
        <is>
          <t>Payroll</t>
        </is>
      </c>
      <c r="E536" s="297" t="inlineStr">
        <is>
          <t>Staff - Salary</t>
        </is>
      </c>
      <c r="F536" s="299" t="n">
        <v>1200</v>
      </c>
      <c r="G536" s="300" t="inlineStr">
        <is>
          <t>Restaurant</t>
        </is>
      </c>
      <c r="H536" s="300" t="inlineStr">
        <is>
          <t>Cash</t>
        </is>
      </c>
      <c r="I536" s="301" t="inlineStr">
        <is>
          <t>✅ Paid</t>
        </is>
      </c>
      <c r="J536" s="411" t="inlineStr">
        <is>
          <t>Week 10 salary, paid Friday 24 Jul</t>
        </is>
      </c>
    </row>
    <row r="537">
      <c r="B537" s="296" t="n">
        <v>46228</v>
      </c>
      <c r="C537" s="297" t="inlineStr">
        <is>
          <t>Vegetables</t>
        </is>
      </c>
      <c r="D537" s="298" t="inlineStr">
        <is>
          <t>No bill</t>
        </is>
      </c>
      <c r="E537" s="297" t="inlineStr">
        <is>
          <t>Ingredients - Vegetables</t>
        </is>
      </c>
      <c r="F537" s="299" t="n">
        <v>150</v>
      </c>
      <c r="G537" s="300" t="inlineStr">
        <is>
          <t>Restaurant</t>
        </is>
      </c>
      <c r="H537" s="300" t="inlineStr">
        <is>
          <t>Cash</t>
        </is>
      </c>
      <c r="I537" s="301" t="inlineStr">
        <is>
          <t>✅ Paid</t>
        </is>
      </c>
      <c r="J537" s="411" t="inlineStr">
        <is>
          <t>No receipt; cash</t>
        </is>
      </c>
    </row>
    <row r="538">
      <c r="B538" s="296" t="n">
        <v>46228</v>
      </c>
      <c r="C538" s="297" t="inlineStr">
        <is>
          <t>Carne bistec</t>
        </is>
      </c>
      <c r="D538" s="298" t="inlineStr">
        <is>
          <t>No bill</t>
        </is>
      </c>
      <c r="E538" s="297" t="inlineStr">
        <is>
          <t>Ingredients - Meat</t>
        </is>
      </c>
      <c r="F538" s="299" t="n">
        <v>284</v>
      </c>
      <c r="G538" s="300" t="inlineStr">
        <is>
          <t>Restaurant</t>
        </is>
      </c>
      <c r="H538" s="300" t="inlineStr">
        <is>
          <t>Cash</t>
        </is>
      </c>
      <c r="I538" s="301" t="inlineStr">
        <is>
          <t>✅ Paid</t>
        </is>
      </c>
      <c r="J538" s="411" t="inlineStr">
        <is>
          <t>No receipt; cash</t>
        </is>
      </c>
    </row>
    <row r="539">
      <c r="B539" s="296" t="n">
        <v>46228</v>
      </c>
      <c r="C539" s="297" t="inlineStr">
        <is>
          <t>Pollo</t>
        </is>
      </c>
      <c r="D539" s="298" t="inlineStr">
        <is>
          <t>No bill</t>
        </is>
      </c>
      <c r="E539" s="297" t="inlineStr">
        <is>
          <t>Ingredients - Meat</t>
        </is>
      </c>
      <c r="F539" s="299" t="n">
        <v>905</v>
      </c>
      <c r="G539" s="300" t="inlineStr">
        <is>
          <t>Restaurant</t>
        </is>
      </c>
      <c r="H539" s="300" t="inlineStr">
        <is>
          <t>Cash</t>
        </is>
      </c>
      <c r="I539" s="301" t="inlineStr">
        <is>
          <t>✅ Paid</t>
        </is>
      </c>
      <c r="J539" s="411" t="inlineStr">
        <is>
          <t>No receipt; cash</t>
        </is>
      </c>
    </row>
    <row r="540">
      <c r="B540" s="296" t="n">
        <v>46228</v>
      </c>
      <c r="C540" s="297" t="inlineStr">
        <is>
          <t>Azucar (Oxxo)</t>
        </is>
      </c>
      <c r="D540" s="298" t="inlineStr">
        <is>
          <t>OXXO</t>
        </is>
      </c>
      <c r="E540" s="297" t="inlineStr">
        <is>
          <t>Ingredients - Pantry</t>
        </is>
      </c>
      <c r="F540" s="299" t="n">
        <v>24</v>
      </c>
      <c r="G540" s="300" t="inlineStr">
        <is>
          <t>Restaurant</t>
        </is>
      </c>
      <c r="H540" s="300" t="inlineStr">
        <is>
          <t>Cash</t>
        </is>
      </c>
      <c r="I540" s="301" t="inlineStr">
        <is>
          <t>✅ Paid</t>
        </is>
      </c>
      <c r="J540" s="411" t="inlineStr">
        <is>
          <t>No receipt; cash</t>
        </is>
      </c>
    </row>
    <row r="541">
      <c r="B541" s="296" t="n">
        <v>46228</v>
      </c>
      <c r="C541" s="297" t="inlineStr">
        <is>
          <t>John — Head Chef Week 10</t>
        </is>
      </c>
      <c r="D541" s="298" t="inlineStr">
        <is>
          <t>Payroll</t>
        </is>
      </c>
      <c r="E541" s="297" t="inlineStr">
        <is>
          <t>Staff - Salary</t>
        </is>
      </c>
      <c r="F541" s="299" t="n">
        <v>3750</v>
      </c>
      <c r="G541" s="300" t="inlineStr">
        <is>
          <t>Restaurant</t>
        </is>
      </c>
      <c r="H541" s="300" t="inlineStr">
        <is>
          <t>Cash</t>
        </is>
      </c>
      <c r="I541" s="301" t="inlineStr">
        <is>
          <t>✅ Paid</t>
        </is>
      </c>
      <c r="J541" s="411" t="inlineStr">
        <is>
          <t>Week 10 salary, paid Saturday 25 Jul</t>
        </is>
      </c>
    </row>
    <row r="542">
      <c r="B542" s="296" t="n">
        <v>46228</v>
      </c>
      <c r="C542" s="297" t="inlineStr">
        <is>
          <t>Duvi/Debi — Limpieza Week 10</t>
        </is>
      </c>
      <c r="D542" s="298" t="inlineStr">
        <is>
          <t>Payroll</t>
        </is>
      </c>
      <c r="E542" s="297" t="inlineStr">
        <is>
          <t>Staff - Salary</t>
        </is>
      </c>
      <c r="F542" s="299" t="n">
        <v>1500</v>
      </c>
      <c r="G542" s="300" t="inlineStr">
        <is>
          <t>Restaurant</t>
        </is>
      </c>
      <c r="H542" s="300" t="inlineStr">
        <is>
          <t>Cash</t>
        </is>
      </c>
      <c r="I542" s="301" t="inlineStr">
        <is>
          <t>✅ Paid</t>
        </is>
      </c>
      <c r="J542" s="411" t="inlineStr">
        <is>
          <t>Week 10 salary, paid Saturday 25 Jul (full week)</t>
        </is>
      </c>
    </row>
    <row r="543">
      <c r="B543" s="296" t="n">
        <v>46229</v>
      </c>
      <c r="C543" s="297" t="inlineStr">
        <is>
          <t>Vegetables (Central de Abastos)</t>
        </is>
      </c>
      <c r="D543" s="298" t="inlineStr">
        <is>
          <t>Central de Abastos</t>
        </is>
      </c>
      <c r="E543" s="297" t="inlineStr">
        <is>
          <t>Ingredients - Vegetables</t>
        </is>
      </c>
      <c r="F543" s="299" t="n">
        <v>1832</v>
      </c>
      <c r="G543" s="300" t="inlineStr">
        <is>
          <t>Restaurant</t>
        </is>
      </c>
      <c r="H543" s="300" t="inlineStr">
        <is>
          <t>Cash</t>
        </is>
      </c>
      <c r="I543" s="301" t="inlineStr">
        <is>
          <t>✅ Paid</t>
        </is>
      </c>
      <c r="J543" s="411" t="inlineStr">
        <is>
          <t>No receipt; cash; compra semanal (domingo, restaurante cerrado)</t>
        </is>
      </c>
    </row>
    <row r="544">
      <c r="B544" s="296" t="n">
        <v>46229</v>
      </c>
      <c r="C544" s="297" t="inlineStr">
        <is>
          <t>Arroz (Oxxo)</t>
        </is>
      </c>
      <c r="D544" s="298" t="inlineStr">
        <is>
          <t>OXXO</t>
        </is>
      </c>
      <c r="E544" s="297" t="inlineStr">
        <is>
          <t>Ingredients - Pantry</t>
        </is>
      </c>
      <c r="F544" s="299" t="n">
        <v>78</v>
      </c>
      <c r="G544" s="300" t="inlineStr">
        <is>
          <t>Restaurant</t>
        </is>
      </c>
      <c r="H544" s="300" t="inlineStr">
        <is>
          <t>Cash</t>
        </is>
      </c>
      <c r="I544" s="301" t="inlineStr">
        <is>
          <t>✅ Paid</t>
        </is>
      </c>
      <c r="J544" s="411" t="inlineStr">
        <is>
          <t>No receipt; cash; domingo shopping</t>
        </is>
      </c>
    </row>
    <row r="545">
      <c r="B545" s="296" t="n">
        <v>46229</v>
      </c>
      <c r="C545" s="297" t="inlineStr">
        <is>
          <t>Sam's Club (varios)</t>
        </is>
      </c>
      <c r="D545" s="298" t="inlineStr">
        <is>
          <t>Sam's Club</t>
        </is>
      </c>
      <c r="E545" s="297" t="inlineStr">
        <is>
          <t>Supermarket/General</t>
        </is>
      </c>
      <c r="F545" s="299" t="n">
        <v>1157</v>
      </c>
      <c r="G545" s="300" t="inlineStr">
        <is>
          <t>Restaurant</t>
        </is>
      </c>
      <c r="H545" s="300" t="inlineStr">
        <is>
          <t>Card</t>
        </is>
      </c>
      <c r="I545" s="301" t="inlineStr">
        <is>
          <t>✅ Paid</t>
        </is>
      </c>
      <c r="J545" s="411" t="inlineStr">
        <is>
          <t>No receipt provided; restaurant-paid; domingo shopping</t>
        </is>
      </c>
    </row>
    <row r="546">
      <c r="B546" s="296" t="n">
        <v>46230</v>
      </c>
      <c r="C546" s="297" t="inlineStr">
        <is>
          <t>Agua Natural</t>
        </is>
      </c>
      <c r="D546" s="298" t="inlineStr">
        <is>
          <t>No bill</t>
        </is>
      </c>
      <c r="E546" s="297" t="inlineStr">
        <is>
          <t>Ingredients - Beverages</t>
        </is>
      </c>
      <c r="F546" s="299" t="n">
        <v>60</v>
      </c>
      <c r="G546" s="300" t="inlineStr">
        <is>
          <t>Restaurant</t>
        </is>
      </c>
      <c r="H546" s="300" t="inlineStr">
        <is>
          <t>Cash</t>
        </is>
      </c>
      <c r="I546" s="301" t="inlineStr">
        <is>
          <t>✅ Paid</t>
        </is>
      </c>
      <c r="J546" s="411" t="inlineStr">
        <is>
          <t>No receipt; cash</t>
        </is>
      </c>
    </row>
    <row r="547">
      <c r="B547" s="296" t="n">
        <v>46230</v>
      </c>
      <c r="C547" s="297" t="inlineStr">
        <is>
          <t>Sams Club</t>
        </is>
      </c>
      <c r="D547" s="298" t="inlineStr">
        <is>
          <t>Sam's Club</t>
        </is>
      </c>
      <c r="E547" s="297" t="inlineStr">
        <is>
          <t>Supermarket/General</t>
        </is>
      </c>
      <c r="F547" s="299" t="n">
        <v>491</v>
      </c>
      <c r="G547" s="300" t="inlineStr">
        <is>
          <t>Restaurant</t>
        </is>
      </c>
      <c r="H547" s="300" t="inlineStr">
        <is>
          <t>Cash</t>
        </is>
      </c>
      <c r="I547" s="301" t="inlineStr">
        <is>
          <t>✅ Paid</t>
        </is>
      </c>
      <c r="J547" s="411" t="inlineStr">
        <is>
          <t>No receipt; cash</t>
        </is>
      </c>
    </row>
    <row r="548">
      <c r="B548" s="296" t="n">
        <v>46230</v>
      </c>
      <c r="C548" s="297" t="inlineStr">
        <is>
          <t>Chedruai</t>
        </is>
      </c>
      <c r="D548" s="298" t="inlineStr">
        <is>
          <t>Chedraui</t>
        </is>
      </c>
      <c r="E548" s="297" t="inlineStr">
        <is>
          <t>Supermarket/General</t>
        </is>
      </c>
      <c r="F548" s="299" t="n">
        <v>377</v>
      </c>
      <c r="G548" s="300" t="inlineStr">
        <is>
          <t>Restaurant</t>
        </is>
      </c>
      <c r="H548" s="300" t="inlineStr">
        <is>
          <t>Cash</t>
        </is>
      </c>
      <c r="I548" s="301" t="inlineStr">
        <is>
          <t>✅ Paid</t>
        </is>
      </c>
      <c r="J548" s="411" t="inlineStr">
        <is>
          <t>No receipt; cash</t>
        </is>
      </c>
    </row>
    <row r="549">
      <c r="B549" s="296" t="n">
        <v>46231</v>
      </c>
      <c r="C549" s="297" t="inlineStr">
        <is>
          <t>Utensils Sushi Kit</t>
        </is>
      </c>
      <c r="D549" s="298" t="inlineStr">
        <is>
          <t>No bill</t>
        </is>
      </c>
      <c r="E549" s="297" t="inlineStr">
        <is>
          <t>Kitchen Supplies</t>
        </is>
      </c>
      <c r="F549" s="299" t="n">
        <v>521</v>
      </c>
      <c r="G549" s="300" t="inlineStr">
        <is>
          <t>Restaurant</t>
        </is>
      </c>
      <c r="H549" s="300" t="inlineStr">
        <is>
          <t>Cash</t>
        </is>
      </c>
      <c r="I549" s="301" t="inlineStr">
        <is>
          <t>✅ Paid</t>
        </is>
      </c>
      <c r="J549" s="411" t="inlineStr">
        <is>
          <t>No receipt; cash</t>
        </is>
      </c>
    </row>
    <row r="550">
      <c r="B550" s="296" t="n">
        <v>46231</v>
      </c>
      <c r="C550" s="297" t="inlineStr">
        <is>
          <t>Chedraui</t>
        </is>
      </c>
      <c r="D550" s="298" t="inlineStr">
        <is>
          <t>Chedraui</t>
        </is>
      </c>
      <c r="E550" s="297" t="inlineStr">
        <is>
          <t>Supermarket/General</t>
        </is>
      </c>
      <c r="F550" s="299" t="n">
        <v>82</v>
      </c>
      <c r="G550" s="300" t="inlineStr">
        <is>
          <t>Restaurant</t>
        </is>
      </c>
      <c r="H550" s="300" t="inlineStr">
        <is>
          <t>Cash</t>
        </is>
      </c>
      <c r="I550" s="301" t="inlineStr">
        <is>
          <t>✅ Paid</t>
        </is>
      </c>
      <c r="J550" s="411" t="inlineStr">
        <is>
          <t>No receipt; cash</t>
        </is>
      </c>
    </row>
    <row r="551">
      <c r="B551" s="296" t="n">
        <v>46231</v>
      </c>
      <c r="C551" s="297" t="inlineStr">
        <is>
          <t>Carne</t>
        </is>
      </c>
      <c r="D551" s="298" t="inlineStr">
        <is>
          <t>No bill</t>
        </is>
      </c>
      <c r="E551" s="297" t="inlineStr">
        <is>
          <t>Ingredients - Meat</t>
        </is>
      </c>
      <c r="F551" s="299" t="n">
        <v>505</v>
      </c>
      <c r="G551" s="300" t="inlineStr">
        <is>
          <t>Restaurant</t>
        </is>
      </c>
      <c r="H551" s="300" t="inlineStr">
        <is>
          <t>Cash</t>
        </is>
      </c>
      <c r="I551" s="301" t="inlineStr">
        <is>
          <t>✅ Paid</t>
        </is>
      </c>
      <c r="J551" s="411" t="inlineStr">
        <is>
          <t>No receipt; cash</t>
        </is>
      </c>
    </row>
    <row r="552">
      <c r="B552" s="296" t="n">
        <v>46231</v>
      </c>
      <c r="C552" s="297" t="inlineStr">
        <is>
          <t>Pollo</t>
        </is>
      </c>
      <c r="D552" s="298" t="inlineStr">
        <is>
          <t>No bill</t>
        </is>
      </c>
      <c r="E552" s="297" t="inlineStr">
        <is>
          <t>Ingredients - Meat</t>
        </is>
      </c>
      <c r="F552" s="299" t="n">
        <v>396</v>
      </c>
      <c r="G552" s="300" t="inlineStr">
        <is>
          <t>Lohith</t>
        </is>
      </c>
      <c r="H552" s="300" t="inlineStr">
        <is>
          <t>Cash</t>
        </is>
      </c>
      <c r="I552" s="301" t="inlineStr">
        <is>
          <t>✅ Paid</t>
        </is>
      </c>
      <c r="J552" s="411" t="inlineStr">
        <is>
          <t>Pagado por Lohith (bolsillo); reembolsable via Owner Ledger</t>
        </is>
      </c>
    </row>
    <row r="553">
      <c r="B553" s="296" t="n">
        <v>46232</v>
      </c>
      <c r="C553" s="297" t="inlineStr">
        <is>
          <t>Vegetables</t>
        </is>
      </c>
      <c r="D553" s="298" t="inlineStr">
        <is>
          <t>No bill</t>
        </is>
      </c>
      <c r="E553" s="297" t="inlineStr">
        <is>
          <t>Ingredients - Vegetables</t>
        </is>
      </c>
      <c r="F553" s="299" t="n">
        <v>101</v>
      </c>
      <c r="G553" s="300" t="inlineStr">
        <is>
          <t>Restaurant</t>
        </is>
      </c>
      <c r="H553" s="300" t="inlineStr">
        <is>
          <t>Cash</t>
        </is>
      </c>
      <c r="I553" s="301" t="inlineStr">
        <is>
          <t>✅ Paid</t>
        </is>
      </c>
      <c r="J553" s="411" t="inlineStr">
        <is>
          <t>No receipt; cash</t>
        </is>
      </c>
    </row>
    <row r="554">
      <c r="B554" s="296" t="n">
        <v>46232</v>
      </c>
      <c r="C554" s="297" t="inlineStr">
        <is>
          <t>Carne</t>
        </is>
      </c>
      <c r="D554" s="298" t="inlineStr">
        <is>
          <t>No bill</t>
        </is>
      </c>
      <c r="E554" s="297" t="inlineStr">
        <is>
          <t>Ingredients - Meat</t>
        </is>
      </c>
      <c r="F554" s="299" t="n">
        <v>312</v>
      </c>
      <c r="G554" s="300" t="inlineStr">
        <is>
          <t>Restaurant</t>
        </is>
      </c>
      <c r="H554" s="300" t="inlineStr">
        <is>
          <t>Cash</t>
        </is>
      </c>
      <c r="I554" s="301" t="inlineStr">
        <is>
          <t>✅ Paid</t>
        </is>
      </c>
      <c r="J554" s="411" t="inlineStr">
        <is>
          <t>No receipt; cash</t>
        </is>
      </c>
    </row>
    <row r="555">
      <c r="B555" s="296" t="n">
        <v>46232</v>
      </c>
      <c r="C555" s="297" t="inlineStr">
        <is>
          <t>Atun</t>
        </is>
      </c>
      <c r="D555" s="298" t="inlineStr">
        <is>
          <t>No bill</t>
        </is>
      </c>
      <c r="E555" s="297" t="inlineStr">
        <is>
          <t>Supplies/Other</t>
        </is>
      </c>
      <c r="F555" s="299" t="n">
        <v>250</v>
      </c>
      <c r="G555" s="300" t="inlineStr">
        <is>
          <t>Restaurant</t>
        </is>
      </c>
      <c r="H555" s="300" t="inlineStr">
        <is>
          <t>Cash</t>
        </is>
      </c>
      <c r="I555" s="301" t="inlineStr">
        <is>
          <t>✅ Paid</t>
        </is>
      </c>
      <c r="J555" s="411" t="inlineStr">
        <is>
          <t>No receipt; cash</t>
        </is>
      </c>
    </row>
    <row r="556">
      <c r="B556" s="296" t="n">
        <v>46232</v>
      </c>
      <c r="C556" s="297" t="inlineStr">
        <is>
          <t>Pan Reales</t>
        </is>
      </c>
      <c r="D556" s="298" t="inlineStr">
        <is>
          <t>Pan Reales</t>
        </is>
      </c>
      <c r="E556" s="297" t="inlineStr">
        <is>
          <t>Ingredients - Bread</t>
        </is>
      </c>
      <c r="F556" s="299" t="n">
        <v>722</v>
      </c>
      <c r="G556" s="300" t="inlineStr">
        <is>
          <t>Restaurant</t>
        </is>
      </c>
      <c r="H556" s="300" t="inlineStr">
        <is>
          <t>Cash</t>
        </is>
      </c>
      <c r="I556" s="301" t="inlineStr">
        <is>
          <t>✅ Paid</t>
        </is>
      </c>
      <c r="J556" s="411" t="inlineStr">
        <is>
          <t>No receipt; cash</t>
        </is>
      </c>
    </row>
    <row r="557">
      <c r="B557" s="296" t="n">
        <v>46232</v>
      </c>
      <c r="C557" s="297" t="inlineStr">
        <is>
          <t>Chedraui Mantequilla</t>
        </is>
      </c>
      <c r="D557" s="298" t="inlineStr">
        <is>
          <t>Chedraui</t>
        </is>
      </c>
      <c r="E557" s="297" t="inlineStr">
        <is>
          <t>Supermarket/General</t>
        </is>
      </c>
      <c r="F557" s="299" t="n">
        <v>50</v>
      </c>
      <c r="G557" s="300" t="inlineStr">
        <is>
          <t>Restaurant</t>
        </is>
      </c>
      <c r="H557" s="300" t="inlineStr">
        <is>
          <t>Cash</t>
        </is>
      </c>
      <c r="I557" s="301" t="inlineStr">
        <is>
          <t>✅ Paid</t>
        </is>
      </c>
      <c r="J557" s="411" t="inlineStr">
        <is>
          <t>No receipt; cash</t>
        </is>
      </c>
    </row>
    <row r="558">
      <c r="B558" s="296" t="n">
        <v>46232</v>
      </c>
      <c r="C558" s="297" t="inlineStr">
        <is>
          <t>Arroz Sushi HEB</t>
        </is>
      </c>
      <c r="D558" s="298" t="inlineStr">
        <is>
          <t>H-E-B</t>
        </is>
      </c>
      <c r="E558" s="297" t="inlineStr">
        <is>
          <t>Supermarket/General</t>
        </is>
      </c>
      <c r="F558" s="299" t="n">
        <v>60</v>
      </c>
      <c r="G558" s="300" t="inlineStr">
        <is>
          <t>Lohith</t>
        </is>
      </c>
      <c r="H558" s="300" t="inlineStr">
        <is>
          <t>Cash</t>
        </is>
      </c>
      <c r="I558" s="301" t="inlineStr">
        <is>
          <t>✅ Paid</t>
        </is>
      </c>
      <c r="J558" s="411" t="inlineStr">
        <is>
          <t>Pagado por Lohith (bolsillo); reembolsable via Owner Ledger</t>
        </is>
      </c>
    </row>
    <row r="559">
      <c r="B559" s="296" t="n">
        <v>46233</v>
      </c>
      <c r="C559" s="297" t="inlineStr">
        <is>
          <t>Pollo</t>
        </is>
      </c>
      <c r="D559" s="298" t="inlineStr">
        <is>
          <t>No bill</t>
        </is>
      </c>
      <c r="E559" s="297" t="inlineStr">
        <is>
          <t>Ingredients - Meat</t>
        </is>
      </c>
      <c r="F559" s="299" t="n">
        <v>188</v>
      </c>
      <c r="G559" s="300" t="inlineStr">
        <is>
          <t>Lohith</t>
        </is>
      </c>
      <c r="H559" s="300" t="inlineStr">
        <is>
          <t>Cash</t>
        </is>
      </c>
      <c r="I559" s="301" t="inlineStr">
        <is>
          <t>✅ Paid</t>
        </is>
      </c>
      <c r="J559" s="411" t="inlineStr">
        <is>
          <t>Pagado por Lohith (bolsillo); reembolsable via Owner Ledger</t>
        </is>
      </c>
    </row>
    <row r="560">
      <c r="B560" s="296" t="n">
        <v>46233</v>
      </c>
      <c r="C560" s="297" t="inlineStr">
        <is>
          <t>Chedraui</t>
        </is>
      </c>
      <c r="D560" s="298" t="inlineStr">
        <is>
          <t>Chedraui</t>
        </is>
      </c>
      <c r="E560" s="297" t="inlineStr">
        <is>
          <t>Supermarket/General</t>
        </is>
      </c>
      <c r="F560" s="299" t="n">
        <v>80</v>
      </c>
      <c r="G560" s="300" t="inlineStr">
        <is>
          <t>Lohith</t>
        </is>
      </c>
      <c r="H560" s="300" t="inlineStr">
        <is>
          <t>Cash</t>
        </is>
      </c>
      <c r="I560" s="301" t="inlineStr">
        <is>
          <t>✅ Paid</t>
        </is>
      </c>
      <c r="J560" s="411" t="inlineStr">
        <is>
          <t>Pagado por Lohith (bolsillo); reembolsable via Owner Ledger</t>
        </is>
      </c>
    </row>
    <row r="561">
      <c r="B561" s="296" t="n">
        <v>46234</v>
      </c>
      <c r="C561" s="297" t="inlineStr">
        <is>
          <t>Pescado</t>
        </is>
      </c>
      <c r="D561" s="298" t="inlineStr">
        <is>
          <t>No bill</t>
        </is>
      </c>
      <c r="E561" s="297" t="inlineStr">
        <is>
          <t>Ingredients - Meat &amp; Fish</t>
        </is>
      </c>
      <c r="F561" s="299" t="n">
        <v>248</v>
      </c>
      <c r="G561" s="300" t="inlineStr">
        <is>
          <t>Restaurant</t>
        </is>
      </c>
      <c r="H561" s="300" t="inlineStr">
        <is>
          <t>Cash</t>
        </is>
      </c>
      <c r="I561" s="301" t="inlineStr">
        <is>
          <t>✅ Paid</t>
        </is>
      </c>
      <c r="J561" s="411" t="inlineStr">
        <is>
          <t>No receipt; cash</t>
        </is>
      </c>
    </row>
    <row r="562">
      <c r="B562" s="296" t="n">
        <v>46234</v>
      </c>
      <c r="C562" s="297" t="inlineStr">
        <is>
          <t>Tomato</t>
        </is>
      </c>
      <c r="D562" s="298" t="inlineStr">
        <is>
          <t>No bill</t>
        </is>
      </c>
      <c r="E562" s="297" t="inlineStr">
        <is>
          <t>Ingredients - Vegetables</t>
        </is>
      </c>
      <c r="F562" s="299" t="n">
        <v>38</v>
      </c>
      <c r="G562" s="300" t="inlineStr">
        <is>
          <t>Restaurant</t>
        </is>
      </c>
      <c r="H562" s="300" t="inlineStr">
        <is>
          <t>Cash</t>
        </is>
      </c>
      <c r="I562" s="301" t="inlineStr">
        <is>
          <t>✅ Paid</t>
        </is>
      </c>
      <c r="J562" s="411" t="inlineStr">
        <is>
          <t>No receipt; cash</t>
        </is>
      </c>
    </row>
    <row r="563">
      <c r="B563" s="296" t="n">
        <v>46234</v>
      </c>
      <c r="C563" s="297" t="inlineStr">
        <is>
          <t>Clorox</t>
        </is>
      </c>
      <c r="D563" s="298" t="inlineStr">
        <is>
          <t>No bill</t>
        </is>
      </c>
      <c r="E563" s="297" t="inlineStr">
        <is>
          <t>Kitchen Supplies</t>
        </is>
      </c>
      <c r="F563" s="299" t="n">
        <v>68</v>
      </c>
      <c r="G563" s="300" t="inlineStr">
        <is>
          <t>Restaurant</t>
        </is>
      </c>
      <c r="H563" s="300" t="inlineStr">
        <is>
          <t>Cash</t>
        </is>
      </c>
      <c r="I563" s="301" t="inlineStr">
        <is>
          <t>✅ Paid</t>
        </is>
      </c>
      <c r="J563" s="411" t="inlineStr">
        <is>
          <t>No receipt; cash</t>
        </is>
      </c>
    </row>
    <row r="564">
      <c r="B564" s="296" t="n">
        <v>46234</v>
      </c>
      <c r="C564" s="297" t="inlineStr">
        <is>
          <t>Mango</t>
        </is>
      </c>
      <c r="D564" s="298" t="inlineStr">
        <is>
          <t>No bill</t>
        </is>
      </c>
      <c r="E564" s="297" t="inlineStr">
        <is>
          <t>Ingredients - Vegetables</t>
        </is>
      </c>
      <c r="F564" s="299" t="n">
        <v>79</v>
      </c>
      <c r="G564" s="300" t="inlineStr">
        <is>
          <t>Restaurant</t>
        </is>
      </c>
      <c r="H564" s="300" t="inlineStr">
        <is>
          <t>Cash</t>
        </is>
      </c>
      <c r="I564" s="301" t="inlineStr">
        <is>
          <t>✅ Paid</t>
        </is>
      </c>
      <c r="J564" s="411" t="inlineStr">
        <is>
          <t>No receipt; cash</t>
        </is>
      </c>
    </row>
    <row r="565">
      <c r="B565" s="296" t="n">
        <v>46234</v>
      </c>
      <c r="C565" s="297" t="inlineStr">
        <is>
          <t>Hielo</t>
        </is>
      </c>
      <c r="D565" s="298" t="inlineStr">
        <is>
          <t>No bill</t>
        </is>
      </c>
      <c r="E565" s="297" t="inlineStr">
        <is>
          <t>Kitchen Supplies</t>
        </is>
      </c>
      <c r="F565" s="299" t="n">
        <v>250</v>
      </c>
      <c r="G565" s="300" t="inlineStr">
        <is>
          <t>Restaurant</t>
        </is>
      </c>
      <c r="H565" s="300" t="inlineStr">
        <is>
          <t>Cash</t>
        </is>
      </c>
      <c r="I565" s="301" t="inlineStr">
        <is>
          <t>✅ Paid</t>
        </is>
      </c>
      <c r="J565" s="411" t="inlineStr">
        <is>
          <t>No receipt; cash</t>
        </is>
      </c>
    </row>
    <row r="566">
      <c r="B566" s="296" t="n">
        <v>46234</v>
      </c>
      <c r="C566" s="297" t="inlineStr">
        <is>
          <t>Lemon</t>
        </is>
      </c>
      <c r="D566" s="298" t="inlineStr">
        <is>
          <t>No bill</t>
        </is>
      </c>
      <c r="E566" s="297" t="inlineStr">
        <is>
          <t>Ingredients - Vegetables</t>
        </is>
      </c>
      <c r="F566" s="299" t="n">
        <v>32</v>
      </c>
      <c r="G566" s="300" t="inlineStr">
        <is>
          <t>Restaurant</t>
        </is>
      </c>
      <c r="H566" s="300" t="inlineStr">
        <is>
          <t>Cash</t>
        </is>
      </c>
      <c r="I566" s="301" t="inlineStr">
        <is>
          <t>✅ Paid</t>
        </is>
      </c>
      <c r="J566" s="411" t="inlineStr">
        <is>
          <t>No receipt; cash</t>
        </is>
      </c>
    </row>
    <row r="567">
      <c r="B567" s="296" t="n">
        <v>46234</v>
      </c>
      <c r="C567" s="297" t="inlineStr">
        <is>
          <t>Oxxo Arroz</t>
        </is>
      </c>
      <c r="D567" s="298" t="inlineStr">
        <is>
          <t>OXXO</t>
        </is>
      </c>
      <c r="E567" s="297" t="inlineStr">
        <is>
          <t>Ingredients - Pantry</t>
        </is>
      </c>
      <c r="F567" s="299" t="n">
        <v>78</v>
      </c>
      <c r="G567" s="300" t="inlineStr">
        <is>
          <t>Lohith</t>
        </is>
      </c>
      <c r="H567" s="300" t="inlineStr">
        <is>
          <t>Cash</t>
        </is>
      </c>
      <c r="I567" s="301" t="inlineStr">
        <is>
          <t>✅ Paid</t>
        </is>
      </c>
      <c r="J567" s="411" t="inlineStr">
        <is>
          <t>Pagado por Lohith (bolsillo); reembolsable via Owner Ledger</t>
        </is>
      </c>
    </row>
    <row r="568">
      <c r="B568" s="296" t="n">
        <v>46234</v>
      </c>
      <c r="C568" s="297" t="inlineStr">
        <is>
          <t>Samu - salary</t>
        </is>
      </c>
      <c r="D568" s="298" t="inlineStr">
        <is>
          <t>Payroll</t>
        </is>
      </c>
      <c r="E568" s="297" t="inlineStr">
        <is>
          <t>Staff - Salary</t>
        </is>
      </c>
      <c r="F568" s="299" t="n">
        <v>1200</v>
      </c>
      <c r="G568" s="300" t="inlineStr">
        <is>
          <t>Restaurant</t>
        </is>
      </c>
      <c r="H568" s="300" t="inlineStr">
        <is>
          <t>Cash</t>
        </is>
      </c>
      <c r="I568" s="301" t="inlineStr">
        <is>
          <t>✅ Paid</t>
        </is>
      </c>
      <c r="J568" s="411" t="inlineStr">
        <is>
          <t>Weekly salary</t>
        </is>
      </c>
    </row>
    <row r="569">
      <c r="B569" s="296" t="n">
        <v>46235</v>
      </c>
      <c r="C569" s="297" t="inlineStr">
        <is>
          <t>Potato</t>
        </is>
      </c>
      <c r="D569" s="298" t="inlineStr">
        <is>
          <t>No bill</t>
        </is>
      </c>
      <c r="E569" s="297" t="inlineStr">
        <is>
          <t>Ingredients - Vegetables</t>
        </is>
      </c>
      <c r="F569" s="299" t="n">
        <v>160</v>
      </c>
      <c r="G569" s="300" t="inlineStr">
        <is>
          <t>Restaurant</t>
        </is>
      </c>
      <c r="H569" s="300" t="inlineStr">
        <is>
          <t>Cash</t>
        </is>
      </c>
      <c r="I569" s="301" t="inlineStr">
        <is>
          <t>✅ Paid</t>
        </is>
      </c>
      <c r="J569" s="411" t="inlineStr">
        <is>
          <t>No receipt; cash</t>
        </is>
      </c>
    </row>
    <row r="570">
      <c r="B570" s="296" t="n">
        <v>46235</v>
      </c>
      <c r="C570" s="297" t="inlineStr">
        <is>
          <t>Chedraui</t>
        </is>
      </c>
      <c r="D570" s="298" t="inlineStr">
        <is>
          <t>Chedraui</t>
        </is>
      </c>
      <c r="E570" s="297" t="inlineStr">
        <is>
          <t>Supermarket/General</t>
        </is>
      </c>
      <c r="F570" s="299" t="n">
        <v>148</v>
      </c>
      <c r="G570" s="300" t="inlineStr">
        <is>
          <t>Restaurant</t>
        </is>
      </c>
      <c r="H570" s="300" t="inlineStr">
        <is>
          <t>Cash</t>
        </is>
      </c>
      <c r="I570" s="301" t="inlineStr">
        <is>
          <t>✅ Paid</t>
        </is>
      </c>
      <c r="J570" s="411" t="inlineStr">
        <is>
          <t>No receipt; cash</t>
        </is>
      </c>
    </row>
    <row r="571">
      <c r="B571" s="296" t="n">
        <v>46235</v>
      </c>
      <c r="C571" s="297" t="inlineStr">
        <is>
          <t>Gas</t>
        </is>
      </c>
      <c r="D571" s="298" t="inlineStr">
        <is>
          <t>No bill</t>
        </is>
      </c>
      <c r="E571" s="297" t="inlineStr">
        <is>
          <t>Utilities/Gas</t>
        </is>
      </c>
      <c r="F571" s="299" t="n">
        <v>1500</v>
      </c>
      <c r="G571" s="300" t="inlineStr">
        <is>
          <t>Restaurant</t>
        </is>
      </c>
      <c r="H571" s="300" t="inlineStr">
        <is>
          <t>Cash</t>
        </is>
      </c>
      <c r="I571" s="301" t="inlineStr">
        <is>
          <t>✅ Paid</t>
        </is>
      </c>
      <c r="J571" s="411" t="inlineStr">
        <is>
          <t>No receipt; cash</t>
        </is>
      </c>
    </row>
    <row r="572">
      <c r="B572" s="296" t="n">
        <v>46235</v>
      </c>
      <c r="C572" s="297" t="inlineStr">
        <is>
          <t>Carne</t>
        </is>
      </c>
      <c r="D572" s="298" t="inlineStr">
        <is>
          <t>No bill</t>
        </is>
      </c>
      <c r="E572" s="297" t="inlineStr">
        <is>
          <t>Ingredients - Meat</t>
        </is>
      </c>
      <c r="F572" s="299" t="n">
        <v>150</v>
      </c>
      <c r="G572" s="300" t="inlineStr">
        <is>
          <t>Restaurant</t>
        </is>
      </c>
      <c r="H572" s="300" t="inlineStr">
        <is>
          <t>Cash</t>
        </is>
      </c>
      <c r="I572" s="301" t="inlineStr">
        <is>
          <t>✅ Paid</t>
        </is>
      </c>
      <c r="J572" s="411" t="inlineStr">
        <is>
          <t>No receipt; cash</t>
        </is>
      </c>
    </row>
    <row r="573">
      <c r="B573" s="296" t="n">
        <v>46235</v>
      </c>
      <c r="C573" s="297" t="inlineStr">
        <is>
          <t>Duvi - salary</t>
        </is>
      </c>
      <c r="D573" s="298" t="inlineStr">
        <is>
          <t>Payroll</t>
        </is>
      </c>
      <c r="E573" s="297" t="inlineStr">
        <is>
          <t>Staff - Salary</t>
        </is>
      </c>
      <c r="F573" s="299" t="n">
        <v>1500</v>
      </c>
      <c r="G573" s="300" t="inlineStr">
        <is>
          <t>Restaurant</t>
        </is>
      </c>
      <c r="H573" s="300" t="inlineStr">
        <is>
          <t>Cash</t>
        </is>
      </c>
      <c r="I573" s="301" t="inlineStr">
        <is>
          <t>✅ Paid</t>
        </is>
      </c>
      <c r="J573" s="411" t="inlineStr">
        <is>
          <t>Weekly salary</t>
        </is>
      </c>
    </row>
    <row r="574">
      <c r="B574" s="296" t="n">
        <v>46235</v>
      </c>
      <c r="C574" s="297" t="inlineStr">
        <is>
          <t>Jhon - salary</t>
        </is>
      </c>
      <c r="D574" s="298" t="inlineStr">
        <is>
          <t>Payroll</t>
        </is>
      </c>
      <c r="E574" s="297" t="inlineStr">
        <is>
          <t>Staff - Salary</t>
        </is>
      </c>
      <c r="F574" s="299" t="n">
        <v>3750</v>
      </c>
      <c r="G574" s="300" t="inlineStr">
        <is>
          <t>Restaurant</t>
        </is>
      </c>
      <c r="H574" s="300" t="inlineStr">
        <is>
          <t>Cash</t>
        </is>
      </c>
      <c r="I574" s="301" t="inlineStr">
        <is>
          <t>✅ Paid</t>
        </is>
      </c>
      <c r="J574" s="411" t="inlineStr">
        <is>
          <t>Weekly salary</t>
        </is>
      </c>
    </row>
    <row r="575">
      <c r="B575" s="296" t="n">
        <v>46236</v>
      </c>
      <c r="C575" s="297" t="inlineStr">
        <is>
          <t>Vegetables</t>
        </is>
      </c>
      <c r="D575" s="298" t="inlineStr">
        <is>
          <t>No bill</t>
        </is>
      </c>
      <c r="E575" s="297" t="inlineStr">
        <is>
          <t>Ingredients - Vegetables</t>
        </is>
      </c>
      <c r="F575" s="299" t="n">
        <v>1472</v>
      </c>
      <c r="G575" s="300" t="inlineStr">
        <is>
          <t>Restaurant</t>
        </is>
      </c>
      <c r="H575" s="300" t="inlineStr">
        <is>
          <t>Cash</t>
        </is>
      </c>
      <c r="I575" s="301" t="inlineStr">
        <is>
          <t>✅ Paid</t>
        </is>
      </c>
      <c r="J575" s="411" t="inlineStr">
        <is>
          <t>No receipt; cash</t>
        </is>
      </c>
    </row>
    <row r="576">
      <c r="B576" s="429" t="n">
        <v>46237</v>
      </c>
      <c r="C576" s="297" t="inlineStr">
        <is>
          <t>Pollo</t>
        </is>
      </c>
      <c r="D576" s="298" t="inlineStr">
        <is>
          <t>No bill</t>
        </is>
      </c>
      <c r="E576" s="297" t="inlineStr">
        <is>
          <t>Ingredients - Meat</t>
        </is>
      </c>
      <c r="F576" s="299" t="n">
        <v>1008</v>
      </c>
      <c r="G576" s="300" t="inlineStr">
        <is>
          <t>Lohith</t>
        </is>
      </c>
      <c r="H576" s="300" t="inlineStr">
        <is>
          <t>Cash</t>
        </is>
      </c>
      <c r="I576" s="301" t="inlineStr">
        <is>
          <t>✅ Paid</t>
        </is>
      </c>
      <c r="J576" s="423" t="inlineStr">
        <is>
          <t>Pagado por Lohith (bolsillo); reembolsable via Owner Ledger</t>
        </is>
      </c>
    </row>
    <row r="577">
      <c r="B577" s="429" t="n">
        <v>46238</v>
      </c>
      <c r="C577" s="297" t="inlineStr">
        <is>
          <t>Renta mensual Agosto 2026</t>
        </is>
      </c>
      <c r="D577" s="298" t="inlineStr">
        <is>
          <t>Arrendador</t>
        </is>
      </c>
      <c r="E577" s="297" t="inlineStr">
        <is>
          <t>Rent</t>
        </is>
      </c>
      <c r="F577" s="299" t="n">
        <v>17200.04</v>
      </c>
      <c r="G577" s="300" t="inlineStr">
        <is>
          <t>Capital</t>
        </is>
      </c>
      <c r="H577" s="300" t="inlineStr">
        <is>
          <t>Transfer</t>
        </is>
      </c>
      <c r="I577" s="301" t="inlineStr">
        <is>
          <t>✅ Paid</t>
        </is>
      </c>
      <c r="J577" s="423" t="inlineStr">
        <is>
          <t>Renta contractual 19,066.68/mes. Jun y Jul se pagaron 20,000 c/u = sobrepago 933.32 x2 = 1,866.64, acreditado este mes: 19,066.68 - 1,866.64 = 17,200.04. Pagado con capital de socios. DESDE SEPTIEMBRE la renta mensual es 19,066.68.</t>
        </is>
      </c>
    </row>
    <row r="578">
      <c r="B578" s="429" t="n">
        <v>46238</v>
      </c>
      <c r="C578" s="297" t="inlineStr">
        <is>
          <t>Recibo de luz CFE</t>
        </is>
      </c>
      <c r="D578" s="298" t="inlineStr">
        <is>
          <t>CFE</t>
        </is>
      </c>
      <c r="E578" s="297" t="inlineStr">
        <is>
          <t>Utilities/Electricity</t>
        </is>
      </c>
      <c r="F578" s="299" t="n">
        <v>8789</v>
      </c>
      <c r="G578" s="300" t="inlineStr">
        <is>
          <t>Capital</t>
        </is>
      </c>
      <c r="H578" s="300" t="inlineStr">
        <is>
          <t>Transfer</t>
        </is>
      </c>
      <c r="I578" s="301" t="inlineStr">
        <is>
          <t>✅ Paid</t>
        </is>
      </c>
      <c r="J578" s="423" t="inlineStr">
        <is>
          <t>Recibo de luz pagado con capital de socios.</t>
        </is>
      </c>
    </row>
    <row r="579">
      <c r="B579" s="429" t="n">
        <v>46238</v>
      </c>
      <c r="C579" s="297" t="inlineStr">
        <is>
          <t>Oxxo Tortillas</t>
        </is>
      </c>
      <c r="D579" s="298" t="inlineStr">
        <is>
          <t>OXXO</t>
        </is>
      </c>
      <c r="E579" s="297" t="inlineStr">
        <is>
          <t>Ingredients - Bread</t>
        </is>
      </c>
      <c r="F579" s="299" t="n">
        <v>29</v>
      </c>
      <c r="G579" s="300" t="inlineStr">
        <is>
          <t>Restaurant</t>
        </is>
      </c>
      <c r="H579" s="300" t="inlineStr">
        <is>
          <t>Cash</t>
        </is>
      </c>
      <c r="I579" s="301" t="inlineStr">
        <is>
          <t>✅ Paid</t>
        </is>
      </c>
      <c r="J579" s="423" t="inlineStr">
        <is>
          <t>No receipt; cash</t>
        </is>
      </c>
    </row>
    <row r="580">
      <c r="B580" s="429" t="n">
        <v>46238</v>
      </c>
      <c r="C580" s="297" t="inlineStr">
        <is>
          <t>Oxxo Arroz</t>
        </is>
      </c>
      <c r="D580" s="298" t="inlineStr">
        <is>
          <t>OXXO</t>
        </is>
      </c>
      <c r="E580" s="297" t="inlineStr">
        <is>
          <t>Ingredients - Pantry</t>
        </is>
      </c>
      <c r="F580" s="299" t="n">
        <v>78</v>
      </c>
      <c r="G580" s="300" t="inlineStr">
        <is>
          <t>Restaurant</t>
        </is>
      </c>
      <c r="H580" s="300" t="inlineStr">
        <is>
          <t>Cash</t>
        </is>
      </c>
      <c r="I580" s="301" t="inlineStr">
        <is>
          <t>✅ Paid</t>
        </is>
      </c>
      <c r="J580" s="423" t="inlineStr">
        <is>
          <t>No receipt; cash</t>
        </is>
      </c>
    </row>
    <row r="581">
      <c r="B581" s="429" t="n">
        <v>46238</v>
      </c>
      <c r="C581" s="297" t="inlineStr">
        <is>
          <t>Jamon</t>
        </is>
      </c>
      <c r="D581" s="298" t="inlineStr">
        <is>
          <t>No bill</t>
        </is>
      </c>
      <c r="E581" s="297" t="inlineStr">
        <is>
          <t>Ingredients - Meat</t>
        </is>
      </c>
      <c r="F581" s="299" t="n">
        <v>173</v>
      </c>
      <c r="G581" s="300" t="inlineStr">
        <is>
          <t>Restaurant</t>
        </is>
      </c>
      <c r="H581" s="300" t="inlineStr">
        <is>
          <t>Cash</t>
        </is>
      </c>
      <c r="I581" s="301" t="inlineStr">
        <is>
          <t>✅ Paid</t>
        </is>
      </c>
      <c r="J581" s="423" t="inlineStr">
        <is>
          <t>No receipt; cash</t>
        </is>
      </c>
    </row>
    <row r="582">
      <c r="B582" s="429" t="n">
        <v>46238</v>
      </c>
      <c r="C582" s="297" t="inlineStr">
        <is>
          <t>Carne</t>
        </is>
      </c>
      <c r="D582" s="298" t="inlineStr">
        <is>
          <t>No bill</t>
        </is>
      </c>
      <c r="E582" s="297" t="inlineStr">
        <is>
          <t>Ingredients - Meat</t>
        </is>
      </c>
      <c r="F582" s="299" t="n">
        <v>1809</v>
      </c>
      <c r="G582" s="300" t="inlineStr">
        <is>
          <t>Restaurant</t>
        </is>
      </c>
      <c r="H582" s="300" t="inlineStr">
        <is>
          <t>Cash</t>
        </is>
      </c>
      <c r="I582" s="301" t="inlineStr">
        <is>
          <t>✅ Paid</t>
        </is>
      </c>
      <c r="J582" s="423" t="inlineStr">
        <is>
          <t>No receipt; cash</t>
        </is>
      </c>
    </row>
    <row r="583">
      <c r="B583" s="429" t="n">
        <v>46238</v>
      </c>
      <c r="C583" s="297" t="inlineStr">
        <is>
          <t>Agua Natural</t>
        </is>
      </c>
      <c r="D583" s="298" t="inlineStr">
        <is>
          <t>No bill</t>
        </is>
      </c>
      <c r="E583" s="297" t="inlineStr">
        <is>
          <t>Ingredients - Beverages</t>
        </is>
      </c>
      <c r="F583" s="299" t="n">
        <v>45</v>
      </c>
      <c r="G583" s="300" t="inlineStr">
        <is>
          <t>Restaurant</t>
        </is>
      </c>
      <c r="H583" s="300" t="inlineStr">
        <is>
          <t>Cash</t>
        </is>
      </c>
      <c r="I583" s="301" t="inlineStr">
        <is>
          <t>✅ Paid</t>
        </is>
      </c>
      <c r="J583" s="423" t="inlineStr">
        <is>
          <t>No receipt; cash</t>
        </is>
      </c>
    </row>
    <row r="584">
      <c r="B584" s="429" t="n">
        <v>46238</v>
      </c>
      <c r="C584" s="297" t="inlineStr">
        <is>
          <t>Guimar Deschables</t>
        </is>
      </c>
      <c r="D584" s="298" t="inlineStr">
        <is>
          <t>Guimar Polietilenos</t>
        </is>
      </c>
      <c r="E584" s="297" t="inlineStr">
        <is>
          <t>Packaging/Disposables</t>
        </is>
      </c>
      <c r="F584" s="299" t="n">
        <v>145</v>
      </c>
      <c r="G584" s="300" t="inlineStr">
        <is>
          <t>Restaurant</t>
        </is>
      </c>
      <c r="H584" s="300" t="inlineStr">
        <is>
          <t>Cash</t>
        </is>
      </c>
      <c r="I584" s="301" t="inlineStr">
        <is>
          <t>✅ Paid</t>
        </is>
      </c>
      <c r="J584" s="423" t="inlineStr">
        <is>
          <t>No receipt; cash</t>
        </is>
      </c>
    </row>
    <row r="585">
      <c r="B585" s="429" t="n">
        <v>46238</v>
      </c>
      <c r="C585" s="297" t="inlineStr">
        <is>
          <t>Queso Bodega</t>
        </is>
      </c>
      <c r="D585" s="298" t="inlineStr">
        <is>
          <t>No bill</t>
        </is>
      </c>
      <c r="E585" s="297" t="inlineStr">
        <is>
          <t>Supermarket/General</t>
        </is>
      </c>
      <c r="F585" s="299" t="n">
        <v>551</v>
      </c>
      <c r="G585" s="300" t="inlineStr">
        <is>
          <t>Restaurant</t>
        </is>
      </c>
      <c r="H585" s="300" t="inlineStr">
        <is>
          <t>Cash</t>
        </is>
      </c>
      <c r="I585" s="301" t="inlineStr">
        <is>
          <t>✅ Paid</t>
        </is>
      </c>
      <c r="J585" s="423" t="inlineStr">
        <is>
          <t>No receipt; cash</t>
        </is>
      </c>
    </row>
    <row r="586">
      <c r="B586" s="429" t="n">
        <v>46238</v>
      </c>
      <c r="C586" s="297" t="inlineStr">
        <is>
          <t>Chedraui</t>
        </is>
      </c>
      <c r="D586" s="298" t="inlineStr">
        <is>
          <t>Chedraui</t>
        </is>
      </c>
      <c r="E586" s="297" t="inlineStr">
        <is>
          <t>Supermarket/General</t>
        </is>
      </c>
      <c r="F586" s="299" t="n">
        <v>170</v>
      </c>
      <c r="G586" s="300" t="inlineStr">
        <is>
          <t>Restaurant</t>
        </is>
      </c>
      <c r="H586" s="300" t="inlineStr">
        <is>
          <t>Cash</t>
        </is>
      </c>
      <c r="I586" s="301" t="inlineStr">
        <is>
          <t>✅ Paid</t>
        </is>
      </c>
      <c r="J586" s="423" t="inlineStr">
        <is>
          <t>No receipt; cash</t>
        </is>
      </c>
    </row>
    <row r="587">
      <c r="B587" s="429" t="n">
        <v>46239</v>
      </c>
      <c r="C587" s="297" t="inlineStr">
        <is>
          <t>Carne</t>
        </is>
      </c>
      <c r="D587" s="298" t="inlineStr">
        <is>
          <t>No bill</t>
        </is>
      </c>
      <c r="E587" s="297" t="inlineStr">
        <is>
          <t>Ingredients - Meat</t>
        </is>
      </c>
      <c r="F587" s="299" t="n">
        <v>442</v>
      </c>
      <c r="G587" s="300" t="inlineStr">
        <is>
          <t>Restaurant</t>
        </is>
      </c>
      <c r="H587" s="300" t="inlineStr">
        <is>
          <t>Cash</t>
        </is>
      </c>
      <c r="I587" s="301" t="inlineStr">
        <is>
          <t>✅ Paid</t>
        </is>
      </c>
      <c r="J587" s="423" t="inlineStr">
        <is>
          <t>No receipt; cash</t>
        </is>
      </c>
    </row>
    <row r="588">
      <c r="B588" s="429" t="n">
        <v>46239</v>
      </c>
      <c r="C588" s="297" t="inlineStr">
        <is>
          <t>Pescado</t>
        </is>
      </c>
      <c r="D588" s="298" t="inlineStr">
        <is>
          <t>No bill</t>
        </is>
      </c>
      <c r="E588" s="297" t="inlineStr">
        <is>
          <t>Ingredients - Meat &amp; Fish</t>
        </is>
      </c>
      <c r="F588" s="299" t="n">
        <v>224</v>
      </c>
      <c r="G588" s="300" t="inlineStr">
        <is>
          <t>Restaurant</t>
        </is>
      </c>
      <c r="H588" s="300" t="inlineStr">
        <is>
          <t>Cash</t>
        </is>
      </c>
      <c r="I588" s="301" t="inlineStr">
        <is>
          <t>✅ Paid</t>
        </is>
      </c>
      <c r="J588" s="423" t="inlineStr">
        <is>
          <t>No receipt; cash</t>
        </is>
      </c>
    </row>
    <row r="589">
      <c r="B589" s="429" t="n">
        <v>46239</v>
      </c>
      <c r="C589" s="297" t="inlineStr">
        <is>
          <t>Queso Panela</t>
        </is>
      </c>
      <c r="D589" s="298" t="inlineStr">
        <is>
          <t>No bill</t>
        </is>
      </c>
      <c r="E589" s="297" t="inlineStr">
        <is>
          <t>Ingredients - Dairy</t>
        </is>
      </c>
      <c r="F589" s="299" t="n">
        <v>494</v>
      </c>
      <c r="G589" s="300" t="inlineStr">
        <is>
          <t>Restaurant</t>
        </is>
      </c>
      <c r="H589" s="300" t="inlineStr">
        <is>
          <t>Cash</t>
        </is>
      </c>
      <c r="I589" s="301" t="inlineStr">
        <is>
          <t>✅ Paid</t>
        </is>
      </c>
      <c r="J589" s="423" t="inlineStr">
        <is>
          <t>No receipt; cash</t>
        </is>
      </c>
    </row>
    <row r="590">
      <c r="B590" s="429" t="n">
        <v>46239</v>
      </c>
      <c r="C590" s="297" t="inlineStr">
        <is>
          <t>Pollo</t>
        </is>
      </c>
      <c r="D590" s="298" t="inlineStr">
        <is>
          <t>No bill</t>
        </is>
      </c>
      <c r="E590" s="297" t="inlineStr">
        <is>
          <t>Ingredients - Meat</t>
        </is>
      </c>
      <c r="F590" s="299" t="n">
        <v>285</v>
      </c>
      <c r="G590" s="300" t="inlineStr">
        <is>
          <t>Lohith</t>
        </is>
      </c>
      <c r="H590" s="300" t="inlineStr">
        <is>
          <t>Cash</t>
        </is>
      </c>
      <c r="I590" s="301" t="inlineStr">
        <is>
          <t>✅ Paid</t>
        </is>
      </c>
      <c r="J590" s="423" t="inlineStr">
        <is>
          <t>Pagado por Lohith (bolsillo); reembolsable via Owner Ledger</t>
        </is>
      </c>
    </row>
    <row r="591">
      <c r="B591" s="429" t="n">
        <v>46240</v>
      </c>
      <c r="C591" s="297" t="inlineStr">
        <is>
          <t>Carne</t>
        </is>
      </c>
      <c r="D591" s="298" t="inlineStr">
        <is>
          <t>No bill</t>
        </is>
      </c>
      <c r="E591" s="297" t="inlineStr">
        <is>
          <t>Ingredients - Meat</t>
        </is>
      </c>
      <c r="F591" s="299" t="n">
        <v>587</v>
      </c>
      <c r="G591" s="300" t="inlineStr">
        <is>
          <t>Restaurant</t>
        </is>
      </c>
      <c r="H591" s="300" t="inlineStr">
        <is>
          <t>Cash</t>
        </is>
      </c>
      <c r="I591" s="301" t="inlineStr">
        <is>
          <t>✅ Paid</t>
        </is>
      </c>
      <c r="J591" s="423" t="inlineStr">
        <is>
          <t>No receipt; cash</t>
        </is>
      </c>
    </row>
    <row r="592">
      <c r="B592" s="429" t="n">
        <v>46240</v>
      </c>
      <c r="C592" s="297" t="inlineStr">
        <is>
          <t>Pescado</t>
        </is>
      </c>
      <c r="D592" s="298" t="inlineStr">
        <is>
          <t>No bill</t>
        </is>
      </c>
      <c r="E592" s="297" t="inlineStr">
        <is>
          <t>Ingredients - Meat &amp; Fish</t>
        </is>
      </c>
      <c r="F592" s="299" t="n">
        <v>523</v>
      </c>
      <c r="G592" s="300" t="inlineStr">
        <is>
          <t>Restaurant</t>
        </is>
      </c>
      <c r="H592" s="300" t="inlineStr">
        <is>
          <t>Cash</t>
        </is>
      </c>
      <c r="I592" s="301" t="inlineStr">
        <is>
          <t>✅ Paid</t>
        </is>
      </c>
      <c r="J592" s="423" t="inlineStr">
        <is>
          <t>No receipt; cash</t>
        </is>
      </c>
    </row>
    <row r="593">
      <c r="B593" s="429" t="n">
        <v>46240</v>
      </c>
      <c r="C593" s="297" t="inlineStr">
        <is>
          <t>Vegetables</t>
        </is>
      </c>
      <c r="D593" s="298" t="inlineStr">
        <is>
          <t>No bill</t>
        </is>
      </c>
      <c r="E593" s="297" t="inlineStr">
        <is>
          <t>Ingredients - Vegetables</t>
        </is>
      </c>
      <c r="F593" s="299" t="n">
        <v>107</v>
      </c>
      <c r="G593" s="300" t="inlineStr">
        <is>
          <t>Restaurant</t>
        </is>
      </c>
      <c r="H593" s="300" t="inlineStr">
        <is>
          <t>Cash</t>
        </is>
      </c>
      <c r="I593" s="301" t="inlineStr">
        <is>
          <t>✅ Paid</t>
        </is>
      </c>
      <c r="J593" s="423" t="inlineStr">
        <is>
          <t>No receipt; cash</t>
        </is>
      </c>
    </row>
    <row r="594">
      <c r="B594" s="429" t="n">
        <v>46240</v>
      </c>
      <c r="C594" s="297" t="inlineStr">
        <is>
          <t>Sams Club</t>
        </is>
      </c>
      <c r="D594" s="298" t="inlineStr">
        <is>
          <t>Sam's Club</t>
        </is>
      </c>
      <c r="E594" s="297" t="inlineStr">
        <is>
          <t>Supermarket/General</t>
        </is>
      </c>
      <c r="F594" s="299" t="n">
        <v>590</v>
      </c>
      <c r="G594" s="300" t="inlineStr">
        <is>
          <t>Restaurant</t>
        </is>
      </c>
      <c r="H594" s="300" t="inlineStr">
        <is>
          <t>Cash</t>
        </is>
      </c>
      <c r="I594" s="301" t="inlineStr">
        <is>
          <t>✅ Paid</t>
        </is>
      </c>
      <c r="J594" s="423" t="inlineStr">
        <is>
          <t>No receipt; cash</t>
        </is>
      </c>
    </row>
    <row r="595">
      <c r="B595" s="429" t="n">
        <v>46240</v>
      </c>
      <c r="C595" s="297" t="inlineStr">
        <is>
          <t>Chedraui</t>
        </is>
      </c>
      <c r="D595" s="298" t="inlineStr">
        <is>
          <t>Chedraui</t>
        </is>
      </c>
      <c r="E595" s="297" t="inlineStr">
        <is>
          <t>Supermarket/General</t>
        </is>
      </c>
      <c r="F595" s="299" t="n">
        <v>246</v>
      </c>
      <c r="G595" s="300" t="inlineStr">
        <is>
          <t>Restaurant</t>
        </is>
      </c>
      <c r="H595" s="300" t="inlineStr">
        <is>
          <t>Cash</t>
        </is>
      </c>
      <c r="I595" s="301" t="inlineStr">
        <is>
          <t>✅ Paid</t>
        </is>
      </c>
      <c r="J595" s="423" t="inlineStr">
        <is>
          <t>No receipt; cash</t>
        </is>
      </c>
    </row>
    <row r="596">
      <c r="B596" s="429" t="n">
        <v>46240</v>
      </c>
      <c r="C596" s="297" t="inlineStr">
        <is>
          <t>Pollo</t>
        </is>
      </c>
      <c r="D596" s="298" t="inlineStr">
        <is>
          <t>No bill</t>
        </is>
      </c>
      <c r="E596" s="297" t="inlineStr">
        <is>
          <t>Ingredients - Meat</t>
        </is>
      </c>
      <c r="F596" s="299" t="n">
        <v>319</v>
      </c>
      <c r="G596" s="300" t="inlineStr">
        <is>
          <t>Lohith</t>
        </is>
      </c>
      <c r="H596" s="300" t="inlineStr">
        <is>
          <t>Cash</t>
        </is>
      </c>
      <c r="I596" s="301" t="inlineStr">
        <is>
          <t>✅ Paid</t>
        </is>
      </c>
      <c r="J596" s="423" t="inlineStr">
        <is>
          <t>Pagado por Lohith (bolsillo); reembolsable via Owner Ledger</t>
        </is>
      </c>
    </row>
    <row r="597">
      <c r="B597" s="429" t="n">
        <v>46241</v>
      </c>
      <c r="C597" s="297" t="inlineStr">
        <is>
          <t>Sams club</t>
        </is>
      </c>
      <c r="D597" s="298" t="inlineStr">
        <is>
          <t>Sam's Club</t>
        </is>
      </c>
      <c r="E597" s="297" t="inlineStr">
        <is>
          <t>Supermarket/General</t>
        </is>
      </c>
      <c r="F597" s="299" t="n">
        <v>778</v>
      </c>
      <c r="G597" s="300" t="inlineStr">
        <is>
          <t>Restaurant</t>
        </is>
      </c>
      <c r="H597" s="300" t="inlineStr">
        <is>
          <t>Cash</t>
        </is>
      </c>
      <c r="I597" s="301" t="inlineStr">
        <is>
          <t>✅ Paid</t>
        </is>
      </c>
      <c r="J597" s="423" t="inlineStr">
        <is>
          <t>No receipt; cash</t>
        </is>
      </c>
    </row>
    <row r="598">
      <c r="B598" s="429" t="n">
        <v>46241</v>
      </c>
      <c r="C598" s="297" t="inlineStr">
        <is>
          <t>Vegetables</t>
        </is>
      </c>
      <c r="D598" s="298" t="inlineStr">
        <is>
          <t>No bill</t>
        </is>
      </c>
      <c r="E598" s="297" t="inlineStr">
        <is>
          <t>Ingredients - Vegetables</t>
        </is>
      </c>
      <c r="F598" s="299" t="n">
        <v>144</v>
      </c>
      <c r="G598" s="300" t="inlineStr">
        <is>
          <t>Restaurant</t>
        </is>
      </c>
      <c r="H598" s="300" t="inlineStr">
        <is>
          <t>Cash</t>
        </is>
      </c>
      <c r="I598" s="301" t="inlineStr">
        <is>
          <t>✅ Paid</t>
        </is>
      </c>
      <c r="J598" s="423" t="inlineStr">
        <is>
          <t>No receipt; cash</t>
        </is>
      </c>
    </row>
    <row r="599">
      <c r="B599" s="429" t="n">
        <v>46241</v>
      </c>
      <c r="C599" s="297" t="inlineStr">
        <is>
          <t>Agua Natural</t>
        </is>
      </c>
      <c r="D599" s="298" t="inlineStr">
        <is>
          <t>No bill</t>
        </is>
      </c>
      <c r="E599" s="297" t="inlineStr">
        <is>
          <t>Ingredients - Beverages</t>
        </is>
      </c>
      <c r="F599" s="299" t="n">
        <v>30</v>
      </c>
      <c r="G599" s="300" t="inlineStr">
        <is>
          <t>Restaurant</t>
        </is>
      </c>
      <c r="H599" s="300" t="inlineStr">
        <is>
          <t>Cash</t>
        </is>
      </c>
      <c r="I599" s="301" t="inlineStr">
        <is>
          <t>✅ Paid</t>
        </is>
      </c>
      <c r="J599" s="423" t="inlineStr">
        <is>
          <t>No receipt; cash</t>
        </is>
      </c>
    </row>
    <row r="600">
      <c r="B600" s="429" t="n">
        <v>46241</v>
      </c>
      <c r="C600" s="297" t="inlineStr">
        <is>
          <t>Samu - salary</t>
        </is>
      </c>
      <c r="D600" s="298" t="inlineStr">
        <is>
          <t>Payroll</t>
        </is>
      </c>
      <c r="E600" s="297" t="inlineStr">
        <is>
          <t>Staff - Salary</t>
        </is>
      </c>
      <c r="F600" s="299" t="n">
        <v>1200</v>
      </c>
      <c r="G600" s="300" t="inlineStr">
        <is>
          <t>Restaurant</t>
        </is>
      </c>
      <c r="H600" s="300" t="inlineStr">
        <is>
          <t>Cash</t>
        </is>
      </c>
      <c r="I600" s="301" t="inlineStr">
        <is>
          <t>✅ Paid</t>
        </is>
      </c>
      <c r="J600" s="423" t="inlineStr">
        <is>
          <t>Weekly salary</t>
        </is>
      </c>
    </row>
    <row r="601">
      <c r="B601" s="429" t="n">
        <v>46242</v>
      </c>
      <c r="C601" s="297" t="inlineStr">
        <is>
          <t>Bistec</t>
        </is>
      </c>
      <c r="D601" s="298" t="inlineStr">
        <is>
          <t>No bill</t>
        </is>
      </c>
      <c r="E601" s="297" t="inlineStr">
        <is>
          <t>Ingredients - Meat</t>
        </is>
      </c>
      <c r="F601" s="299" t="n">
        <v>145</v>
      </c>
      <c r="G601" s="300" t="inlineStr">
        <is>
          <t>Restaurant</t>
        </is>
      </c>
      <c r="H601" s="300" t="inlineStr">
        <is>
          <t>Cash</t>
        </is>
      </c>
      <c r="I601" s="301" t="inlineStr">
        <is>
          <t>✅ Paid</t>
        </is>
      </c>
      <c r="J601" s="423" t="inlineStr">
        <is>
          <t>No receipt; cash</t>
        </is>
      </c>
    </row>
    <row r="602">
      <c r="B602" s="429" t="n">
        <v>46242</v>
      </c>
      <c r="C602" s="297" t="inlineStr">
        <is>
          <t>Vegetables</t>
        </is>
      </c>
      <c r="D602" s="298" t="inlineStr">
        <is>
          <t>No bill</t>
        </is>
      </c>
      <c r="E602" s="297" t="inlineStr">
        <is>
          <t>Ingredients - Vegetables</t>
        </is>
      </c>
      <c r="F602" s="299" t="n">
        <v>1520</v>
      </c>
      <c r="G602" s="300" t="inlineStr">
        <is>
          <t>Restaurant</t>
        </is>
      </c>
      <c r="H602" s="300" t="inlineStr">
        <is>
          <t>Cash</t>
        </is>
      </c>
      <c r="I602" s="301" t="inlineStr">
        <is>
          <t>✅ Paid</t>
        </is>
      </c>
      <c r="J602" s="423" t="inlineStr">
        <is>
          <t>No receipt; cash</t>
        </is>
      </c>
    </row>
    <row r="603">
      <c r="B603" s="429" t="n">
        <v>46242</v>
      </c>
      <c r="C603" s="297" t="inlineStr">
        <is>
          <t>Pollo</t>
        </is>
      </c>
      <c r="D603" s="298" t="inlineStr">
        <is>
          <t>No bill</t>
        </is>
      </c>
      <c r="E603" s="297" t="inlineStr">
        <is>
          <t>Ingredients - Meat</t>
        </is>
      </c>
      <c r="F603" s="299" t="n">
        <v>1028</v>
      </c>
      <c r="G603" s="300" t="inlineStr">
        <is>
          <t>Lohith</t>
        </is>
      </c>
      <c r="H603" s="300" t="inlineStr">
        <is>
          <t>Cash</t>
        </is>
      </c>
      <c r="I603" s="301" t="inlineStr">
        <is>
          <t>✅ Paid</t>
        </is>
      </c>
      <c r="J603" s="423" t="inlineStr">
        <is>
          <t>Pagado por Lohith (bolsillo); reembolsable via Owner Ledger</t>
        </is>
      </c>
    </row>
    <row r="604">
      <c r="B604" s="429" t="n">
        <v>46242</v>
      </c>
      <c r="C604" s="297" t="inlineStr">
        <is>
          <t>Jhon - salary</t>
        </is>
      </c>
      <c r="D604" s="298" t="inlineStr">
        <is>
          <t>Payroll</t>
        </is>
      </c>
      <c r="E604" s="297" t="inlineStr">
        <is>
          <t>Staff - Salary</t>
        </is>
      </c>
      <c r="F604" s="299" t="n">
        <v>3750</v>
      </c>
      <c r="G604" s="300" t="inlineStr">
        <is>
          <t>Restaurant</t>
        </is>
      </c>
      <c r="H604" s="300" t="inlineStr">
        <is>
          <t>Cash</t>
        </is>
      </c>
      <c r="I604" s="301" t="inlineStr">
        <is>
          <t>✅ Paid</t>
        </is>
      </c>
      <c r="J604" s="423" t="inlineStr">
        <is>
          <t>Weekly salary</t>
        </is>
      </c>
    </row>
    <row r="605">
      <c r="B605" s="429" t="n">
        <v>46242</v>
      </c>
      <c r="C605" s="297" t="inlineStr">
        <is>
          <t>Duvi - salary</t>
        </is>
      </c>
      <c r="D605" s="298" t="inlineStr">
        <is>
          <t>Payroll</t>
        </is>
      </c>
      <c r="E605" s="297" t="inlineStr">
        <is>
          <t>Staff - Salary</t>
        </is>
      </c>
      <c r="F605" s="299" t="n">
        <v>1500</v>
      </c>
      <c r="G605" s="300" t="inlineStr">
        <is>
          <t>Restaurant</t>
        </is>
      </c>
      <c r="H605" s="300" t="inlineStr">
        <is>
          <t>Cash</t>
        </is>
      </c>
      <c r="I605" s="301" t="inlineStr">
        <is>
          <t>✅ Paid</t>
        </is>
      </c>
      <c r="J605" s="423" t="inlineStr">
        <is>
          <t>Weekly salary</t>
        </is>
      </c>
    </row>
    <row r="606">
      <c r="B606" s="429" t="n">
        <v>46244</v>
      </c>
      <c r="C606" s="297" t="inlineStr">
        <is>
          <t>Chedraui</t>
        </is>
      </c>
      <c r="D606" s="298" t="inlineStr">
        <is>
          <t>Chedraui</t>
        </is>
      </c>
      <c r="E606" s="297" t="inlineStr">
        <is>
          <t>Supermarket/General</t>
        </is>
      </c>
      <c r="F606" s="299" t="n">
        <v>89</v>
      </c>
      <c r="G606" s="300" t="inlineStr">
        <is>
          <t>Restaurant</t>
        </is>
      </c>
      <c r="H606" s="300" t="inlineStr">
        <is>
          <t>Cash</t>
        </is>
      </c>
      <c r="I606" s="301" t="inlineStr">
        <is>
          <t>✅ Paid</t>
        </is>
      </c>
      <c r="J606" s="423" t="inlineStr">
        <is>
          <t>No receipt; cash</t>
        </is>
      </c>
    </row>
    <row r="607">
      <c r="B607" s="429" t="n">
        <v>46244</v>
      </c>
      <c r="C607" s="297" t="inlineStr">
        <is>
          <t>Bistec</t>
        </is>
      </c>
      <c r="D607" s="298" t="inlineStr">
        <is>
          <t>No bill</t>
        </is>
      </c>
      <c r="E607" s="297" t="inlineStr">
        <is>
          <t>Ingredients - Meat</t>
        </is>
      </c>
      <c r="F607" s="299" t="n">
        <v>194</v>
      </c>
      <c r="G607" s="300" t="inlineStr">
        <is>
          <t>Restaurant</t>
        </is>
      </c>
      <c r="H607" s="300" t="inlineStr">
        <is>
          <t>Cash</t>
        </is>
      </c>
      <c r="I607" s="301" t="inlineStr">
        <is>
          <t>✅ Paid</t>
        </is>
      </c>
      <c r="J607" s="423" t="inlineStr">
        <is>
          <t>No receipt; cash</t>
        </is>
      </c>
    </row>
    <row r="608">
      <c r="B608" s="429" t="n">
        <v>46244</v>
      </c>
      <c r="C608" s="297" t="inlineStr">
        <is>
          <t>Lomo</t>
        </is>
      </c>
      <c r="D608" s="298" t="inlineStr">
        <is>
          <t>No bill</t>
        </is>
      </c>
      <c r="E608" s="297" t="inlineStr">
        <is>
          <t>Ingredients - Meat</t>
        </is>
      </c>
      <c r="F608" s="299" t="n">
        <v>285</v>
      </c>
      <c r="G608" s="300" t="inlineStr">
        <is>
          <t>Restaurant</t>
        </is>
      </c>
      <c r="H608" s="300" t="inlineStr">
        <is>
          <t>Cash</t>
        </is>
      </c>
      <c r="I608" s="301" t="inlineStr">
        <is>
          <t>✅ Paid</t>
        </is>
      </c>
      <c r="J608" s="423" t="inlineStr">
        <is>
          <t>No receipt; cash</t>
        </is>
      </c>
    </row>
    <row r="609">
      <c r="B609" s="429" t="n">
        <v>46244</v>
      </c>
      <c r="C609" s="297" t="inlineStr">
        <is>
          <t>Pan Dulce</t>
        </is>
      </c>
      <c r="D609" s="298" t="inlineStr">
        <is>
          <t>No bill</t>
        </is>
      </c>
      <c r="E609" s="297" t="inlineStr">
        <is>
          <t>Ingredients - Bread</t>
        </is>
      </c>
      <c r="F609" s="299" t="n">
        <v>145</v>
      </c>
      <c r="G609" s="300" t="inlineStr">
        <is>
          <t>Restaurant</t>
        </is>
      </c>
      <c r="H609" s="300" t="inlineStr">
        <is>
          <t>Cash</t>
        </is>
      </c>
      <c r="I609" s="301" t="inlineStr">
        <is>
          <t>✅ Paid</t>
        </is>
      </c>
      <c r="J609" s="423" t="inlineStr">
        <is>
          <t>No receipt; cash</t>
        </is>
      </c>
    </row>
    <row r="610">
      <c r="B610" s="429" t="n">
        <v>46244</v>
      </c>
      <c r="C610" s="297" t="inlineStr">
        <is>
          <t>Tortillas</t>
        </is>
      </c>
      <c r="D610" s="298" t="inlineStr">
        <is>
          <t>No bill</t>
        </is>
      </c>
      <c r="E610" s="297" t="inlineStr">
        <is>
          <t>Ingredients - Bread</t>
        </is>
      </c>
      <c r="F610" s="299" t="n">
        <v>52</v>
      </c>
      <c r="G610" s="300" t="inlineStr">
        <is>
          <t>Restaurant</t>
        </is>
      </c>
      <c r="H610" s="300" t="inlineStr">
        <is>
          <t>Cash</t>
        </is>
      </c>
      <c r="I610" s="301" t="inlineStr">
        <is>
          <t>✅ Paid</t>
        </is>
      </c>
      <c r="J610" s="423" t="inlineStr">
        <is>
          <t>No receipt; cash</t>
        </is>
      </c>
    </row>
    <row r="611">
      <c r="B611" s="429" t="n">
        <v>46244</v>
      </c>
      <c r="C611" s="297" t="inlineStr">
        <is>
          <t>Cafe</t>
        </is>
      </c>
      <c r="D611" s="298" t="inlineStr">
        <is>
          <t>No bill</t>
        </is>
      </c>
      <c r="E611" s="297" t="inlineStr">
        <is>
          <t>Ingredients - Beverages</t>
        </is>
      </c>
      <c r="F611" s="299" t="n">
        <v>185</v>
      </c>
      <c r="G611" s="300" t="inlineStr">
        <is>
          <t>Restaurant</t>
        </is>
      </c>
      <c r="H611" s="300" t="inlineStr">
        <is>
          <t>Cash</t>
        </is>
      </c>
      <c r="I611" s="301" t="inlineStr">
        <is>
          <t>✅ Paid</t>
        </is>
      </c>
      <c r="J611" s="423" t="inlineStr">
        <is>
          <t>No receipt; cash</t>
        </is>
      </c>
    </row>
    <row r="612">
      <c r="B612" s="429" t="n">
        <v>46244</v>
      </c>
      <c r="C612" s="297" t="inlineStr">
        <is>
          <t>Oxxo Arroz</t>
        </is>
      </c>
      <c r="D612" s="298" t="inlineStr">
        <is>
          <t>OXXO</t>
        </is>
      </c>
      <c r="E612" s="297" t="inlineStr">
        <is>
          <t>Ingredients - Pantry</t>
        </is>
      </c>
      <c r="F612" s="299" t="n">
        <v>78</v>
      </c>
      <c r="G612" s="300" t="inlineStr">
        <is>
          <t>Restaurant</t>
        </is>
      </c>
      <c r="H612" s="300" t="inlineStr">
        <is>
          <t>Cash</t>
        </is>
      </c>
      <c r="I612" s="301" t="inlineStr">
        <is>
          <t>✅ Paid</t>
        </is>
      </c>
      <c r="J612" s="423" t="inlineStr">
        <is>
          <t>No receipt; cash</t>
        </is>
      </c>
    </row>
    <row r="613">
      <c r="B613" s="429" t="n">
        <v>46244</v>
      </c>
      <c r="C613" s="297" t="inlineStr">
        <is>
          <t>3B Pasta</t>
        </is>
      </c>
      <c r="D613" s="298" t="inlineStr">
        <is>
          <t>Tres B</t>
        </is>
      </c>
      <c r="E613" s="297" t="inlineStr">
        <is>
          <t>Supermarket/General</t>
        </is>
      </c>
      <c r="F613" s="299" t="n">
        <v>110</v>
      </c>
      <c r="G613" s="300" t="inlineStr">
        <is>
          <t>Lohith</t>
        </is>
      </c>
      <c r="H613" s="300" t="inlineStr">
        <is>
          <t>Cash</t>
        </is>
      </c>
      <c r="I613" s="301" t="inlineStr">
        <is>
          <t>✅ Paid</t>
        </is>
      </c>
      <c r="J613" s="423" t="inlineStr">
        <is>
          <t>Pagado por Lohith (bolsillo); reembolsable via Owner Ledger</t>
        </is>
      </c>
    </row>
    <row r="614">
      <c r="B614" s="429" t="n">
        <v>46245</v>
      </c>
      <c r="C614" s="297" t="inlineStr">
        <is>
          <t>Chedraui</t>
        </is>
      </c>
      <c r="D614" s="298" t="inlineStr">
        <is>
          <t>Chedraui</t>
        </is>
      </c>
      <c r="E614" s="297" t="inlineStr">
        <is>
          <t>Supermarket/General</t>
        </is>
      </c>
      <c r="F614" s="299" t="n">
        <v>60</v>
      </c>
      <c r="G614" s="300" t="inlineStr">
        <is>
          <t>Restaurant</t>
        </is>
      </c>
      <c r="H614" s="300" t="inlineStr">
        <is>
          <t>Cash</t>
        </is>
      </c>
      <c r="I614" s="301" t="inlineStr">
        <is>
          <t>✅ Paid</t>
        </is>
      </c>
      <c r="J614" s="423" t="inlineStr">
        <is>
          <t>No receipt; cash</t>
        </is>
      </c>
    </row>
    <row r="615">
      <c r="B615" s="429" t="n">
        <v>46245</v>
      </c>
      <c r="C615" s="297" t="inlineStr">
        <is>
          <t>Vegetales</t>
        </is>
      </c>
      <c r="D615" s="298" t="inlineStr">
        <is>
          <t>No bill</t>
        </is>
      </c>
      <c r="E615" s="297" t="inlineStr">
        <is>
          <t>Ingredients - Vegetables</t>
        </is>
      </c>
      <c r="F615" s="299" t="n">
        <v>49</v>
      </c>
      <c r="G615" s="300" t="inlineStr">
        <is>
          <t>Restaurant</t>
        </is>
      </c>
      <c r="H615" s="300" t="inlineStr">
        <is>
          <t>Cash</t>
        </is>
      </c>
      <c r="I615" s="301" t="inlineStr">
        <is>
          <t>✅ Paid</t>
        </is>
      </c>
      <c r="J615" s="423" t="inlineStr">
        <is>
          <t>No receipt; cash</t>
        </is>
      </c>
    </row>
    <row r="616">
      <c r="B616" s="429" t="n">
        <v>46245</v>
      </c>
      <c r="C616" s="297" t="inlineStr">
        <is>
          <t>Pan Reales</t>
        </is>
      </c>
      <c r="D616" s="298" t="inlineStr">
        <is>
          <t>Pan Reales</t>
        </is>
      </c>
      <c r="E616" s="297" t="inlineStr">
        <is>
          <t>Ingredients - Bread</t>
        </is>
      </c>
      <c r="F616" s="299" t="n">
        <v>429</v>
      </c>
      <c r="G616" s="300" t="inlineStr">
        <is>
          <t>Restaurant</t>
        </is>
      </c>
      <c r="H616" s="300" t="inlineStr">
        <is>
          <t>Cash</t>
        </is>
      </c>
      <c r="I616" s="301" t="inlineStr">
        <is>
          <t>✅ Paid</t>
        </is>
      </c>
      <c r="J616" s="423" t="inlineStr">
        <is>
          <t>No receipt; cash</t>
        </is>
      </c>
    </row>
    <row r="617">
      <c r="B617" s="429" t="n">
        <v>46245</v>
      </c>
      <c r="C617" s="297" t="inlineStr">
        <is>
          <t>Carne</t>
        </is>
      </c>
      <c r="D617" s="298" t="inlineStr">
        <is>
          <t>No bill</t>
        </is>
      </c>
      <c r="E617" s="297" t="inlineStr">
        <is>
          <t>Ingredients - Meat</t>
        </is>
      </c>
      <c r="F617" s="299" t="n">
        <v>359</v>
      </c>
      <c r="G617" s="300" t="inlineStr">
        <is>
          <t>Restaurant</t>
        </is>
      </c>
      <c r="H617" s="300" t="inlineStr">
        <is>
          <t>Cash</t>
        </is>
      </c>
      <c r="I617" s="301" t="inlineStr">
        <is>
          <t>✅ Paid</t>
        </is>
      </c>
      <c r="J617" s="423" t="inlineStr">
        <is>
          <t>No receipt; cash</t>
        </is>
      </c>
    </row>
    <row r="618">
      <c r="B618" s="429" t="n">
        <v>46245</v>
      </c>
      <c r="C618" s="297" t="inlineStr">
        <is>
          <t>OXXO Aceite</t>
        </is>
      </c>
      <c r="D618" s="298" t="inlineStr">
        <is>
          <t>OXXO</t>
        </is>
      </c>
      <c r="E618" s="297" t="inlineStr">
        <is>
          <t>Ingredients - Pantry</t>
        </is>
      </c>
      <c r="F618" s="299" t="n">
        <v>336</v>
      </c>
      <c r="G618" s="300" t="inlineStr">
        <is>
          <t>Restaurant</t>
        </is>
      </c>
      <c r="H618" s="300" t="inlineStr">
        <is>
          <t>Cash</t>
        </is>
      </c>
      <c r="I618" s="301" t="inlineStr">
        <is>
          <t>✅ Paid</t>
        </is>
      </c>
      <c r="J618" s="423" t="inlineStr">
        <is>
          <t>No receipt; cash</t>
        </is>
      </c>
    </row>
    <row r="619">
      <c r="B619" s="429" t="n">
        <v>46245</v>
      </c>
      <c r="C619" s="297" t="inlineStr">
        <is>
          <t>Guimar Cuchillos</t>
        </is>
      </c>
      <c r="D619" s="298" t="inlineStr">
        <is>
          <t>Guimar Polietilenos</t>
        </is>
      </c>
      <c r="E619" s="297" t="inlineStr">
        <is>
          <t>Kitchen Supplies</t>
        </is>
      </c>
      <c r="F619" s="299" t="n">
        <v>100</v>
      </c>
      <c r="G619" s="300" t="inlineStr">
        <is>
          <t>Restaurant</t>
        </is>
      </c>
      <c r="H619" s="300" t="inlineStr">
        <is>
          <t>Cash</t>
        </is>
      </c>
      <c r="I619" s="301" t="inlineStr">
        <is>
          <t>✅ Paid</t>
        </is>
      </c>
      <c r="J619" s="423" t="inlineStr">
        <is>
          <t>No receipt; cash</t>
        </is>
      </c>
    </row>
    <row r="620">
      <c r="B620" s="429" t="n">
        <v>46246</v>
      </c>
      <c r="C620" s="297" t="inlineStr">
        <is>
          <t>Chedraui</t>
        </is>
      </c>
      <c r="D620" s="298" t="inlineStr">
        <is>
          <t>Chedraui</t>
        </is>
      </c>
      <c r="E620" s="297" t="inlineStr">
        <is>
          <t>Supermarket/General</t>
        </is>
      </c>
      <c r="F620" s="299" t="n">
        <v>112</v>
      </c>
      <c r="G620" s="300" t="inlineStr">
        <is>
          <t>Restaurant</t>
        </is>
      </c>
      <c r="H620" s="300" t="inlineStr">
        <is>
          <t>Cash</t>
        </is>
      </c>
      <c r="I620" s="301" t="inlineStr">
        <is>
          <t>✅ Paid</t>
        </is>
      </c>
      <c r="J620" s="423" t="inlineStr">
        <is>
          <t>No receipt; cash</t>
        </is>
      </c>
    </row>
    <row r="621">
      <c r="B621" s="429" t="n">
        <v>46246</v>
      </c>
      <c r="C621" s="297" t="inlineStr">
        <is>
          <t>Vegetales</t>
        </is>
      </c>
      <c r="D621" s="298" t="inlineStr">
        <is>
          <t>No bill</t>
        </is>
      </c>
      <c r="E621" s="297" t="inlineStr">
        <is>
          <t>Ingredients - Vegetables</t>
        </is>
      </c>
      <c r="F621" s="299" t="n">
        <v>89</v>
      </c>
      <c r="G621" s="300" t="inlineStr">
        <is>
          <t>Restaurant</t>
        </is>
      </c>
      <c r="H621" s="300" t="inlineStr">
        <is>
          <t>Cash</t>
        </is>
      </c>
      <c r="I621" s="301" t="inlineStr">
        <is>
          <t>✅ Paid</t>
        </is>
      </c>
      <c r="J621" s="423" t="inlineStr">
        <is>
          <t>No receipt; cash</t>
        </is>
      </c>
    </row>
    <row r="622">
      <c r="B622" s="429" t="n">
        <v>46246</v>
      </c>
      <c r="C622" s="297" t="inlineStr">
        <is>
          <t>Carne</t>
        </is>
      </c>
      <c r="D622" s="298" t="inlineStr">
        <is>
          <t>No bill</t>
        </is>
      </c>
      <c r="E622" s="297" t="inlineStr">
        <is>
          <t>Ingredients - Meat</t>
        </is>
      </c>
      <c r="F622" s="299" t="n">
        <v>743</v>
      </c>
      <c r="G622" s="300" t="inlineStr">
        <is>
          <t>Restaurant</t>
        </is>
      </c>
      <c r="H622" s="300" t="inlineStr">
        <is>
          <t>Cash</t>
        </is>
      </c>
      <c r="I622" s="301" t="inlineStr">
        <is>
          <t>✅ Paid</t>
        </is>
      </c>
      <c r="J622" s="423" t="inlineStr">
        <is>
          <t>No receipt; cash</t>
        </is>
      </c>
    </row>
    <row r="623">
      <c r="B623" s="429" t="n">
        <v>46246</v>
      </c>
      <c r="C623" s="297" t="inlineStr">
        <is>
          <t>Papa</t>
        </is>
      </c>
      <c r="D623" s="298" t="inlineStr">
        <is>
          <t>No bill</t>
        </is>
      </c>
      <c r="E623" s="297" t="inlineStr">
        <is>
          <t>Ingredients - Vegetables</t>
        </is>
      </c>
      <c r="F623" s="299" t="n">
        <v>2270</v>
      </c>
      <c r="G623" s="300" t="inlineStr">
        <is>
          <t>Restaurant</t>
        </is>
      </c>
      <c r="H623" s="300" t="inlineStr">
        <is>
          <t>Cash</t>
        </is>
      </c>
      <c r="I623" s="301" t="inlineStr">
        <is>
          <t>✅ Paid</t>
        </is>
      </c>
      <c r="J623" s="423" t="inlineStr">
        <is>
          <t>No receipt; cash</t>
        </is>
      </c>
    </row>
    <row r="624">
      <c r="B624" s="429" t="n">
        <v>46246</v>
      </c>
      <c r="C624" s="297" t="inlineStr">
        <is>
          <t>Avia Reca</t>
        </is>
      </c>
      <c r="D624" s="298" t="inlineStr">
        <is>
          <t>Reca</t>
        </is>
      </c>
      <c r="E624" s="297" t="inlineStr">
        <is>
          <t>Ingredients - Beverages</t>
        </is>
      </c>
      <c r="F624" s="299" t="n">
        <v>750</v>
      </c>
      <c r="G624" s="300" t="inlineStr">
        <is>
          <t>Restaurant</t>
        </is>
      </c>
      <c r="H624" s="300" t="inlineStr">
        <is>
          <t>Cash</t>
        </is>
      </c>
      <c r="I624" s="301" t="inlineStr">
        <is>
          <t>✅ Paid</t>
        </is>
      </c>
      <c r="J624" s="423" t="inlineStr">
        <is>
          <t>No receipt; cash</t>
        </is>
      </c>
    </row>
    <row r="625">
      <c r="B625" s="429" t="n">
        <v>46246</v>
      </c>
      <c r="C625" s="297" t="inlineStr">
        <is>
          <t>Guimar deschables</t>
        </is>
      </c>
      <c r="D625" s="298" t="inlineStr">
        <is>
          <t>Guimar Polietilenos</t>
        </is>
      </c>
      <c r="E625" s="297" t="inlineStr">
        <is>
          <t>Packaging/Disposables</t>
        </is>
      </c>
      <c r="F625" s="299" t="n">
        <v>139</v>
      </c>
      <c r="G625" s="300" t="inlineStr">
        <is>
          <t>Restaurant</t>
        </is>
      </c>
      <c r="H625" s="300" t="inlineStr">
        <is>
          <t>Cash</t>
        </is>
      </c>
      <c r="I625" s="301" t="inlineStr">
        <is>
          <t>✅ Paid</t>
        </is>
      </c>
      <c r="J625" s="423" t="inlineStr">
        <is>
          <t>No receipt; cash</t>
        </is>
      </c>
    </row>
    <row r="626">
      <c r="B626" s="429" t="n">
        <v>46246</v>
      </c>
      <c r="C626" s="297" t="inlineStr">
        <is>
          <t>Oxxo Arroz</t>
        </is>
      </c>
      <c r="D626" s="298" t="inlineStr">
        <is>
          <t>OXXO</t>
        </is>
      </c>
      <c r="E626" s="297" t="inlineStr">
        <is>
          <t>Ingredients - Pantry</t>
        </is>
      </c>
      <c r="F626" s="299" t="n">
        <v>301</v>
      </c>
      <c r="G626" s="300" t="inlineStr">
        <is>
          <t>Restaurant</t>
        </is>
      </c>
      <c r="H626" s="300" t="inlineStr">
        <is>
          <t>Cash</t>
        </is>
      </c>
      <c r="I626" s="301" t="inlineStr">
        <is>
          <t>✅ Paid</t>
        </is>
      </c>
      <c r="J626" s="423" t="inlineStr">
        <is>
          <t>No receipt; cash</t>
        </is>
      </c>
    </row>
    <row r="627">
      <c r="B627" s="429" t="n">
        <v>46246</v>
      </c>
      <c r="C627" s="297" t="inlineStr">
        <is>
          <t>Pollo</t>
        </is>
      </c>
      <c r="D627" s="298" t="inlineStr">
        <is>
          <t>No bill</t>
        </is>
      </c>
      <c r="E627" s="297" t="inlineStr">
        <is>
          <t>Ingredients - Meat</t>
        </is>
      </c>
      <c r="F627" s="299" t="n">
        <v>639</v>
      </c>
      <c r="G627" s="300" t="inlineStr">
        <is>
          <t>Lohith</t>
        </is>
      </c>
      <c r="H627" s="300" t="inlineStr">
        <is>
          <t>Cash</t>
        </is>
      </c>
      <c r="I627" s="301" t="inlineStr">
        <is>
          <t>✅ Paid</t>
        </is>
      </c>
      <c r="J627" s="423" t="inlineStr">
        <is>
          <t>Pagado por Lohith (bolsillo); reembolsable via Owner Ledger</t>
        </is>
      </c>
    </row>
    <row r="628">
      <c r="B628" s="429" t="n">
        <v>46247</v>
      </c>
      <c r="C628" s="297" t="inlineStr">
        <is>
          <t>Pan Dulce</t>
        </is>
      </c>
      <c r="D628" s="298" t="inlineStr">
        <is>
          <t>No bill</t>
        </is>
      </c>
      <c r="E628" s="297" t="inlineStr">
        <is>
          <t>Ingredients - Bread</t>
        </is>
      </c>
      <c r="F628" s="299" t="n">
        <v>25</v>
      </c>
      <c r="G628" s="300" t="inlineStr">
        <is>
          <t>Restaurant</t>
        </is>
      </c>
      <c r="H628" s="300" t="inlineStr">
        <is>
          <t>Cash</t>
        </is>
      </c>
      <c r="I628" s="301" t="inlineStr">
        <is>
          <t>✅ Paid</t>
        </is>
      </c>
      <c r="J628" s="423" t="inlineStr">
        <is>
          <t>No receipt; cash</t>
        </is>
      </c>
    </row>
    <row r="629">
      <c r="B629" s="429" t="n">
        <v>46247</v>
      </c>
      <c r="C629" s="297" t="inlineStr">
        <is>
          <t>Duplicate Keys</t>
        </is>
      </c>
      <c r="D629" s="298" t="inlineStr">
        <is>
          <t>No bill</t>
        </is>
      </c>
      <c r="E629" s="297" t="inlineStr">
        <is>
          <t>Office Supplies</t>
        </is>
      </c>
      <c r="F629" s="299" t="n">
        <v>180</v>
      </c>
      <c r="G629" s="300" t="inlineStr">
        <is>
          <t>Restaurant</t>
        </is>
      </c>
      <c r="H629" s="300" t="inlineStr">
        <is>
          <t>Cash</t>
        </is>
      </c>
      <c r="I629" s="301" t="inlineStr">
        <is>
          <t>✅ Paid</t>
        </is>
      </c>
      <c r="J629" s="423" t="inlineStr">
        <is>
          <t>No receipt; cash</t>
        </is>
      </c>
    </row>
    <row r="630">
      <c r="B630" s="429" t="n">
        <v>46247</v>
      </c>
      <c r="C630" s="297" t="inlineStr">
        <is>
          <t>Tomato</t>
        </is>
      </c>
      <c r="D630" s="298" t="inlineStr">
        <is>
          <t>No bill</t>
        </is>
      </c>
      <c r="E630" s="297" t="inlineStr">
        <is>
          <t>Ingredients - Vegetables</t>
        </is>
      </c>
      <c r="F630" s="299" t="n">
        <v>84</v>
      </c>
      <c r="G630" s="300" t="inlineStr">
        <is>
          <t>Restaurant</t>
        </is>
      </c>
      <c r="H630" s="300" t="inlineStr">
        <is>
          <t>Cash</t>
        </is>
      </c>
      <c r="I630" s="301" t="inlineStr">
        <is>
          <t>✅ Paid</t>
        </is>
      </c>
      <c r="J630" s="423" t="inlineStr">
        <is>
          <t>No receipt; cash</t>
        </is>
      </c>
    </row>
    <row r="631">
      <c r="B631" s="429" t="n">
        <v>46247</v>
      </c>
      <c r="C631" s="297" t="inlineStr">
        <is>
          <t>Jamon</t>
        </is>
      </c>
      <c r="D631" s="298" t="inlineStr">
        <is>
          <t>No bill</t>
        </is>
      </c>
      <c r="E631" s="297" t="inlineStr">
        <is>
          <t>Ingredients - Meat</t>
        </is>
      </c>
      <c r="F631" s="299" t="n">
        <v>90</v>
      </c>
      <c r="G631" s="300" t="inlineStr">
        <is>
          <t>Restaurant</t>
        </is>
      </c>
      <c r="H631" s="300" t="inlineStr">
        <is>
          <t>Cash</t>
        </is>
      </c>
      <c r="I631" s="301" t="inlineStr">
        <is>
          <t>✅ Paid</t>
        </is>
      </c>
      <c r="J631" s="423" t="inlineStr">
        <is>
          <t>No receipt; cash</t>
        </is>
      </c>
    </row>
    <row r="632">
      <c r="B632" s="429" t="n">
        <v>46247</v>
      </c>
      <c r="C632" s="297" t="inlineStr">
        <is>
          <t>Knife sharpening</t>
        </is>
      </c>
      <c r="D632" s="298" t="inlineStr">
        <is>
          <t>No bill</t>
        </is>
      </c>
      <c r="E632" s="297" t="inlineStr">
        <is>
          <t>Maintenance</t>
        </is>
      </c>
      <c r="F632" s="299" t="n">
        <v>100</v>
      </c>
      <c r="G632" s="300" t="inlineStr">
        <is>
          <t>Restaurant</t>
        </is>
      </c>
      <c r="H632" s="300" t="inlineStr">
        <is>
          <t>Cash</t>
        </is>
      </c>
      <c r="I632" s="301" t="inlineStr">
        <is>
          <t>✅ Paid</t>
        </is>
      </c>
      <c r="J632" s="423" t="inlineStr">
        <is>
          <t>No receipt; cash</t>
        </is>
      </c>
    </row>
    <row r="633">
      <c r="B633" s="429" t="n">
        <v>46248</v>
      </c>
      <c r="C633" s="297" t="inlineStr">
        <is>
          <t>Coca Cola</t>
        </is>
      </c>
      <c r="D633" s="298" t="inlineStr">
        <is>
          <t>No bill</t>
        </is>
      </c>
      <c r="E633" s="297" t="inlineStr">
        <is>
          <t>Ingredients - Beverages</t>
        </is>
      </c>
      <c r="F633" s="299" t="n">
        <v>876</v>
      </c>
      <c r="G633" s="300" t="inlineStr">
        <is>
          <t>Restaurant</t>
        </is>
      </c>
      <c r="H633" s="300" t="inlineStr">
        <is>
          <t>Cash</t>
        </is>
      </c>
      <c r="I633" s="301" t="inlineStr">
        <is>
          <t>✅ Paid</t>
        </is>
      </c>
      <c r="J633" s="423" t="inlineStr">
        <is>
          <t>No receipt; cash</t>
        </is>
      </c>
    </row>
    <row r="634">
      <c r="B634" s="429" t="n">
        <v>46248</v>
      </c>
      <c r="C634" s="297" t="inlineStr">
        <is>
          <t>Oven Repair</t>
        </is>
      </c>
      <c r="D634" s="298" t="inlineStr">
        <is>
          <t>No bill</t>
        </is>
      </c>
      <c r="E634" s="297" t="inlineStr">
        <is>
          <t>Maintenance</t>
        </is>
      </c>
      <c r="F634" s="299" t="n">
        <v>900</v>
      </c>
      <c r="G634" s="300" t="inlineStr">
        <is>
          <t>Restaurant</t>
        </is>
      </c>
      <c r="H634" s="300" t="inlineStr">
        <is>
          <t>Cash</t>
        </is>
      </c>
      <c r="I634" s="301" t="inlineStr">
        <is>
          <t>✅ Paid</t>
        </is>
      </c>
      <c r="J634" s="423" t="inlineStr">
        <is>
          <t>No receipt; cash</t>
        </is>
      </c>
    </row>
    <row r="635">
      <c r="B635" s="429" t="n">
        <v>46248</v>
      </c>
      <c r="C635" s="297" t="inlineStr">
        <is>
          <t>Oxxo Tortillas</t>
        </is>
      </c>
      <c r="D635" s="298" t="inlineStr">
        <is>
          <t>OXXO</t>
        </is>
      </c>
      <c r="E635" s="297" t="inlineStr">
        <is>
          <t>Ingredients - Bread</t>
        </is>
      </c>
      <c r="F635" s="299" t="n">
        <v>29</v>
      </c>
      <c r="G635" s="300" t="inlineStr">
        <is>
          <t>Restaurant</t>
        </is>
      </c>
      <c r="H635" s="300" t="inlineStr">
        <is>
          <t>Cash</t>
        </is>
      </c>
      <c r="I635" s="301" t="inlineStr">
        <is>
          <t>✅ Paid</t>
        </is>
      </c>
      <c r="J635" s="423" t="inlineStr">
        <is>
          <t>No receipt; cash</t>
        </is>
      </c>
    </row>
    <row r="636">
      <c r="B636" s="429" t="n">
        <v>46248</v>
      </c>
      <c r="C636" s="297" t="inlineStr">
        <is>
          <t>cake</t>
        </is>
      </c>
      <c r="D636" s="298" t="inlineStr">
        <is>
          <t>No bill</t>
        </is>
      </c>
      <c r="E636" s="297" t="inlineStr">
        <is>
          <t>Ingredients - Dairy</t>
        </is>
      </c>
      <c r="F636" s="299" t="n">
        <v>210</v>
      </c>
      <c r="G636" s="300" t="inlineStr">
        <is>
          <t>Restaurant</t>
        </is>
      </c>
      <c r="H636" s="300" t="inlineStr">
        <is>
          <t>Cash</t>
        </is>
      </c>
      <c r="I636" s="301" t="inlineStr">
        <is>
          <t>✅ Paid</t>
        </is>
      </c>
      <c r="J636" s="423" t="inlineStr">
        <is>
          <t>No receipt; cash</t>
        </is>
      </c>
    </row>
    <row r="637">
      <c r="B637" s="429" t="n">
        <v>46248</v>
      </c>
      <c r="C637" s="297" t="inlineStr">
        <is>
          <t>Samu - salary</t>
        </is>
      </c>
      <c r="D637" s="298" t="inlineStr">
        <is>
          <t>Payroll</t>
        </is>
      </c>
      <c r="E637" s="297" t="inlineStr">
        <is>
          <t>Staff - Salary</t>
        </is>
      </c>
      <c r="F637" s="299" t="n">
        <v>1200</v>
      </c>
      <c r="G637" s="300" t="inlineStr">
        <is>
          <t>Restaurant</t>
        </is>
      </c>
      <c r="H637" s="300" t="inlineStr">
        <is>
          <t>Cash</t>
        </is>
      </c>
      <c r="I637" s="301" t="inlineStr">
        <is>
          <t>✅ Paid</t>
        </is>
      </c>
      <c r="J637" s="423" t="inlineStr">
        <is>
          <t>Weekly salary</t>
        </is>
      </c>
    </row>
    <row r="638">
      <c r="B638" s="429" t="n">
        <v>46248</v>
      </c>
      <c r="C638" s="297" t="inlineStr">
        <is>
          <t>Armando - salary</t>
        </is>
      </c>
      <c r="D638" s="298" t="inlineStr">
        <is>
          <t>Payroll</t>
        </is>
      </c>
      <c r="E638" s="297" t="inlineStr">
        <is>
          <t>Staff - Salary</t>
        </is>
      </c>
      <c r="F638" s="299" t="n">
        <v>740</v>
      </c>
      <c r="G638" s="300" t="inlineStr">
        <is>
          <t>Restaurant</t>
        </is>
      </c>
      <c r="H638" s="300" t="inlineStr">
        <is>
          <t>Cash</t>
        </is>
      </c>
      <c r="I638" s="301" t="inlineStr">
        <is>
          <t>✅ Paid</t>
        </is>
      </c>
      <c r="J638" s="423" t="inlineStr">
        <is>
          <t>Weekly salary</t>
        </is>
      </c>
    </row>
    <row r="639">
      <c r="B639" s="429" t="n">
        <v>46249</v>
      </c>
      <c r="C639" s="297" t="inlineStr">
        <is>
          <t>Carne Bistec</t>
        </is>
      </c>
      <c r="D639" s="298" t="inlineStr">
        <is>
          <t>No bill</t>
        </is>
      </c>
      <c r="E639" s="297" t="inlineStr">
        <is>
          <t>Ingredients - Meat</t>
        </is>
      </c>
      <c r="F639" s="299" t="n">
        <v>116</v>
      </c>
      <c r="G639" s="300" t="inlineStr">
        <is>
          <t>Restaurant</t>
        </is>
      </c>
      <c r="H639" s="300" t="inlineStr">
        <is>
          <t>Cash</t>
        </is>
      </c>
      <c r="I639" s="301" t="inlineStr">
        <is>
          <t>✅ Paid</t>
        </is>
      </c>
      <c r="J639" s="423" t="inlineStr">
        <is>
          <t>No receipt; cash</t>
        </is>
      </c>
    </row>
    <row r="640">
      <c r="B640" s="429" t="n">
        <v>46249</v>
      </c>
      <c r="C640" s="297" t="inlineStr">
        <is>
          <t>Vegetables</t>
        </is>
      </c>
      <c r="D640" s="298" t="inlineStr">
        <is>
          <t>No bill</t>
        </is>
      </c>
      <c r="E640" s="297" t="inlineStr">
        <is>
          <t>Ingredients - Vegetables</t>
        </is>
      </c>
      <c r="F640" s="299" t="n">
        <v>57</v>
      </c>
      <c r="G640" s="300" t="inlineStr">
        <is>
          <t>Restaurant</t>
        </is>
      </c>
      <c r="H640" s="300" t="inlineStr">
        <is>
          <t>Cash</t>
        </is>
      </c>
      <c r="I640" s="301" t="inlineStr">
        <is>
          <t>✅ Paid</t>
        </is>
      </c>
      <c r="J640" s="423" t="inlineStr">
        <is>
          <t>No receipt; cash</t>
        </is>
      </c>
    </row>
    <row r="641">
      <c r="B641" s="429" t="n">
        <v>46249</v>
      </c>
      <c r="C641" s="297" t="inlineStr">
        <is>
          <t>Chedraui</t>
        </is>
      </c>
      <c r="D641" s="298" t="inlineStr">
        <is>
          <t>Chedraui</t>
        </is>
      </c>
      <c r="E641" s="297" t="inlineStr">
        <is>
          <t>Supermarket/General</t>
        </is>
      </c>
      <c r="F641" s="299" t="n">
        <v>108</v>
      </c>
      <c r="G641" s="300" t="inlineStr">
        <is>
          <t>Restaurant</t>
        </is>
      </c>
      <c r="H641" s="300" t="inlineStr">
        <is>
          <t>Cash</t>
        </is>
      </c>
      <c r="I641" s="301" t="inlineStr">
        <is>
          <t>✅ Paid</t>
        </is>
      </c>
      <c r="J641" s="423" t="inlineStr">
        <is>
          <t>No receipt; cash</t>
        </is>
      </c>
    </row>
    <row r="642">
      <c r="B642" s="429" t="n">
        <v>46249</v>
      </c>
      <c r="C642" s="297" t="inlineStr">
        <is>
          <t>Oxxo Panela</t>
        </is>
      </c>
      <c r="D642" s="298" t="inlineStr">
        <is>
          <t>OXXO</t>
        </is>
      </c>
      <c r="E642" s="297" t="inlineStr">
        <is>
          <t>Ingredients - Dairy</t>
        </is>
      </c>
      <c r="F642" s="299" t="n">
        <v>47</v>
      </c>
      <c r="G642" s="300" t="inlineStr">
        <is>
          <t>Restaurant</t>
        </is>
      </c>
      <c r="H642" s="300" t="inlineStr">
        <is>
          <t>Cash</t>
        </is>
      </c>
      <c r="I642" s="301" t="inlineStr">
        <is>
          <t>✅ Paid</t>
        </is>
      </c>
      <c r="J642" s="423" t="inlineStr">
        <is>
          <t>No receipt; cash</t>
        </is>
      </c>
    </row>
    <row r="643">
      <c r="B643" s="429" t="n">
        <v>46249</v>
      </c>
      <c r="C643" s="297" t="inlineStr">
        <is>
          <t>Queso Panela</t>
        </is>
      </c>
      <c r="D643" s="298" t="inlineStr">
        <is>
          <t>No bill</t>
        </is>
      </c>
      <c r="E643" s="297" t="inlineStr">
        <is>
          <t>Ingredients - Dairy</t>
        </is>
      </c>
      <c r="F643" s="299" t="n">
        <v>590</v>
      </c>
      <c r="G643" s="300" t="inlineStr">
        <is>
          <t>Restaurant</t>
        </is>
      </c>
      <c r="H643" s="300" t="inlineStr">
        <is>
          <t>Cash</t>
        </is>
      </c>
      <c r="I643" s="301" t="inlineStr">
        <is>
          <t>✅ Paid</t>
        </is>
      </c>
      <c r="J643" s="423" t="inlineStr">
        <is>
          <t>No receipt; cash</t>
        </is>
      </c>
    </row>
    <row r="644">
      <c r="B644" s="429" t="n">
        <v>46249</v>
      </c>
      <c r="C644" s="297" t="inlineStr">
        <is>
          <t>Pollo</t>
        </is>
      </c>
      <c r="D644" s="298" t="inlineStr">
        <is>
          <t>No bill</t>
        </is>
      </c>
      <c r="E644" s="297" t="inlineStr">
        <is>
          <t>Ingredients - Meat</t>
        </is>
      </c>
      <c r="F644" s="299" t="n">
        <v>368</v>
      </c>
      <c r="G644" s="300" t="inlineStr">
        <is>
          <t>Lohith</t>
        </is>
      </c>
      <c r="H644" s="300" t="inlineStr">
        <is>
          <t>Cash</t>
        </is>
      </c>
      <c r="I644" s="301" t="inlineStr">
        <is>
          <t>✅ Paid</t>
        </is>
      </c>
      <c r="J644" s="423" t="inlineStr">
        <is>
          <t>Pagado por Lohith (bolsillo); reembolsable via Owner Ledger</t>
        </is>
      </c>
    </row>
    <row r="645">
      <c r="B645" s="429" t="n">
        <v>46249</v>
      </c>
      <c r="C645" s="297" t="inlineStr">
        <is>
          <t>Pollo</t>
        </is>
      </c>
      <c r="D645" s="298" t="inlineStr">
        <is>
          <t>No bill</t>
        </is>
      </c>
      <c r="E645" s="297" t="inlineStr">
        <is>
          <t>Ingredients - Meat</t>
        </is>
      </c>
      <c r="F645" s="299" t="n">
        <v>995</v>
      </c>
      <c r="G645" s="300" t="inlineStr">
        <is>
          <t>Lohith</t>
        </is>
      </c>
      <c r="H645" s="300" t="inlineStr">
        <is>
          <t>Cash</t>
        </is>
      </c>
      <c r="I645" s="301" t="inlineStr">
        <is>
          <t>✅ Paid</t>
        </is>
      </c>
      <c r="J645" s="423" t="inlineStr">
        <is>
          <t>Pagado por Lohith (bolsillo); reembolsable via Owner Ledger</t>
        </is>
      </c>
    </row>
    <row r="646">
      <c r="B646" s="429" t="n">
        <v>46249</v>
      </c>
      <c r="C646" s="297" t="inlineStr">
        <is>
          <t>Duvi - salary</t>
        </is>
      </c>
      <c r="D646" s="298" t="inlineStr">
        <is>
          <t>Payroll</t>
        </is>
      </c>
      <c r="E646" s="297" t="inlineStr">
        <is>
          <t>Staff - Salary</t>
        </is>
      </c>
      <c r="F646" s="299" t="n">
        <v>1500</v>
      </c>
      <c r="G646" s="300" t="inlineStr">
        <is>
          <t>Restaurant</t>
        </is>
      </c>
      <c r="H646" s="300" t="inlineStr">
        <is>
          <t>Cash</t>
        </is>
      </c>
      <c r="I646" s="301" t="inlineStr">
        <is>
          <t>✅ Paid</t>
        </is>
      </c>
      <c r="J646" s="423" t="inlineStr">
        <is>
          <t>Weekly salary</t>
        </is>
      </c>
    </row>
    <row r="647">
      <c r="B647" s="429" t="n">
        <v>46249</v>
      </c>
      <c r="C647" s="297" t="inlineStr">
        <is>
          <t>Jhon - salary</t>
        </is>
      </c>
      <c r="D647" s="298" t="inlineStr">
        <is>
          <t>Payroll</t>
        </is>
      </c>
      <c r="E647" s="297" t="inlineStr">
        <is>
          <t>Staff - Salary</t>
        </is>
      </c>
      <c r="F647" s="299" t="n">
        <v>3750</v>
      </c>
      <c r="G647" s="300" t="inlineStr">
        <is>
          <t>Restaurant</t>
        </is>
      </c>
      <c r="H647" s="300" t="inlineStr">
        <is>
          <t>Cash</t>
        </is>
      </c>
      <c r="I647" s="301" t="inlineStr">
        <is>
          <t>✅ Paid</t>
        </is>
      </c>
      <c r="J647" s="423" t="inlineStr">
        <is>
          <t>Weekly salary</t>
        </is>
      </c>
    </row>
    <row r="648">
      <c r="B648" s="429" t="n">
        <v>46251</v>
      </c>
      <c r="C648" s="297" t="inlineStr">
        <is>
          <t>Pan Dulce</t>
        </is>
      </c>
      <c r="D648" s="298" t="inlineStr">
        <is>
          <t>No bill</t>
        </is>
      </c>
      <c r="E648" s="297" t="inlineStr">
        <is>
          <t>Ingredients - Bread</t>
        </is>
      </c>
      <c r="F648" s="299" t="n">
        <v>55</v>
      </c>
      <c r="G648" s="300" t="inlineStr">
        <is>
          <t>Restaurant</t>
        </is>
      </c>
      <c r="H648" s="300" t="inlineStr">
        <is>
          <t>Cash</t>
        </is>
      </c>
      <c r="I648" s="301" t="inlineStr">
        <is>
          <t>✅ Paid</t>
        </is>
      </c>
      <c r="J648" s="423" t="inlineStr">
        <is>
          <t>No receipt; cash</t>
        </is>
      </c>
    </row>
    <row r="649">
      <c r="B649" s="429" t="n">
        <v>46251</v>
      </c>
      <c r="C649" s="297" t="inlineStr">
        <is>
          <t>Tortillas</t>
        </is>
      </c>
      <c r="D649" s="298" t="inlineStr">
        <is>
          <t>No bill</t>
        </is>
      </c>
      <c r="E649" s="297" t="inlineStr">
        <is>
          <t>Ingredients - Bread</t>
        </is>
      </c>
      <c r="F649" s="299" t="n">
        <v>26</v>
      </c>
      <c r="G649" s="300" t="inlineStr">
        <is>
          <t>Restaurant</t>
        </is>
      </c>
      <c r="H649" s="300" t="inlineStr">
        <is>
          <t>Cash</t>
        </is>
      </c>
      <c r="I649" s="301" t="inlineStr">
        <is>
          <t>✅ Paid</t>
        </is>
      </c>
      <c r="J649" s="423" t="inlineStr">
        <is>
          <t>No receipt; cash</t>
        </is>
      </c>
    </row>
    <row r="650">
      <c r="B650" s="429" t="n">
        <v>46251</v>
      </c>
      <c r="C650" s="297" t="inlineStr">
        <is>
          <t>Carne</t>
        </is>
      </c>
      <c r="D650" s="298" t="inlineStr">
        <is>
          <t>No bill</t>
        </is>
      </c>
      <c r="E650" s="297" t="inlineStr">
        <is>
          <t>Ingredients - Meat</t>
        </is>
      </c>
      <c r="F650" s="299" t="n">
        <v>674</v>
      </c>
      <c r="G650" s="300" t="inlineStr">
        <is>
          <t>Restaurant</t>
        </is>
      </c>
      <c r="H650" s="300" t="inlineStr">
        <is>
          <t>Cash</t>
        </is>
      </c>
      <c r="I650" s="301" t="inlineStr">
        <is>
          <t>✅ Paid</t>
        </is>
      </c>
      <c r="J650" s="423" t="inlineStr">
        <is>
          <t>No receipt; cash</t>
        </is>
      </c>
    </row>
    <row r="651">
      <c r="B651" s="429" t="n">
        <v>46251</v>
      </c>
      <c r="C651" s="297" t="inlineStr">
        <is>
          <t>Vegetables</t>
        </is>
      </c>
      <c r="D651" s="298" t="inlineStr">
        <is>
          <t>No bill</t>
        </is>
      </c>
      <c r="E651" s="297" t="inlineStr">
        <is>
          <t>Ingredients - Vegetables</t>
        </is>
      </c>
      <c r="F651" s="299" t="n">
        <v>1850</v>
      </c>
      <c r="G651" s="300" t="inlineStr">
        <is>
          <t>Restaurant</t>
        </is>
      </c>
      <c r="H651" s="300" t="inlineStr">
        <is>
          <t>Cash</t>
        </is>
      </c>
      <c r="I651" s="301" t="inlineStr">
        <is>
          <t>✅ Paid</t>
        </is>
      </c>
      <c r="J651" s="423" t="inlineStr">
        <is>
          <t>No receipt; cash</t>
        </is>
      </c>
    </row>
    <row r="652">
      <c r="B652" s="429" t="n">
        <v>46251</v>
      </c>
      <c r="C652" s="297" t="inlineStr">
        <is>
          <t>Sams club</t>
        </is>
      </c>
      <c r="D652" s="298" t="inlineStr">
        <is>
          <t>Sam's Club</t>
        </is>
      </c>
      <c r="E652" s="297" t="inlineStr">
        <is>
          <t>Supermarket/General</t>
        </is>
      </c>
      <c r="F652" s="299" t="n">
        <v>789</v>
      </c>
      <c r="G652" s="300" t="inlineStr">
        <is>
          <t>Restaurant</t>
        </is>
      </c>
      <c r="H652" s="300" t="inlineStr">
        <is>
          <t>Cash</t>
        </is>
      </c>
      <c r="I652" s="301" t="inlineStr">
        <is>
          <t>✅ Paid</t>
        </is>
      </c>
      <c r="J652" s="423" t="inlineStr">
        <is>
          <t>No receipt; cash</t>
        </is>
      </c>
    </row>
    <row r="653">
      <c r="B653" s="429" t="n">
        <v>46251</v>
      </c>
      <c r="C653" s="297" t="inlineStr">
        <is>
          <t>Telmex</t>
        </is>
      </c>
      <c r="D653" s="298" t="inlineStr">
        <is>
          <t>No bill</t>
        </is>
      </c>
      <c r="E653" s="297" t="inlineStr">
        <is>
          <t>Utilities/Internet</t>
        </is>
      </c>
      <c r="F653" s="299" t="n">
        <v>349</v>
      </c>
      <c r="G653" s="300" t="inlineStr">
        <is>
          <t>Lohith</t>
        </is>
      </c>
      <c r="H653" s="300" t="inlineStr">
        <is>
          <t>Cash</t>
        </is>
      </c>
      <c r="I653" s="301" t="inlineStr">
        <is>
          <t>✅ Paid</t>
        </is>
      </c>
      <c r="J653" s="423" t="inlineStr">
        <is>
          <t>Pagado por Lohith (bolsillo); reembolsable via Owner Ledger</t>
        </is>
      </c>
    </row>
    <row r="654">
      <c r="B654" s="429" t="n">
        <v>46252</v>
      </c>
      <c r="C654" s="297" t="inlineStr">
        <is>
          <t>pan reales</t>
        </is>
      </c>
      <c r="D654" s="298" t="inlineStr">
        <is>
          <t>Pan Reales</t>
        </is>
      </c>
      <c r="E654" s="297" t="inlineStr">
        <is>
          <t>Ingredients - Bread</t>
        </is>
      </c>
      <c r="F654" s="299" t="n">
        <v>475</v>
      </c>
      <c r="G654" s="300" t="inlineStr">
        <is>
          <t>Restaurant</t>
        </is>
      </c>
      <c r="H654" s="300" t="inlineStr">
        <is>
          <t>Cash</t>
        </is>
      </c>
      <c r="I654" s="301" t="inlineStr">
        <is>
          <t>✅ Paid</t>
        </is>
      </c>
      <c r="J654" s="423" t="inlineStr">
        <is>
          <t>No receipt; cash</t>
        </is>
      </c>
    </row>
    <row r="655">
      <c r="B655" s="429" t="n">
        <v>46252</v>
      </c>
      <c r="C655" s="297" t="inlineStr">
        <is>
          <t>sams club</t>
        </is>
      </c>
      <c r="D655" s="298" t="inlineStr">
        <is>
          <t>Sam's Club</t>
        </is>
      </c>
      <c r="E655" s="297" t="inlineStr">
        <is>
          <t>Supermarket/General</t>
        </is>
      </c>
      <c r="F655" s="299" t="n">
        <v>1254</v>
      </c>
      <c r="G655" s="300" t="inlineStr">
        <is>
          <t>Restaurant</t>
        </is>
      </c>
      <c r="H655" s="300" t="inlineStr">
        <is>
          <t>Cash</t>
        </is>
      </c>
      <c r="I655" s="301" t="inlineStr">
        <is>
          <t>✅ Paid</t>
        </is>
      </c>
      <c r="J655" s="423" t="inlineStr">
        <is>
          <t>No receipt; cash</t>
        </is>
      </c>
    </row>
    <row r="656">
      <c r="B656" s="429" t="n">
        <v>46252</v>
      </c>
      <c r="C656" s="297" t="inlineStr">
        <is>
          <t>Carne</t>
        </is>
      </c>
      <c r="D656" s="298" t="inlineStr">
        <is>
          <t>No bill</t>
        </is>
      </c>
      <c r="E656" s="297" t="inlineStr">
        <is>
          <t>Ingredients - Meat</t>
        </is>
      </c>
      <c r="F656" s="299" t="n">
        <v>491</v>
      </c>
      <c r="G656" s="300" t="inlineStr">
        <is>
          <t>Restaurant</t>
        </is>
      </c>
      <c r="H656" s="300" t="inlineStr">
        <is>
          <t>Cash</t>
        </is>
      </c>
      <c r="I656" s="301" t="inlineStr">
        <is>
          <t>✅ Paid</t>
        </is>
      </c>
      <c r="J656" s="423" t="inlineStr">
        <is>
          <t>No receipt; cash</t>
        </is>
      </c>
    </row>
    <row r="657">
      <c r="B657" s="429" t="n">
        <v>46252</v>
      </c>
      <c r="C657" s="297" t="inlineStr">
        <is>
          <t>Chedraui</t>
        </is>
      </c>
      <c r="D657" s="298" t="inlineStr">
        <is>
          <t>Chedraui</t>
        </is>
      </c>
      <c r="E657" s="297" t="inlineStr">
        <is>
          <t>Supermarket/General</t>
        </is>
      </c>
      <c r="F657" s="299" t="n">
        <v>312</v>
      </c>
      <c r="G657" s="300" t="inlineStr">
        <is>
          <t>Restaurant</t>
        </is>
      </c>
      <c r="H657" s="300" t="inlineStr">
        <is>
          <t>Cash</t>
        </is>
      </c>
      <c r="I657" s="301" t="inlineStr">
        <is>
          <t>✅ Paid</t>
        </is>
      </c>
      <c r="J657" s="423" t="inlineStr">
        <is>
          <t>No receipt; cash</t>
        </is>
      </c>
    </row>
    <row r="658">
      <c r="B658" s="429" t="n">
        <v>46252</v>
      </c>
      <c r="C658" s="297" t="inlineStr">
        <is>
          <t>Oxxo Arroz</t>
        </is>
      </c>
      <c r="D658" s="298" t="inlineStr">
        <is>
          <t>OXXO</t>
        </is>
      </c>
      <c r="E658" s="297" t="inlineStr">
        <is>
          <t>Ingredients - Pantry</t>
        </is>
      </c>
      <c r="F658" s="299" t="n">
        <v>71</v>
      </c>
      <c r="G658" s="300" t="inlineStr">
        <is>
          <t>Restaurant</t>
        </is>
      </c>
      <c r="H658" s="300" t="inlineStr">
        <is>
          <t>Cash</t>
        </is>
      </c>
      <c r="I658" s="301" t="inlineStr">
        <is>
          <t>✅ Paid</t>
        </is>
      </c>
      <c r="J658" s="423" t="inlineStr">
        <is>
          <t>No receipt; cash</t>
        </is>
      </c>
    </row>
    <row r="659">
      <c r="B659" s="429" t="n">
        <v>46253</v>
      </c>
      <c r="C659" s="297" t="inlineStr">
        <is>
          <t>Hielo</t>
        </is>
      </c>
      <c r="D659" s="298" t="inlineStr">
        <is>
          <t>No bill</t>
        </is>
      </c>
      <c r="E659" s="297" t="inlineStr">
        <is>
          <t>Kitchen Supplies</t>
        </is>
      </c>
      <c r="F659" s="299" t="n">
        <v>100</v>
      </c>
      <c r="G659" s="300" t="inlineStr">
        <is>
          <t>Restaurant</t>
        </is>
      </c>
      <c r="H659" s="300" t="inlineStr">
        <is>
          <t>Cash</t>
        </is>
      </c>
      <c r="I659" s="301" t="inlineStr">
        <is>
          <t>✅ Paid</t>
        </is>
      </c>
      <c r="J659" s="423" t="inlineStr">
        <is>
          <t>No receipt; cash</t>
        </is>
      </c>
    </row>
    <row r="660">
      <c r="B660" s="429" t="n">
        <v>46253</v>
      </c>
      <c r="C660" s="297" t="inlineStr">
        <is>
          <t>Carne</t>
        </is>
      </c>
      <c r="D660" s="298" t="inlineStr">
        <is>
          <t>No bill</t>
        </is>
      </c>
      <c r="E660" s="297" t="inlineStr">
        <is>
          <t>Ingredients - Meat</t>
        </is>
      </c>
      <c r="F660" s="299" t="n">
        <v>137</v>
      </c>
      <c r="G660" s="300" t="inlineStr">
        <is>
          <t>Restaurant</t>
        </is>
      </c>
      <c r="H660" s="300" t="inlineStr">
        <is>
          <t>Cash</t>
        </is>
      </c>
      <c r="I660" s="301" t="inlineStr">
        <is>
          <t>✅ Paid</t>
        </is>
      </c>
      <c r="J660" s="423" t="inlineStr">
        <is>
          <t>No receipt; cash</t>
        </is>
      </c>
    </row>
    <row r="661">
      <c r="B661" s="429" t="n">
        <v>46253</v>
      </c>
      <c r="C661" s="297" t="inlineStr">
        <is>
          <t>office depot comanda</t>
        </is>
      </c>
      <c r="D661" s="298" t="inlineStr">
        <is>
          <t>No bill</t>
        </is>
      </c>
      <c r="E661" s="297" t="inlineStr">
        <is>
          <t>Office Supplies</t>
        </is>
      </c>
      <c r="F661" s="299" t="n">
        <v>59</v>
      </c>
      <c r="G661" s="300" t="inlineStr">
        <is>
          <t>Restaurant</t>
        </is>
      </c>
      <c r="H661" s="300" t="inlineStr">
        <is>
          <t>Cash</t>
        </is>
      </c>
      <c r="I661" s="301" t="inlineStr">
        <is>
          <t>✅ Paid</t>
        </is>
      </c>
      <c r="J661" s="423" t="inlineStr">
        <is>
          <t>No receipt; cash</t>
        </is>
      </c>
    </row>
    <row r="662">
      <c r="B662" s="429" t="n">
        <v>46253</v>
      </c>
      <c r="C662" s="297" t="inlineStr">
        <is>
          <t>sams club</t>
        </is>
      </c>
      <c r="D662" s="298" t="inlineStr">
        <is>
          <t>Sam's Club</t>
        </is>
      </c>
      <c r="E662" s="297" t="inlineStr">
        <is>
          <t>Supermarket/General</t>
        </is>
      </c>
      <c r="F662" s="299" t="n">
        <v>1911</v>
      </c>
      <c r="G662" s="300" t="inlineStr">
        <is>
          <t>Restaurant</t>
        </is>
      </c>
      <c r="H662" s="300" t="inlineStr">
        <is>
          <t>Cash</t>
        </is>
      </c>
      <c r="I662" s="301" t="inlineStr">
        <is>
          <t>✅ Paid</t>
        </is>
      </c>
      <c r="J662" s="423" t="inlineStr">
        <is>
          <t>No receipt; cash</t>
        </is>
      </c>
    </row>
    <row r="663">
      <c r="B663" s="429" t="n">
        <v>46253</v>
      </c>
      <c r="C663" s="297" t="inlineStr">
        <is>
          <t>Oxxo Coca</t>
        </is>
      </c>
      <c r="D663" s="298" t="inlineStr">
        <is>
          <t>OXXO</t>
        </is>
      </c>
      <c r="E663" s="297" t="inlineStr">
        <is>
          <t>Ingredients - Pantry</t>
        </is>
      </c>
      <c r="F663" s="299" t="n">
        <v>55</v>
      </c>
      <c r="G663" s="300" t="inlineStr">
        <is>
          <t>Restaurant</t>
        </is>
      </c>
      <c r="H663" s="300" t="inlineStr">
        <is>
          <t>Cash</t>
        </is>
      </c>
      <c r="I663" s="301" t="inlineStr">
        <is>
          <t>✅ Paid</t>
        </is>
      </c>
      <c r="J663" s="423" t="inlineStr">
        <is>
          <t>No receipt; cash</t>
        </is>
      </c>
    </row>
    <row r="664">
      <c r="B664" s="429" t="n">
        <v>46253</v>
      </c>
      <c r="C664" s="297" t="inlineStr">
        <is>
          <t>Oxxo Aceite</t>
        </is>
      </c>
      <c r="D664" s="298" t="inlineStr">
        <is>
          <t>OXXO</t>
        </is>
      </c>
      <c r="E664" s="297" t="inlineStr">
        <is>
          <t>Ingredients - Pantry</t>
        </is>
      </c>
      <c r="F664" s="299" t="n">
        <v>280</v>
      </c>
      <c r="G664" s="300" t="inlineStr">
        <is>
          <t>Restaurant</t>
        </is>
      </c>
      <c r="H664" s="300" t="inlineStr">
        <is>
          <t>Cash</t>
        </is>
      </c>
      <c r="I664" s="301" t="inlineStr">
        <is>
          <t>✅ Paid</t>
        </is>
      </c>
      <c r="J664" s="423" t="inlineStr">
        <is>
          <t>No receipt; cash</t>
        </is>
      </c>
    </row>
    <row r="665">
      <c r="B665" s="429" t="n">
        <v>46253</v>
      </c>
      <c r="C665" s="297" t="inlineStr">
        <is>
          <t>Pollo</t>
        </is>
      </c>
      <c r="D665" s="298" t="inlineStr">
        <is>
          <t>No bill</t>
        </is>
      </c>
      <c r="E665" s="297" t="inlineStr">
        <is>
          <t>Ingredients - Meat</t>
        </is>
      </c>
      <c r="F665" s="299" t="n">
        <v>418</v>
      </c>
      <c r="G665" s="300" t="inlineStr">
        <is>
          <t>Lohith</t>
        </is>
      </c>
      <c r="H665" s="300" t="inlineStr">
        <is>
          <t>Cash</t>
        </is>
      </c>
      <c r="I665" s="301" t="inlineStr">
        <is>
          <t>✅ Paid</t>
        </is>
      </c>
      <c r="J665" s="423" t="inlineStr">
        <is>
          <t>Pagado por Lohith (bolsillo); reembolsable via Owner Ledger</t>
        </is>
      </c>
    </row>
    <row r="666">
      <c r="B666" s="429" t="n">
        <v>46254</v>
      </c>
      <c r="C666" s="297" t="inlineStr">
        <is>
          <t>Pescado</t>
        </is>
      </c>
      <c r="D666" s="298" t="inlineStr">
        <is>
          <t>No bill</t>
        </is>
      </c>
      <c r="E666" s="297" t="inlineStr">
        <is>
          <t>Ingredients - Meat &amp; Fish</t>
        </is>
      </c>
      <c r="F666" s="299" t="n">
        <v>340</v>
      </c>
      <c r="G666" s="300" t="inlineStr">
        <is>
          <t>Restaurant</t>
        </is>
      </c>
      <c r="H666" s="300" t="inlineStr">
        <is>
          <t>Cash</t>
        </is>
      </c>
      <c r="I666" s="301" t="inlineStr">
        <is>
          <t>✅ Paid</t>
        </is>
      </c>
      <c r="J666" s="423" t="inlineStr">
        <is>
          <t>No receipt; cash</t>
        </is>
      </c>
    </row>
    <row r="667">
      <c r="B667" s="429" t="n">
        <v>46255</v>
      </c>
      <c r="C667" s="297" t="inlineStr">
        <is>
          <t>Carne</t>
        </is>
      </c>
      <c r="D667" s="298" t="inlineStr">
        <is>
          <t>No bill</t>
        </is>
      </c>
      <c r="E667" s="297" t="inlineStr">
        <is>
          <t>Ingredients - Meat</t>
        </is>
      </c>
      <c r="F667" s="299" t="n">
        <v>1176</v>
      </c>
      <c r="G667" s="300" t="inlineStr">
        <is>
          <t>Restaurant</t>
        </is>
      </c>
      <c r="H667" s="300" t="inlineStr">
        <is>
          <t>Cash</t>
        </is>
      </c>
      <c r="I667" s="301" t="inlineStr">
        <is>
          <t>✅ Paid</t>
        </is>
      </c>
      <c r="J667" s="423" t="inlineStr">
        <is>
          <t>No receipt; cash</t>
        </is>
      </c>
    </row>
    <row r="668">
      <c r="B668" s="429" t="n">
        <v>46255</v>
      </c>
      <c r="C668" s="297" t="inlineStr">
        <is>
          <t>Carne</t>
        </is>
      </c>
      <c r="D668" s="298" t="inlineStr">
        <is>
          <t>No bill</t>
        </is>
      </c>
      <c r="E668" s="297" t="inlineStr">
        <is>
          <t>Ingredients - Meat</t>
        </is>
      </c>
      <c r="F668" s="299" t="n">
        <v>340</v>
      </c>
      <c r="G668" s="300" t="inlineStr">
        <is>
          <t>Restaurant</t>
        </is>
      </c>
      <c r="H668" s="300" t="inlineStr">
        <is>
          <t>Cash</t>
        </is>
      </c>
      <c r="I668" s="301" t="inlineStr">
        <is>
          <t>✅ Paid</t>
        </is>
      </c>
      <c r="J668" s="423" t="inlineStr">
        <is>
          <t>No receipt; cash</t>
        </is>
      </c>
    </row>
    <row r="669">
      <c r="B669" s="429" t="n">
        <v>46255</v>
      </c>
      <c r="C669" s="297" t="inlineStr">
        <is>
          <t>Vegetables</t>
        </is>
      </c>
      <c r="D669" s="298" t="inlineStr">
        <is>
          <t>No bill</t>
        </is>
      </c>
      <c r="E669" s="297" t="inlineStr">
        <is>
          <t>Ingredients - Vegetables</t>
        </is>
      </c>
      <c r="F669" s="299" t="n">
        <v>114</v>
      </c>
      <c r="G669" s="300" t="inlineStr">
        <is>
          <t>Restaurant</t>
        </is>
      </c>
      <c r="H669" s="300" t="inlineStr">
        <is>
          <t>Cash</t>
        </is>
      </c>
      <c r="I669" s="301" t="inlineStr">
        <is>
          <t>✅ Paid</t>
        </is>
      </c>
      <c r="J669" s="423" t="inlineStr">
        <is>
          <t>No receipt; cash</t>
        </is>
      </c>
    </row>
    <row r="670">
      <c r="B670" s="429" t="n">
        <v>46255</v>
      </c>
      <c r="C670" s="297" t="inlineStr">
        <is>
          <t>Agua Natural</t>
        </is>
      </c>
      <c r="D670" s="298" t="inlineStr">
        <is>
          <t>No bill</t>
        </is>
      </c>
      <c r="E670" s="297" t="inlineStr">
        <is>
          <t>Ingredients - Beverages</t>
        </is>
      </c>
      <c r="F670" s="299" t="n">
        <v>30</v>
      </c>
      <c r="G670" s="300" t="inlineStr">
        <is>
          <t>Restaurant</t>
        </is>
      </c>
      <c r="H670" s="300" t="inlineStr">
        <is>
          <t>Cash</t>
        </is>
      </c>
      <c r="I670" s="301" t="inlineStr">
        <is>
          <t>✅ Paid</t>
        </is>
      </c>
      <c r="J670" s="423" t="inlineStr">
        <is>
          <t>No receipt; cash</t>
        </is>
      </c>
    </row>
    <row r="671">
      <c r="B671" s="429" t="n">
        <v>46255</v>
      </c>
      <c r="C671" s="297" t="inlineStr">
        <is>
          <t>Chedraui</t>
        </is>
      </c>
      <c r="D671" s="298" t="inlineStr">
        <is>
          <t>Chedraui</t>
        </is>
      </c>
      <c r="E671" s="297" t="inlineStr">
        <is>
          <t>Supermarket/General</t>
        </is>
      </c>
      <c r="F671" s="299" t="n">
        <v>70</v>
      </c>
      <c r="G671" s="300" t="inlineStr">
        <is>
          <t>Restaurant</t>
        </is>
      </c>
      <c r="H671" s="300" t="inlineStr">
        <is>
          <t>Cash</t>
        </is>
      </c>
      <c r="I671" s="301" t="inlineStr">
        <is>
          <t>✅ Paid</t>
        </is>
      </c>
      <c r="J671" s="423" t="inlineStr">
        <is>
          <t>No receipt; cash</t>
        </is>
      </c>
    </row>
    <row r="672">
      <c r="B672" s="429" t="n">
        <v>46255</v>
      </c>
      <c r="C672" s="297" t="inlineStr">
        <is>
          <t>Pan Reales</t>
        </is>
      </c>
      <c r="D672" s="298" t="inlineStr">
        <is>
          <t>Pan Reales</t>
        </is>
      </c>
      <c r="E672" s="297" t="inlineStr">
        <is>
          <t>Ingredients - Bread</t>
        </is>
      </c>
      <c r="F672" s="299" t="n">
        <v>156</v>
      </c>
      <c r="G672" s="300" t="inlineStr">
        <is>
          <t>Restaurant</t>
        </is>
      </c>
      <c r="H672" s="300" t="inlineStr">
        <is>
          <t>Cash</t>
        </is>
      </c>
      <c r="I672" s="301" t="inlineStr">
        <is>
          <t>✅ Paid</t>
        </is>
      </c>
      <c r="J672" s="423" t="inlineStr">
        <is>
          <t>No receipt; cash</t>
        </is>
      </c>
    </row>
    <row r="673">
      <c r="B673" s="429" t="n">
        <v>46255</v>
      </c>
      <c r="C673" s="297" t="inlineStr">
        <is>
          <t>Armando - salary</t>
        </is>
      </c>
      <c r="D673" s="298" t="inlineStr">
        <is>
          <t>Payroll</t>
        </is>
      </c>
      <c r="E673" s="297" t="inlineStr">
        <is>
          <t>Staff - Salary</t>
        </is>
      </c>
      <c r="F673" s="299" t="n">
        <v>1850</v>
      </c>
      <c r="G673" s="300" t="inlineStr">
        <is>
          <t>Restaurant</t>
        </is>
      </c>
      <c r="H673" s="300" t="inlineStr">
        <is>
          <t>Cash</t>
        </is>
      </c>
      <c r="I673" s="301" t="inlineStr">
        <is>
          <t>✅ Paid</t>
        </is>
      </c>
      <c r="J673" s="423" t="inlineStr">
        <is>
          <t>Weekly salary</t>
        </is>
      </c>
    </row>
    <row r="674">
      <c r="B674" s="429" t="n">
        <v>46256</v>
      </c>
      <c r="C674" s="297" t="inlineStr">
        <is>
          <t>Vegetables</t>
        </is>
      </c>
      <c r="D674" s="298" t="inlineStr">
        <is>
          <t>No bill</t>
        </is>
      </c>
      <c r="E674" s="297" t="inlineStr">
        <is>
          <t>Ingredients - Vegetables</t>
        </is>
      </c>
      <c r="F674" s="299" t="n">
        <v>109</v>
      </c>
      <c r="G674" s="300" t="inlineStr">
        <is>
          <t>Restaurant</t>
        </is>
      </c>
      <c r="H674" s="300" t="inlineStr">
        <is>
          <t>Cash</t>
        </is>
      </c>
      <c r="I674" s="301" t="inlineStr">
        <is>
          <t>✅ Paid</t>
        </is>
      </c>
      <c r="J674" s="423" t="inlineStr">
        <is>
          <t>No receipt; cash</t>
        </is>
      </c>
    </row>
    <row r="675">
      <c r="B675" s="429" t="n">
        <v>46256</v>
      </c>
      <c r="C675" s="297" t="inlineStr">
        <is>
          <t>Jhon - salary</t>
        </is>
      </c>
      <c r="D675" s="298" t="inlineStr">
        <is>
          <t>Payroll</t>
        </is>
      </c>
      <c r="E675" s="297" t="inlineStr">
        <is>
          <t>Staff - Salary</t>
        </is>
      </c>
      <c r="F675" s="299" t="n">
        <v>4200</v>
      </c>
      <c r="G675" s="300" t="inlineStr">
        <is>
          <t>Restaurant</t>
        </is>
      </c>
      <c r="H675" s="300" t="inlineStr">
        <is>
          <t>Cash</t>
        </is>
      </c>
      <c r="I675" s="301" t="inlineStr">
        <is>
          <t>✅ Paid</t>
        </is>
      </c>
      <c r="J675" s="423" t="inlineStr">
        <is>
          <t>Weekly salary</t>
        </is>
      </c>
    </row>
    <row r="676">
      <c r="B676" s="429" t="n">
        <v>46256</v>
      </c>
      <c r="C676" s="297" t="inlineStr">
        <is>
          <t>Duvi - salary</t>
        </is>
      </c>
      <c r="D676" s="298" t="inlineStr">
        <is>
          <t>Payroll</t>
        </is>
      </c>
      <c r="E676" s="297" t="inlineStr">
        <is>
          <t>Staff - Salary</t>
        </is>
      </c>
      <c r="F676" s="299" t="n">
        <v>500</v>
      </c>
      <c r="G676" s="300" t="inlineStr">
        <is>
          <t>Restaurant</t>
        </is>
      </c>
      <c r="H676" s="300" t="inlineStr">
        <is>
          <t>Cash</t>
        </is>
      </c>
      <c r="I676" s="301" t="inlineStr">
        <is>
          <t>✅ Paid</t>
        </is>
      </c>
      <c r="J676" s="423" t="inlineStr">
        <is>
          <t>Weekly salary</t>
        </is>
      </c>
    </row>
    <row r="677">
      <c r="B677" s="429" t="n">
        <v>46257</v>
      </c>
      <c r="C677" s="297" t="inlineStr">
        <is>
          <t>Vegetables Abastos</t>
        </is>
      </c>
      <c r="D677" s="298" t="inlineStr">
        <is>
          <t>Central de Abastos</t>
        </is>
      </c>
      <c r="E677" s="297" t="inlineStr">
        <is>
          <t>Ingredients - Vegetables</t>
        </is>
      </c>
      <c r="F677" s="299" t="n">
        <v>2046</v>
      </c>
      <c r="G677" s="300" t="inlineStr">
        <is>
          <t>Restaurant</t>
        </is>
      </c>
      <c r="H677" s="300" t="inlineStr">
        <is>
          <t>Cash</t>
        </is>
      </c>
      <c r="I677" s="301" t="inlineStr">
        <is>
          <t>✅ Paid</t>
        </is>
      </c>
      <c r="J677" s="423" t="inlineStr">
        <is>
          <t>No receipt; cash</t>
        </is>
      </c>
    </row>
    <row r="678">
      <c r="B678" s="429" t="n">
        <v>46257</v>
      </c>
      <c r="C678" s="297" t="inlineStr">
        <is>
          <t>Basicos</t>
        </is>
      </c>
      <c r="D678" s="298" t="inlineStr">
        <is>
          <t>No bill</t>
        </is>
      </c>
      <c r="E678" s="297" t="inlineStr">
        <is>
          <t>Supermarket/General</t>
        </is>
      </c>
      <c r="F678" s="299" t="n">
        <v>1241</v>
      </c>
      <c r="G678" s="300" t="inlineStr">
        <is>
          <t>Restaurant</t>
        </is>
      </c>
      <c r="H678" s="300" t="inlineStr">
        <is>
          <t>Cash</t>
        </is>
      </c>
      <c r="I678" s="301" t="inlineStr">
        <is>
          <t>✅ Paid</t>
        </is>
      </c>
      <c r="J678" s="423" t="inlineStr">
        <is>
          <t>No receipt; cash</t>
        </is>
      </c>
    </row>
    <row r="679">
      <c r="B679" s="429" t="n">
        <v>46257</v>
      </c>
      <c r="C679" s="297" t="inlineStr">
        <is>
          <t>San Juan Jamon</t>
        </is>
      </c>
      <c r="D679" s="298" t="inlineStr">
        <is>
          <t>No bill</t>
        </is>
      </c>
      <c r="E679" s="297" t="inlineStr">
        <is>
          <t>Ingredients - Meat</t>
        </is>
      </c>
      <c r="F679" s="299" t="n">
        <v>188</v>
      </c>
      <c r="G679" s="300" t="inlineStr">
        <is>
          <t>Restaurant</t>
        </is>
      </c>
      <c r="H679" s="300" t="inlineStr">
        <is>
          <t>Cash</t>
        </is>
      </c>
      <c r="I679" s="301" t="inlineStr">
        <is>
          <t>✅ Paid</t>
        </is>
      </c>
      <c r="J679" s="423" t="inlineStr">
        <is>
          <t>No receipt; cash</t>
        </is>
      </c>
    </row>
    <row r="680">
      <c r="B680" s="429" t="n">
        <v>46258</v>
      </c>
      <c r="C680" s="297" t="inlineStr">
        <is>
          <t>Eggs</t>
        </is>
      </c>
      <c r="D680" s="298" t="inlineStr">
        <is>
          <t>No bill</t>
        </is>
      </c>
      <c r="E680" s="297" t="inlineStr">
        <is>
          <t>Ingredients - Eggs</t>
        </is>
      </c>
      <c r="F680" s="299" t="n">
        <v>136</v>
      </c>
      <c r="G680" s="300" t="inlineStr">
        <is>
          <t>Restaurant</t>
        </is>
      </c>
      <c r="H680" s="300" t="inlineStr">
        <is>
          <t>Cash</t>
        </is>
      </c>
      <c r="I680" s="301" t="inlineStr">
        <is>
          <t>✅ Paid</t>
        </is>
      </c>
      <c r="J680" s="423" t="inlineStr">
        <is>
          <t>No receipt; cash</t>
        </is>
      </c>
    </row>
    <row r="681">
      <c r="B681" s="429" t="n">
        <v>46258</v>
      </c>
      <c r="C681" s="297" t="inlineStr">
        <is>
          <t>Carne</t>
        </is>
      </c>
      <c r="D681" s="298" t="inlineStr">
        <is>
          <t>No bill</t>
        </is>
      </c>
      <c r="E681" s="297" t="inlineStr">
        <is>
          <t>Ingredients - Meat</t>
        </is>
      </c>
      <c r="F681" s="299" t="n">
        <v>212</v>
      </c>
      <c r="G681" s="300" t="inlineStr">
        <is>
          <t>Restaurant</t>
        </is>
      </c>
      <c r="H681" s="300" t="inlineStr">
        <is>
          <t>Cash</t>
        </is>
      </c>
      <c r="I681" s="301" t="inlineStr">
        <is>
          <t>✅ Paid</t>
        </is>
      </c>
      <c r="J681" s="423" t="inlineStr">
        <is>
          <t>No receipt; cash</t>
        </is>
      </c>
    </row>
    <row r="682">
      <c r="B682" s="429" t="n">
        <v>46258</v>
      </c>
      <c r="C682" s="297" t="inlineStr">
        <is>
          <t>Pescado</t>
        </is>
      </c>
      <c r="D682" s="298" t="inlineStr">
        <is>
          <t>No bill</t>
        </is>
      </c>
      <c r="E682" s="297" t="inlineStr">
        <is>
          <t>Ingredients - Meat &amp; Fish</t>
        </is>
      </c>
      <c r="F682" s="299" t="n">
        <v>259</v>
      </c>
      <c r="G682" s="300" t="inlineStr">
        <is>
          <t>Restaurant</t>
        </is>
      </c>
      <c r="H682" s="300" t="inlineStr">
        <is>
          <t>Cash</t>
        </is>
      </c>
      <c r="I682" s="301" t="inlineStr">
        <is>
          <t>✅ Paid</t>
        </is>
      </c>
      <c r="J682" s="423" t="inlineStr">
        <is>
          <t>No receipt; cash</t>
        </is>
      </c>
    </row>
    <row r="683">
      <c r="B683" s="429" t="n">
        <v>46258</v>
      </c>
      <c r="C683" s="297" t="inlineStr">
        <is>
          <t>Chedraui</t>
        </is>
      </c>
      <c r="D683" s="298" t="inlineStr">
        <is>
          <t>Chedraui</t>
        </is>
      </c>
      <c r="E683" s="297" t="inlineStr">
        <is>
          <t>Supermarket/General</t>
        </is>
      </c>
      <c r="F683" s="299" t="n">
        <v>151</v>
      </c>
      <c r="G683" s="300" t="inlineStr">
        <is>
          <t>Restaurant</t>
        </is>
      </c>
      <c r="H683" s="300" t="inlineStr">
        <is>
          <t>Cash</t>
        </is>
      </c>
      <c r="I683" s="301" t="inlineStr">
        <is>
          <t>✅ Paid</t>
        </is>
      </c>
      <c r="J683" s="423" t="inlineStr">
        <is>
          <t>No receipt; cash</t>
        </is>
      </c>
    </row>
    <row r="684">
      <c r="B684" s="429" t="n">
        <v>46258</v>
      </c>
      <c r="C684" s="297" t="inlineStr">
        <is>
          <t>Pescado</t>
        </is>
      </c>
      <c r="D684" s="298" t="inlineStr">
        <is>
          <t>No bill</t>
        </is>
      </c>
      <c r="E684" s="297" t="inlineStr">
        <is>
          <t>Ingredients - Meat &amp; Fish</t>
        </is>
      </c>
      <c r="F684" s="299" t="n">
        <v>452</v>
      </c>
      <c r="G684" s="300" t="inlineStr">
        <is>
          <t>Restaurant</t>
        </is>
      </c>
      <c r="H684" s="300" t="inlineStr">
        <is>
          <t>Cash</t>
        </is>
      </c>
      <c r="I684" s="301" t="inlineStr">
        <is>
          <t>✅ Paid</t>
        </is>
      </c>
      <c r="J684" s="423" t="inlineStr">
        <is>
          <t>No receipt; cash</t>
        </is>
      </c>
    </row>
    <row r="685">
      <c r="B685" s="429" t="n">
        <v>46258</v>
      </c>
      <c r="C685" s="297" t="inlineStr">
        <is>
          <t>Hielo</t>
        </is>
      </c>
      <c r="D685" s="298" t="inlineStr">
        <is>
          <t>No bill</t>
        </is>
      </c>
      <c r="E685" s="297" t="inlineStr">
        <is>
          <t>Kitchen Supplies</t>
        </is>
      </c>
      <c r="F685" s="299" t="n">
        <v>200</v>
      </c>
      <c r="G685" s="300" t="inlineStr">
        <is>
          <t>Restaurant</t>
        </is>
      </c>
      <c r="H685" s="300" t="inlineStr">
        <is>
          <t>Cash</t>
        </is>
      </c>
      <c r="I685" s="301" t="inlineStr">
        <is>
          <t>✅ Paid</t>
        </is>
      </c>
      <c r="J685" s="423" t="inlineStr">
        <is>
          <t>No receipt; cash</t>
        </is>
      </c>
    </row>
    <row r="686">
      <c r="B686" s="429" t="n">
        <v>46258</v>
      </c>
      <c r="C686" s="297" t="inlineStr">
        <is>
          <t>Agua Natural</t>
        </is>
      </c>
      <c r="D686" s="298" t="inlineStr">
        <is>
          <t>No bill</t>
        </is>
      </c>
      <c r="E686" s="297" t="inlineStr">
        <is>
          <t>Ingredients - Beverages</t>
        </is>
      </c>
      <c r="F686" s="299" t="n">
        <v>45</v>
      </c>
      <c r="G686" s="300" t="inlineStr">
        <is>
          <t>Restaurant</t>
        </is>
      </c>
      <c r="H686" s="300" t="inlineStr">
        <is>
          <t>Cash</t>
        </is>
      </c>
      <c r="I686" s="301" t="inlineStr">
        <is>
          <t>✅ Paid</t>
        </is>
      </c>
      <c r="J686" s="423" t="inlineStr">
        <is>
          <t>No receipt; cash</t>
        </is>
      </c>
    </row>
    <row r="687">
      <c r="B687" s="429" t="n">
        <v>46258</v>
      </c>
      <c r="C687" s="297" t="inlineStr">
        <is>
          <t>Molino</t>
        </is>
      </c>
      <c r="D687" s="298" t="inlineStr">
        <is>
          <t>No bill</t>
        </is>
      </c>
      <c r="E687" s="297" t="inlineStr">
        <is>
          <t>Supermarket/General</t>
        </is>
      </c>
      <c r="F687" s="299" t="n">
        <v>80</v>
      </c>
      <c r="G687" s="300" t="inlineStr">
        <is>
          <t>Restaurant</t>
        </is>
      </c>
      <c r="H687" s="300" t="inlineStr">
        <is>
          <t>Cash</t>
        </is>
      </c>
      <c r="I687" s="301" t="inlineStr">
        <is>
          <t>✅ Paid</t>
        </is>
      </c>
      <c r="J687" s="423" t="inlineStr">
        <is>
          <t>No receipt; cash</t>
        </is>
      </c>
    </row>
    <row r="688">
      <c r="B688" s="429" t="n">
        <v>46258</v>
      </c>
      <c r="C688" s="297" t="inlineStr">
        <is>
          <t>Pollo</t>
        </is>
      </c>
      <c r="D688" s="298" t="inlineStr">
        <is>
          <t>No bill</t>
        </is>
      </c>
      <c r="E688" s="297" t="inlineStr">
        <is>
          <t>Ingredients - Meat</t>
        </is>
      </c>
      <c r="F688" s="299" t="n">
        <v>1429</v>
      </c>
      <c r="G688" s="300" t="inlineStr">
        <is>
          <t>Lohith</t>
        </is>
      </c>
      <c r="H688" s="300" t="inlineStr">
        <is>
          <t>Cash</t>
        </is>
      </c>
      <c r="I688" s="301" t="inlineStr">
        <is>
          <t>✅ Paid</t>
        </is>
      </c>
      <c r="J688" s="423" t="inlineStr">
        <is>
          <t>Pagado por Lohith (bolsillo); reembolsable via Owner Ledger</t>
        </is>
      </c>
    </row>
    <row r="689">
      <c r="B689" s="429" t="n">
        <v>46259</v>
      </c>
      <c r="C689" s="297" t="inlineStr">
        <is>
          <t>Queso</t>
        </is>
      </c>
      <c r="D689" s="298" t="inlineStr">
        <is>
          <t>No bill</t>
        </is>
      </c>
      <c r="E689" s="297" t="inlineStr">
        <is>
          <t>Ingredients - Dairy</t>
        </is>
      </c>
      <c r="F689" s="299" t="n">
        <v>558</v>
      </c>
      <c r="G689" s="300" t="inlineStr">
        <is>
          <t>Restaurant</t>
        </is>
      </c>
      <c r="H689" s="300" t="inlineStr">
        <is>
          <t>Cash</t>
        </is>
      </c>
      <c r="I689" s="301" t="inlineStr">
        <is>
          <t>✅ Paid</t>
        </is>
      </c>
      <c r="J689" s="423" t="inlineStr">
        <is>
          <t>No receipt; cash</t>
        </is>
      </c>
    </row>
    <row r="690">
      <c r="B690" s="429" t="n">
        <v>46259</v>
      </c>
      <c r="C690" s="297" t="inlineStr">
        <is>
          <t>Vegetables</t>
        </is>
      </c>
      <c r="D690" s="298" t="inlineStr">
        <is>
          <t>No bill</t>
        </is>
      </c>
      <c r="E690" s="297" t="inlineStr">
        <is>
          <t>Ingredients - Vegetables</t>
        </is>
      </c>
      <c r="F690" s="299" t="n">
        <v>140</v>
      </c>
      <c r="G690" s="300" t="inlineStr">
        <is>
          <t>Restaurant</t>
        </is>
      </c>
      <c r="H690" s="300" t="inlineStr">
        <is>
          <t>Cash</t>
        </is>
      </c>
      <c r="I690" s="301" t="inlineStr">
        <is>
          <t>✅ Paid</t>
        </is>
      </c>
      <c r="J690" s="423" t="inlineStr">
        <is>
          <t>No receipt; cash</t>
        </is>
      </c>
    </row>
    <row r="691">
      <c r="B691" s="429" t="n">
        <v>46261</v>
      </c>
      <c r="C691" s="297" t="inlineStr">
        <is>
          <t>Carne</t>
        </is>
      </c>
      <c r="D691" s="298" t="inlineStr">
        <is>
          <t>No bill</t>
        </is>
      </c>
      <c r="E691" s="297" t="inlineStr">
        <is>
          <t>Ingredients - Meat</t>
        </is>
      </c>
      <c r="F691" s="299" t="n">
        <v>439</v>
      </c>
      <c r="G691" s="300" t="inlineStr">
        <is>
          <t>Restaurant</t>
        </is>
      </c>
      <c r="H691" s="300" t="inlineStr">
        <is>
          <t>Cash</t>
        </is>
      </c>
      <c r="I691" s="301" t="inlineStr">
        <is>
          <t>✅ Paid</t>
        </is>
      </c>
      <c r="J691" s="423" t="inlineStr">
        <is>
          <t>No receipt; cash</t>
        </is>
      </c>
    </row>
    <row r="692">
      <c r="B692" s="429" t="n">
        <v>46261</v>
      </c>
      <c r="C692" s="297" t="inlineStr">
        <is>
          <t>Chedraui</t>
        </is>
      </c>
      <c r="D692" s="298" t="inlineStr">
        <is>
          <t>Chedraui</t>
        </is>
      </c>
      <c r="E692" s="297" t="inlineStr">
        <is>
          <t>Supermarket/General</t>
        </is>
      </c>
      <c r="F692" s="299" t="n">
        <v>126</v>
      </c>
      <c r="G692" s="300" t="inlineStr">
        <is>
          <t>Restaurant</t>
        </is>
      </c>
      <c r="H692" s="300" t="inlineStr">
        <is>
          <t>Cash</t>
        </is>
      </c>
      <c r="I692" s="301" t="inlineStr">
        <is>
          <t>✅ Paid</t>
        </is>
      </c>
      <c r="J692" s="423" t="inlineStr">
        <is>
          <t>No receipt; cash</t>
        </is>
      </c>
    </row>
    <row r="693">
      <c r="B693" s="429" t="n">
        <v>46262</v>
      </c>
      <c r="C693" s="297" t="inlineStr">
        <is>
          <t>Vegetables</t>
        </is>
      </c>
      <c r="D693" s="298" t="inlineStr">
        <is>
          <t>No bill</t>
        </is>
      </c>
      <c r="E693" s="297" t="inlineStr">
        <is>
          <t>Ingredients - Vegetables</t>
        </is>
      </c>
      <c r="F693" s="299" t="n">
        <v>93</v>
      </c>
      <c r="G693" s="300" t="inlineStr">
        <is>
          <t>Restaurant</t>
        </is>
      </c>
      <c r="H693" s="300" t="inlineStr">
        <is>
          <t>Cash</t>
        </is>
      </c>
      <c r="I693" s="301" t="inlineStr">
        <is>
          <t>✅ Paid</t>
        </is>
      </c>
      <c r="J693" s="423" t="inlineStr">
        <is>
          <t>No receipt; cash</t>
        </is>
      </c>
    </row>
    <row r="694">
      <c r="B694" s="429" t="n">
        <v>46262</v>
      </c>
      <c r="C694" s="297" t="inlineStr">
        <is>
          <t>Pan Molido</t>
        </is>
      </c>
      <c r="D694" s="298" t="inlineStr">
        <is>
          <t>No bill</t>
        </is>
      </c>
      <c r="E694" s="297" t="inlineStr">
        <is>
          <t>Ingredients - Bread</t>
        </is>
      </c>
      <c r="F694" s="299" t="n">
        <v>72</v>
      </c>
      <c r="G694" s="300" t="inlineStr">
        <is>
          <t>Restaurant</t>
        </is>
      </c>
      <c r="H694" s="300" t="inlineStr">
        <is>
          <t>Cash</t>
        </is>
      </c>
      <c r="I694" s="301" t="inlineStr">
        <is>
          <t>✅ Paid</t>
        </is>
      </c>
      <c r="J694" s="423" t="inlineStr">
        <is>
          <t>No receipt; cash</t>
        </is>
      </c>
    </row>
    <row r="695">
      <c r="B695" s="429" t="n">
        <v>46262</v>
      </c>
      <c r="C695" s="297" t="inlineStr">
        <is>
          <t>Oxxo Aceite</t>
        </is>
      </c>
      <c r="D695" s="298" t="inlineStr">
        <is>
          <t>OXXO</t>
        </is>
      </c>
      <c r="E695" s="297" t="inlineStr">
        <is>
          <t>Ingredients - Pantry</t>
        </is>
      </c>
      <c r="F695" s="299" t="n">
        <v>56</v>
      </c>
      <c r="G695" s="300" t="inlineStr">
        <is>
          <t>Restaurant</t>
        </is>
      </c>
      <c r="H695" s="300" t="inlineStr">
        <is>
          <t>Cash</t>
        </is>
      </c>
      <c r="I695" s="301" t="inlineStr">
        <is>
          <t>✅ Paid</t>
        </is>
      </c>
      <c r="J695" s="423" t="inlineStr">
        <is>
          <t>No receipt; cash</t>
        </is>
      </c>
    </row>
    <row r="696">
      <c r="B696" s="429" t="n">
        <v>46262</v>
      </c>
      <c r="C696" s="297" t="inlineStr">
        <is>
          <t>Armando - salary</t>
        </is>
      </c>
      <c r="D696" s="298" t="inlineStr">
        <is>
          <t>Payroll</t>
        </is>
      </c>
      <c r="E696" s="297" t="inlineStr">
        <is>
          <t>Staff - Salary</t>
        </is>
      </c>
      <c r="F696" s="299" t="n">
        <v>1850</v>
      </c>
      <c r="G696" s="300" t="inlineStr">
        <is>
          <t>Restaurant</t>
        </is>
      </c>
      <c r="H696" s="300" t="inlineStr">
        <is>
          <t>Cash</t>
        </is>
      </c>
      <c r="I696" s="301" t="inlineStr">
        <is>
          <t>✅ Paid</t>
        </is>
      </c>
      <c r="J696" s="423" t="inlineStr">
        <is>
          <t>Weekly salary</t>
        </is>
      </c>
    </row>
    <row r="697">
      <c r="B697" s="429" t="n">
        <v>46263</v>
      </c>
      <c r="C697" s="297" t="inlineStr">
        <is>
          <t>Vegetables</t>
        </is>
      </c>
      <c r="D697" s="298" t="inlineStr">
        <is>
          <t>No bill</t>
        </is>
      </c>
      <c r="E697" s="297" t="inlineStr">
        <is>
          <t>Ingredients - Vegetables</t>
        </is>
      </c>
      <c r="F697" s="299" t="n">
        <v>1210</v>
      </c>
      <c r="G697" s="300" t="inlineStr">
        <is>
          <t>Restaurant</t>
        </is>
      </c>
      <c r="H697" s="300" t="inlineStr">
        <is>
          <t>Cash</t>
        </is>
      </c>
      <c r="I697" s="301" t="inlineStr">
        <is>
          <t>✅ Paid</t>
        </is>
      </c>
      <c r="J697" s="423" t="inlineStr">
        <is>
          <t>No receipt; cash</t>
        </is>
      </c>
    </row>
    <row r="698">
      <c r="B698" s="429" t="n">
        <v>46263</v>
      </c>
      <c r="C698" s="297" t="inlineStr">
        <is>
          <t>Soft app license</t>
        </is>
      </c>
      <c r="D698" s="298" t="inlineStr">
        <is>
          <t>No bill</t>
        </is>
      </c>
      <c r="E698" s="297" t="inlineStr">
        <is>
          <t>Software/Subscription</t>
        </is>
      </c>
      <c r="F698" s="299" t="n">
        <v>810</v>
      </c>
      <c r="G698" s="300" t="inlineStr">
        <is>
          <t>Restaurant</t>
        </is>
      </c>
      <c r="H698" s="300" t="inlineStr">
        <is>
          <t>Cash</t>
        </is>
      </c>
      <c r="I698" s="301" t="inlineStr">
        <is>
          <t>✅ Paid</t>
        </is>
      </c>
      <c r="J698" s="423" t="inlineStr">
        <is>
          <t>No receipt; cash</t>
        </is>
      </c>
    </row>
    <row r="699">
      <c r="B699" s="429" t="n">
        <v>46263</v>
      </c>
      <c r="C699" s="297" t="inlineStr">
        <is>
          <t>Duvi - salary</t>
        </is>
      </c>
      <c r="D699" s="298" t="inlineStr">
        <is>
          <t>Payroll</t>
        </is>
      </c>
      <c r="E699" s="297" t="inlineStr">
        <is>
          <t>Staff - Salary</t>
        </is>
      </c>
      <c r="F699" s="299" t="n">
        <v>1200</v>
      </c>
      <c r="G699" s="300" t="inlineStr">
        <is>
          <t>Restaurant</t>
        </is>
      </c>
      <c r="H699" s="300" t="inlineStr">
        <is>
          <t>Cash</t>
        </is>
      </c>
      <c r="I699" s="301" t="inlineStr">
        <is>
          <t>✅ Paid</t>
        </is>
      </c>
      <c r="J699" s="423" t="inlineStr">
        <is>
          <t>Weekly salary</t>
        </is>
      </c>
    </row>
    <row r="700">
      <c r="B700" s="429" t="n">
        <v>46263</v>
      </c>
      <c r="C700" s="297" t="inlineStr">
        <is>
          <t>Jhon - salary</t>
        </is>
      </c>
      <c r="D700" s="298" t="inlineStr">
        <is>
          <t>Payroll</t>
        </is>
      </c>
      <c r="E700" s="297" t="inlineStr">
        <is>
          <t>Staff - Salary</t>
        </is>
      </c>
      <c r="F700" s="299" t="n">
        <v>3750</v>
      </c>
      <c r="G700" s="300" t="inlineStr">
        <is>
          <t>Restaurant</t>
        </is>
      </c>
      <c r="H700" s="300" t="inlineStr">
        <is>
          <t>Cash</t>
        </is>
      </c>
      <c r="I700" s="301" t="inlineStr">
        <is>
          <t>✅ Paid</t>
        </is>
      </c>
      <c r="J700" s="423" t="inlineStr">
        <is>
          <t>Weekly salary</t>
        </is>
      </c>
    </row>
    <row r="701">
      <c r="B701" s="429" t="n">
        <v>46265</v>
      </c>
      <c r="C701" s="297" t="inlineStr">
        <is>
          <t>Carne</t>
        </is>
      </c>
      <c r="D701" s="298" t="inlineStr">
        <is>
          <t>No bill</t>
        </is>
      </c>
      <c r="E701" s="297" t="inlineStr">
        <is>
          <t>Ingredients - Meat</t>
        </is>
      </c>
      <c r="F701" s="299" t="n">
        <v>276</v>
      </c>
      <c r="G701" s="300" t="inlineStr">
        <is>
          <t>Restaurant</t>
        </is>
      </c>
      <c r="H701" s="300" t="inlineStr">
        <is>
          <t>Cash</t>
        </is>
      </c>
      <c r="I701" s="301" t="inlineStr">
        <is>
          <t>✅ Paid</t>
        </is>
      </c>
      <c r="J701" s="423" t="inlineStr">
        <is>
          <t>No receipt; cash</t>
        </is>
      </c>
    </row>
    <row r="702">
      <c r="B702" s="429" t="n">
        <v>46265</v>
      </c>
      <c r="C702" s="297" t="inlineStr">
        <is>
          <t>Carne</t>
        </is>
      </c>
      <c r="D702" s="298" t="inlineStr">
        <is>
          <t>No bill</t>
        </is>
      </c>
      <c r="E702" s="297" t="inlineStr">
        <is>
          <t>Ingredients - Meat</t>
        </is>
      </c>
      <c r="F702" s="299" t="n">
        <v>293</v>
      </c>
      <c r="G702" s="300" t="inlineStr">
        <is>
          <t>Restaurant</t>
        </is>
      </c>
      <c r="H702" s="300" t="inlineStr">
        <is>
          <t>Cash</t>
        </is>
      </c>
      <c r="I702" s="301" t="inlineStr">
        <is>
          <t>✅ Paid</t>
        </is>
      </c>
      <c r="J702" s="423" t="inlineStr">
        <is>
          <t>No receipt; cash</t>
        </is>
      </c>
    </row>
    <row r="703">
      <c r="B703" s="429" t="n">
        <v>46265</v>
      </c>
      <c r="C703" s="297" t="inlineStr">
        <is>
          <t>Oxxo Aceite</t>
        </is>
      </c>
      <c r="D703" s="298" t="inlineStr">
        <is>
          <t>OXXO</t>
        </is>
      </c>
      <c r="E703" s="297" t="inlineStr">
        <is>
          <t>Ingredients - Pantry</t>
        </is>
      </c>
      <c r="F703" s="299" t="n">
        <v>112</v>
      </c>
      <c r="G703" s="300" t="inlineStr">
        <is>
          <t>Restaurant</t>
        </is>
      </c>
      <c r="H703" s="300" t="inlineStr">
        <is>
          <t>Cash</t>
        </is>
      </c>
      <c r="I703" s="301" t="inlineStr">
        <is>
          <t>✅ Paid</t>
        </is>
      </c>
      <c r="J703" s="423" t="inlineStr">
        <is>
          <t>No receipt; cash</t>
        </is>
      </c>
    </row>
    <row r="704">
      <c r="B704" s="429" t="n">
        <v>46265</v>
      </c>
      <c r="C704" s="297" t="inlineStr">
        <is>
          <t>Agua Natural</t>
        </is>
      </c>
      <c r="D704" s="298" t="inlineStr">
        <is>
          <t>No bill</t>
        </is>
      </c>
      <c r="E704" s="297" t="inlineStr">
        <is>
          <t>Ingredients - Beverages</t>
        </is>
      </c>
      <c r="F704" s="299" t="n">
        <v>75</v>
      </c>
      <c r="G704" s="300" t="inlineStr">
        <is>
          <t>Restaurant</t>
        </is>
      </c>
      <c r="H704" s="300" t="inlineStr">
        <is>
          <t>Cash</t>
        </is>
      </c>
      <c r="I704" s="301" t="inlineStr">
        <is>
          <t>✅ Paid</t>
        </is>
      </c>
      <c r="J704" s="423" t="inlineStr">
        <is>
          <t>No receipt; cash</t>
        </is>
      </c>
    </row>
    <row r="705">
      <c r="B705" s="429" t="n">
        <v>46265</v>
      </c>
      <c r="C705" s="297" t="inlineStr">
        <is>
          <t>Chedraui</t>
        </is>
      </c>
      <c r="D705" s="298" t="inlineStr">
        <is>
          <t>Chedraui</t>
        </is>
      </c>
      <c r="E705" s="297" t="inlineStr">
        <is>
          <t>Supermarket/General</t>
        </is>
      </c>
      <c r="F705" s="299" t="n">
        <v>92</v>
      </c>
      <c r="G705" s="300" t="inlineStr">
        <is>
          <t>Restaurant</t>
        </is>
      </c>
      <c r="H705" s="300" t="inlineStr">
        <is>
          <t>Cash</t>
        </is>
      </c>
      <c r="I705" s="301" t="inlineStr">
        <is>
          <t>✅ Paid</t>
        </is>
      </c>
      <c r="J705" s="423" t="inlineStr">
        <is>
          <t>No receipt; cash</t>
        </is>
      </c>
    </row>
    <row r="706">
      <c r="B706" s="429" t="n">
        <v>46265</v>
      </c>
      <c r="C706" s="297" t="inlineStr">
        <is>
          <t>Queso Panela</t>
        </is>
      </c>
      <c r="D706" s="298" t="inlineStr">
        <is>
          <t>No bill</t>
        </is>
      </c>
      <c r="E706" s="297" t="inlineStr">
        <is>
          <t>Ingredients - Dairy</t>
        </is>
      </c>
      <c r="F706" s="299" t="n">
        <v>590</v>
      </c>
      <c r="G706" s="300" t="inlineStr">
        <is>
          <t>Restaurant</t>
        </is>
      </c>
      <c r="H706" s="300" t="inlineStr">
        <is>
          <t>Cash</t>
        </is>
      </c>
      <c r="I706" s="301" t="inlineStr">
        <is>
          <t>✅ Paid</t>
        </is>
      </c>
      <c r="J706" s="423" t="inlineStr">
        <is>
          <t>No receipt; cash</t>
        </is>
      </c>
    </row>
    <row r="707">
      <c r="B707" s="429" t="n">
        <v>46266</v>
      </c>
      <c r="C707" s="297" t="inlineStr">
        <is>
          <t>3B Aceite</t>
        </is>
      </c>
      <c r="D707" s="298" t="inlineStr">
        <is>
          <t>Tres B</t>
        </is>
      </c>
      <c r="E707" s="297" t="inlineStr">
        <is>
          <t>Supermarket/General</t>
        </is>
      </c>
      <c r="F707" s="299" t="n">
        <v>628</v>
      </c>
      <c r="G707" s="300" t="inlineStr">
        <is>
          <t>Restaurant</t>
        </is>
      </c>
      <c r="H707" s="300" t="inlineStr">
        <is>
          <t>Cash</t>
        </is>
      </c>
      <c r="I707" s="301" t="inlineStr">
        <is>
          <t>✅ Paid</t>
        </is>
      </c>
      <c r="J707" s="423" t="inlineStr">
        <is>
          <t>No receipt; cash</t>
        </is>
      </c>
    </row>
    <row r="708">
      <c r="B708" s="429" t="n">
        <v>46266</v>
      </c>
      <c r="C708" s="297" t="inlineStr">
        <is>
          <t>Carne Hamburguesa</t>
        </is>
      </c>
      <c r="D708" s="298" t="inlineStr">
        <is>
          <t>No bill</t>
        </is>
      </c>
      <c r="E708" s="297" t="inlineStr">
        <is>
          <t>Ingredients - Meat</t>
        </is>
      </c>
      <c r="F708" s="299" t="n">
        <v>380</v>
      </c>
      <c r="G708" s="300" t="inlineStr">
        <is>
          <t>Restaurant</t>
        </is>
      </c>
      <c r="H708" s="300" t="inlineStr">
        <is>
          <t>Cash</t>
        </is>
      </c>
      <c r="I708" s="301" t="inlineStr">
        <is>
          <t>✅ Paid</t>
        </is>
      </c>
      <c r="J708" s="423" t="inlineStr">
        <is>
          <t>No receipt; cash</t>
        </is>
      </c>
    </row>
    <row r="709">
      <c r="B709" s="429" t="n">
        <v>46266</v>
      </c>
      <c r="C709" s="297" t="inlineStr">
        <is>
          <t>Mole</t>
        </is>
      </c>
      <c r="D709" s="298" t="inlineStr">
        <is>
          <t>No bill</t>
        </is>
      </c>
      <c r="E709" s="297" t="inlineStr">
        <is>
          <t>Ingredients - Pantry</t>
        </is>
      </c>
      <c r="F709" s="299" t="n">
        <v>890</v>
      </c>
      <c r="G709" s="300" t="inlineStr">
        <is>
          <t>Restaurant</t>
        </is>
      </c>
      <c r="H709" s="300" t="inlineStr">
        <is>
          <t>Cash</t>
        </is>
      </c>
      <c r="I709" s="301" t="inlineStr">
        <is>
          <t>✅ Paid</t>
        </is>
      </c>
      <c r="J709" s="423" t="inlineStr">
        <is>
          <t>No receipt; cash</t>
        </is>
      </c>
    </row>
    <row r="710">
      <c r="B710" s="429" t="n">
        <v>46266</v>
      </c>
      <c r="C710" s="297" t="inlineStr">
        <is>
          <t>Chile pasilla</t>
        </is>
      </c>
      <c r="D710" s="298" t="inlineStr">
        <is>
          <t>No bill</t>
        </is>
      </c>
      <c r="E710" s="297" t="inlineStr">
        <is>
          <t>Ingredients - Vegetables</t>
        </is>
      </c>
      <c r="F710" s="299" t="n">
        <v>115</v>
      </c>
      <c r="G710" s="300" t="inlineStr">
        <is>
          <t>Restaurant</t>
        </is>
      </c>
      <c r="H710" s="300" t="inlineStr">
        <is>
          <t>Cash</t>
        </is>
      </c>
      <c r="I710" s="301" t="inlineStr">
        <is>
          <t>✅ Paid</t>
        </is>
      </c>
      <c r="J710" s="423" t="inlineStr">
        <is>
          <t>No receipt; cash</t>
        </is>
      </c>
    </row>
    <row r="711">
      <c r="B711" s="429" t="n">
        <v>46266</v>
      </c>
      <c r="C711" s="297" t="inlineStr">
        <is>
          <t>Pan Reales</t>
        </is>
      </c>
      <c r="D711" s="298" t="inlineStr">
        <is>
          <t>Pan Reales</t>
        </is>
      </c>
      <c r="E711" s="297" t="inlineStr">
        <is>
          <t>Ingredients - Bread</t>
        </is>
      </c>
      <c r="F711" s="299" t="n">
        <v>416</v>
      </c>
      <c r="G711" s="300" t="inlineStr">
        <is>
          <t>Restaurant</t>
        </is>
      </c>
      <c r="H711" s="300" t="inlineStr">
        <is>
          <t>Cash</t>
        </is>
      </c>
      <c r="I711" s="301" t="inlineStr">
        <is>
          <t>✅ Paid</t>
        </is>
      </c>
      <c r="J711" s="423" t="inlineStr">
        <is>
          <t>No receipt; cash</t>
        </is>
      </c>
    </row>
    <row r="712">
      <c r="B712" s="429" t="n">
        <v>46266</v>
      </c>
      <c r="C712" s="297" t="inlineStr">
        <is>
          <t>Pollo</t>
        </is>
      </c>
      <c r="D712" s="298" t="inlineStr">
        <is>
          <t>No bill</t>
        </is>
      </c>
      <c r="E712" s="297" t="inlineStr">
        <is>
          <t>Ingredients - Meat</t>
        </is>
      </c>
      <c r="F712" s="299" t="n">
        <v>1032</v>
      </c>
      <c r="G712" s="300" t="inlineStr">
        <is>
          <t>Restaurant</t>
        </is>
      </c>
      <c r="H712" s="300" t="inlineStr">
        <is>
          <t>Cash</t>
        </is>
      </c>
      <c r="I712" s="301" t="inlineStr">
        <is>
          <t>✅ Paid</t>
        </is>
      </c>
      <c r="J712" s="423" t="inlineStr">
        <is>
          <t>No receipt; cash</t>
        </is>
      </c>
    </row>
    <row r="713">
      <c r="B713" s="429" t="n">
        <v>46266</v>
      </c>
      <c r="C713" s="297" t="inlineStr">
        <is>
          <t>Gas</t>
        </is>
      </c>
      <c r="D713" s="298" t="inlineStr">
        <is>
          <t>No bill</t>
        </is>
      </c>
      <c r="E713" s="297" t="inlineStr">
        <is>
          <t>Utilities/Gas</t>
        </is>
      </c>
      <c r="F713" s="299" t="n">
        <v>1500</v>
      </c>
      <c r="G713" s="300" t="inlineStr">
        <is>
          <t>Restaurant</t>
        </is>
      </c>
      <c r="H713" s="300" t="inlineStr">
        <is>
          <t>Cash</t>
        </is>
      </c>
      <c r="I713" s="301" t="inlineStr">
        <is>
          <t>✅ Paid</t>
        </is>
      </c>
      <c r="J713" s="423" t="inlineStr">
        <is>
          <t>No receipt; cash</t>
        </is>
      </c>
    </row>
    <row r="714">
      <c r="B714" s="429" t="n">
        <v>46266</v>
      </c>
      <c r="C714" s="297" t="inlineStr">
        <is>
          <t>Sams Club</t>
        </is>
      </c>
      <c r="D714" s="298" t="inlineStr">
        <is>
          <t>Sam's Club</t>
        </is>
      </c>
      <c r="E714" s="297" t="inlineStr">
        <is>
          <t>Supermarket/General</t>
        </is>
      </c>
      <c r="F714" s="299" t="n">
        <v>2816</v>
      </c>
      <c r="G714" s="300" t="inlineStr">
        <is>
          <t>Restaurant</t>
        </is>
      </c>
      <c r="H714" s="300" t="inlineStr">
        <is>
          <t>Cash</t>
        </is>
      </c>
      <c r="I714" s="301" t="inlineStr">
        <is>
          <t>✅ Paid</t>
        </is>
      </c>
      <c r="J714" s="423" t="inlineStr">
        <is>
          <t>No receipt; cash</t>
        </is>
      </c>
    </row>
    <row r="715">
      <c r="B715" s="429" t="n">
        <v>46267</v>
      </c>
      <c r="C715" s="297" t="inlineStr">
        <is>
          <t>Jamon</t>
        </is>
      </c>
      <c r="D715" s="298" t="inlineStr">
        <is>
          <t>No bill</t>
        </is>
      </c>
      <c r="E715" s="297" t="inlineStr">
        <is>
          <t>Ingredients - Meat</t>
        </is>
      </c>
      <c r="F715" s="299" t="n">
        <v>89</v>
      </c>
      <c r="G715" s="300" t="inlineStr">
        <is>
          <t>Restaurant</t>
        </is>
      </c>
      <c r="H715" s="300" t="inlineStr">
        <is>
          <t>Cash</t>
        </is>
      </c>
      <c r="I715" s="301" t="inlineStr">
        <is>
          <t>✅ Paid</t>
        </is>
      </c>
      <c r="J715" s="423" t="inlineStr">
        <is>
          <t>No receipt; cash</t>
        </is>
      </c>
    </row>
    <row r="716">
      <c r="B716" s="429" t="n">
        <v>46267</v>
      </c>
      <c r="C716" s="297" t="inlineStr">
        <is>
          <t>Chedraui</t>
        </is>
      </c>
      <c r="D716" s="298" t="inlineStr">
        <is>
          <t>Chedraui</t>
        </is>
      </c>
      <c r="E716" s="297" t="inlineStr">
        <is>
          <t>Supermarket/General</t>
        </is>
      </c>
      <c r="F716" s="299" t="n">
        <v>149</v>
      </c>
      <c r="G716" s="300" t="inlineStr">
        <is>
          <t>Restaurant</t>
        </is>
      </c>
      <c r="H716" s="300" t="inlineStr">
        <is>
          <t>Cash</t>
        </is>
      </c>
      <c r="I716" s="301" t="inlineStr">
        <is>
          <t>✅ Paid</t>
        </is>
      </c>
      <c r="J716" s="423" t="inlineStr">
        <is>
          <t>No receipt; cash</t>
        </is>
      </c>
    </row>
    <row r="717">
      <c r="B717" s="429" t="n">
        <v>46267</v>
      </c>
      <c r="C717" s="297" t="inlineStr">
        <is>
          <t>Avia</t>
        </is>
      </c>
      <c r="D717" s="298" t="inlineStr">
        <is>
          <t>No bill</t>
        </is>
      </c>
      <c r="E717" s="297" t="inlineStr">
        <is>
          <t>Ingredients - Beverages</t>
        </is>
      </c>
      <c r="F717" s="299" t="n">
        <v>450</v>
      </c>
      <c r="G717" s="300" t="inlineStr">
        <is>
          <t>Restaurant</t>
        </is>
      </c>
      <c r="H717" s="300" t="inlineStr">
        <is>
          <t>Cash</t>
        </is>
      </c>
      <c r="I717" s="301" t="inlineStr">
        <is>
          <t>✅ Paid</t>
        </is>
      </c>
      <c r="J717" s="423" t="inlineStr">
        <is>
          <t>No receipt; cash</t>
        </is>
      </c>
    </row>
    <row r="718">
      <c r="B718" s="429" t="n">
        <v>46268</v>
      </c>
      <c r="C718" s="297" t="inlineStr">
        <is>
          <t>Carne</t>
        </is>
      </c>
      <c r="D718" s="298" t="inlineStr">
        <is>
          <t>No bill</t>
        </is>
      </c>
      <c r="E718" s="297" t="inlineStr">
        <is>
          <t>Ingredients - Meat</t>
        </is>
      </c>
      <c r="F718" s="299" t="n">
        <v>1934</v>
      </c>
      <c r="G718" s="300" t="inlineStr">
        <is>
          <t>Restaurant</t>
        </is>
      </c>
      <c r="H718" s="300" t="inlineStr">
        <is>
          <t>Cash</t>
        </is>
      </c>
      <c r="I718" s="301" t="inlineStr">
        <is>
          <t>✅ Paid</t>
        </is>
      </c>
      <c r="J718" s="423" t="inlineStr">
        <is>
          <t>No receipt; cash</t>
        </is>
      </c>
    </row>
    <row r="719">
      <c r="B719" s="429" t="n">
        <v>46268</v>
      </c>
      <c r="C719" s="297" t="inlineStr">
        <is>
          <t>Vessels</t>
        </is>
      </c>
      <c r="D719" s="298" t="inlineStr">
        <is>
          <t>No bill</t>
        </is>
      </c>
      <c r="E719" s="297" t="inlineStr">
        <is>
          <t>Kitchen Supplies</t>
        </is>
      </c>
      <c r="F719" s="299" t="n">
        <v>1245</v>
      </c>
      <c r="G719" s="300" t="inlineStr">
        <is>
          <t>Restaurant</t>
        </is>
      </c>
      <c r="H719" s="300" t="inlineStr">
        <is>
          <t>Cash</t>
        </is>
      </c>
      <c r="I719" s="301" t="inlineStr">
        <is>
          <t>✅ Paid</t>
        </is>
      </c>
      <c r="J719" s="423" t="inlineStr">
        <is>
          <t>No receipt; cash</t>
        </is>
      </c>
    </row>
    <row r="720">
      <c r="B720" s="429" t="n">
        <v>46268</v>
      </c>
      <c r="C720" s="297" t="inlineStr">
        <is>
          <t>Pan Reales</t>
        </is>
      </c>
      <c r="D720" s="298" t="inlineStr">
        <is>
          <t>Pan Reales</t>
        </is>
      </c>
      <c r="E720" s="297" t="inlineStr">
        <is>
          <t>Ingredients - Bread</t>
        </is>
      </c>
      <c r="F720" s="299" t="n">
        <v>451</v>
      </c>
      <c r="G720" s="300" t="inlineStr">
        <is>
          <t>Restaurant</t>
        </is>
      </c>
      <c r="H720" s="300" t="inlineStr">
        <is>
          <t>Cash</t>
        </is>
      </c>
      <c r="I720" s="301" t="inlineStr">
        <is>
          <t>✅ Paid</t>
        </is>
      </c>
      <c r="J720" s="423" t="inlineStr">
        <is>
          <t>No receipt; cash</t>
        </is>
      </c>
    </row>
    <row r="721">
      <c r="B721" s="429" t="n">
        <v>46268</v>
      </c>
      <c r="C721" s="297" t="inlineStr">
        <is>
          <t>Vegetables</t>
        </is>
      </c>
      <c r="D721" s="298" t="inlineStr">
        <is>
          <t>No bill</t>
        </is>
      </c>
      <c r="E721" s="297" t="inlineStr">
        <is>
          <t>Ingredients - Vegetables</t>
        </is>
      </c>
      <c r="F721" s="299" t="n">
        <v>213</v>
      </c>
      <c r="G721" s="300" t="inlineStr">
        <is>
          <t>Restaurant</t>
        </is>
      </c>
      <c r="H721" s="300" t="inlineStr">
        <is>
          <t>Cash</t>
        </is>
      </c>
      <c r="I721" s="301" t="inlineStr">
        <is>
          <t>✅ Paid</t>
        </is>
      </c>
      <c r="J721" s="423" t="inlineStr">
        <is>
          <t>No receipt; cash</t>
        </is>
      </c>
    </row>
    <row r="722">
      <c r="B722" s="429" t="n">
        <v>46268</v>
      </c>
      <c r="C722" s="297" t="inlineStr">
        <is>
          <t>Carne</t>
        </is>
      </c>
      <c r="D722" s="298" t="inlineStr">
        <is>
          <t>No bill</t>
        </is>
      </c>
      <c r="E722" s="297" t="inlineStr">
        <is>
          <t>Ingredients - Meat</t>
        </is>
      </c>
      <c r="F722" s="299" t="n">
        <v>450</v>
      </c>
      <c r="G722" s="300" t="inlineStr">
        <is>
          <t>Restaurant</t>
        </is>
      </c>
      <c r="H722" s="300" t="inlineStr">
        <is>
          <t>Cash</t>
        </is>
      </c>
      <c r="I722" s="301" t="inlineStr">
        <is>
          <t>✅ Paid</t>
        </is>
      </c>
      <c r="J722" s="423" t="inlineStr">
        <is>
          <t>No receipt; cash</t>
        </is>
      </c>
    </row>
    <row r="723">
      <c r="B723" s="429" t="n">
        <v>46268</v>
      </c>
      <c r="C723" s="297" t="inlineStr">
        <is>
          <t>Pescado</t>
        </is>
      </c>
      <c r="D723" s="298" t="inlineStr">
        <is>
          <t>No bill</t>
        </is>
      </c>
      <c r="E723" s="297" t="inlineStr">
        <is>
          <t>Ingredients - Meat &amp; Fish</t>
        </is>
      </c>
      <c r="F723" s="299" t="n">
        <v>333</v>
      </c>
      <c r="G723" s="300" t="inlineStr">
        <is>
          <t>Restaurant</t>
        </is>
      </c>
      <c r="H723" s="300" t="inlineStr">
        <is>
          <t>Cash</t>
        </is>
      </c>
      <c r="I723" s="301" t="inlineStr">
        <is>
          <t>✅ Paid</t>
        </is>
      </c>
      <c r="J723" s="423" t="inlineStr">
        <is>
          <t>No receipt; cash</t>
        </is>
      </c>
    </row>
    <row r="724">
      <c r="B724" s="429" t="n">
        <v>46268</v>
      </c>
      <c r="C724" s="297" t="inlineStr">
        <is>
          <t>Oxxo</t>
        </is>
      </c>
      <c r="D724" s="298" t="inlineStr">
        <is>
          <t>OXXO</t>
        </is>
      </c>
      <c r="E724" s="297" t="inlineStr">
        <is>
          <t>Ingredients - Pantry</t>
        </is>
      </c>
      <c r="F724" s="299" t="n">
        <v>79</v>
      </c>
      <c r="G724" s="300" t="inlineStr">
        <is>
          <t>Restaurant</t>
        </is>
      </c>
      <c r="H724" s="300" t="inlineStr">
        <is>
          <t>Cash</t>
        </is>
      </c>
      <c r="I724" s="301" t="inlineStr">
        <is>
          <t>✅ Paid</t>
        </is>
      </c>
      <c r="J724" s="423" t="inlineStr">
        <is>
          <t>No receipt; cash</t>
        </is>
      </c>
    </row>
    <row r="725">
      <c r="B725" s="429" t="n">
        <v>46268</v>
      </c>
      <c r="C725" s="297" t="inlineStr">
        <is>
          <t>Jhon - salary</t>
        </is>
      </c>
      <c r="D725" s="298" t="inlineStr">
        <is>
          <t>Payroll</t>
        </is>
      </c>
      <c r="E725" s="297" t="inlineStr">
        <is>
          <t>Staff - Salary</t>
        </is>
      </c>
      <c r="F725" s="299" t="n">
        <v>500</v>
      </c>
      <c r="G725" s="300" t="inlineStr">
        <is>
          <t>Restaurant</t>
        </is>
      </c>
      <c r="H725" s="300" t="inlineStr">
        <is>
          <t>Cash</t>
        </is>
      </c>
      <c r="I725" s="301" t="inlineStr">
        <is>
          <t>✅ Paid</t>
        </is>
      </c>
      <c r="J725" s="423" t="inlineStr">
        <is>
          <t>Weekly salary</t>
        </is>
      </c>
    </row>
    <row r="726">
      <c r="B726" s="429" t="n">
        <v>46268</v>
      </c>
      <c r="C726" s="297" t="inlineStr">
        <is>
          <t>Armando - salary</t>
        </is>
      </c>
      <c r="D726" s="298" t="inlineStr">
        <is>
          <t>Payroll</t>
        </is>
      </c>
      <c r="E726" s="297" t="inlineStr">
        <is>
          <t>Staff - Salary</t>
        </is>
      </c>
      <c r="F726" s="299" t="n">
        <v>300</v>
      </c>
      <c r="G726" s="300" t="inlineStr">
        <is>
          <t>Restaurant</t>
        </is>
      </c>
      <c r="H726" s="300" t="inlineStr">
        <is>
          <t>Cash</t>
        </is>
      </c>
      <c r="I726" s="301" t="inlineStr">
        <is>
          <t>✅ Paid</t>
        </is>
      </c>
      <c r="J726" s="423" t="inlineStr">
        <is>
          <t>Weekly salary</t>
        </is>
      </c>
    </row>
    <row r="727">
      <c r="B727" s="429" t="n">
        <v>46269</v>
      </c>
      <c r="C727" s="297" t="inlineStr">
        <is>
          <t>Rent</t>
        </is>
      </c>
      <c r="D727" s="298" t="inlineStr">
        <is>
          <t>No Bill</t>
        </is>
      </c>
      <c r="E727" s="297" t="inlineStr">
        <is>
          <t>Rent</t>
        </is>
      </c>
      <c r="F727" s="299" t="n">
        <v>19066.68</v>
      </c>
      <c r="G727" s="300" t="inlineStr">
        <is>
          <t>Capital</t>
        </is>
      </c>
      <c r="H727" s="300" t="inlineStr">
        <is>
          <t>Transfer</t>
        </is>
      </c>
      <c r="I727" s="301" t="inlineStr">
        <is>
          <t>✅ Paid</t>
        </is>
      </c>
      <c r="J727" s="423" t="inlineStr">
        <is>
          <t>Paid from Capital</t>
        </is>
      </c>
    </row>
    <row r="728">
      <c r="B728" s="429" t="n">
        <v>46269</v>
      </c>
      <c r="C728" s="297" t="inlineStr">
        <is>
          <t>Pollo</t>
        </is>
      </c>
      <c r="D728" s="298" t="inlineStr">
        <is>
          <t>No bill</t>
        </is>
      </c>
      <c r="E728" s="297" t="inlineStr">
        <is>
          <t>Ingredients - Meat</t>
        </is>
      </c>
      <c r="F728" s="299" t="n">
        <v>117</v>
      </c>
      <c r="G728" s="300" t="inlineStr">
        <is>
          <t>Restaurant</t>
        </is>
      </c>
      <c r="H728" s="300" t="inlineStr">
        <is>
          <t>Cash</t>
        </is>
      </c>
      <c r="I728" s="301" t="inlineStr">
        <is>
          <t>✅ Paid</t>
        </is>
      </c>
      <c r="J728" s="423" t="inlineStr">
        <is>
          <t>No receipt; cash</t>
        </is>
      </c>
    </row>
    <row r="729">
      <c r="B729" s="429" t="n">
        <v>46269</v>
      </c>
      <c r="C729" s="297" t="inlineStr">
        <is>
          <t>Mayonesa</t>
        </is>
      </c>
      <c r="D729" s="298" t="inlineStr">
        <is>
          <t>No bill</t>
        </is>
      </c>
      <c r="E729" s="297" t="inlineStr">
        <is>
          <t>Ingredients - Other</t>
        </is>
      </c>
      <c r="F729" s="299" t="n">
        <v>227</v>
      </c>
      <c r="G729" s="300" t="inlineStr">
        <is>
          <t>Restaurant</t>
        </is>
      </c>
      <c r="H729" s="300" t="inlineStr">
        <is>
          <t>Cash</t>
        </is>
      </c>
      <c r="I729" s="301" t="inlineStr">
        <is>
          <t>✅ Paid</t>
        </is>
      </c>
      <c r="J729" s="423" t="inlineStr">
        <is>
          <t>No receipt; cash</t>
        </is>
      </c>
    </row>
    <row r="730">
      <c r="B730" s="429" t="n">
        <v>46269</v>
      </c>
      <c r="C730" s="297" t="inlineStr">
        <is>
          <t>Abastos</t>
        </is>
      </c>
      <c r="D730" s="298" t="inlineStr">
        <is>
          <t>Central de Abastos</t>
        </is>
      </c>
      <c r="E730" s="297" t="inlineStr">
        <is>
          <t>Ingredients - Vegetables</t>
        </is>
      </c>
      <c r="F730" s="299" t="n">
        <v>125</v>
      </c>
      <c r="G730" s="300" t="inlineStr">
        <is>
          <t>Restaurant</t>
        </is>
      </c>
      <c r="H730" s="300" t="inlineStr">
        <is>
          <t>Cash</t>
        </is>
      </c>
      <c r="I730" s="301" t="inlineStr">
        <is>
          <t>✅ Paid</t>
        </is>
      </c>
      <c r="J730" s="423" t="inlineStr">
        <is>
          <t>No receipt; cash</t>
        </is>
      </c>
    </row>
    <row r="731">
      <c r="B731" s="429" t="n">
        <v>46269</v>
      </c>
      <c r="C731" s="297" t="inlineStr">
        <is>
          <t>Basicos</t>
        </is>
      </c>
      <c r="D731" s="298" t="inlineStr">
        <is>
          <t>No bill</t>
        </is>
      </c>
      <c r="E731" s="297" t="inlineStr">
        <is>
          <t>Supermarket/General</t>
        </is>
      </c>
      <c r="F731" s="299" t="n">
        <v>346</v>
      </c>
      <c r="G731" s="300" t="inlineStr">
        <is>
          <t>Restaurant</t>
        </is>
      </c>
      <c r="H731" s="300" t="inlineStr">
        <is>
          <t>Cash</t>
        </is>
      </c>
      <c r="I731" s="301" t="inlineStr">
        <is>
          <t>✅ Paid</t>
        </is>
      </c>
      <c r="J731" s="423" t="inlineStr">
        <is>
          <t>No receipt; cash</t>
        </is>
      </c>
    </row>
    <row r="732">
      <c r="B732" s="429" t="n">
        <v>46270</v>
      </c>
      <c r="C732" s="297" t="inlineStr">
        <is>
          <t>Armando - salary</t>
        </is>
      </c>
      <c r="D732" s="298" t="inlineStr">
        <is>
          <t>Payroll</t>
        </is>
      </c>
      <c r="E732" s="297" t="inlineStr">
        <is>
          <t>Staff - Salary</t>
        </is>
      </c>
      <c r="F732" s="299" t="n">
        <v>2200</v>
      </c>
      <c r="G732" s="300" t="inlineStr">
        <is>
          <t>Restaurant</t>
        </is>
      </c>
      <c r="H732" s="300" t="inlineStr">
        <is>
          <t>Cash</t>
        </is>
      </c>
      <c r="I732" s="301" t="inlineStr">
        <is>
          <t>✅ Paid</t>
        </is>
      </c>
      <c r="J732" s="423" t="inlineStr">
        <is>
          <t>Weekly salary</t>
        </is>
      </c>
    </row>
    <row r="733">
      <c r="B733" s="429" t="n">
        <v>46270</v>
      </c>
      <c r="C733" s="297" t="inlineStr">
        <is>
          <t>Duvi - salary</t>
        </is>
      </c>
      <c r="D733" s="298" t="inlineStr">
        <is>
          <t>Payroll</t>
        </is>
      </c>
      <c r="E733" s="297" t="inlineStr">
        <is>
          <t>Staff - Salary</t>
        </is>
      </c>
      <c r="F733" s="299" t="n">
        <v>1460</v>
      </c>
      <c r="G733" s="300" t="inlineStr">
        <is>
          <t>Restaurant</t>
        </is>
      </c>
      <c r="H733" s="300" t="inlineStr">
        <is>
          <t>Cash</t>
        </is>
      </c>
      <c r="I733" s="301" t="inlineStr">
        <is>
          <t>✅ Paid</t>
        </is>
      </c>
      <c r="J733" s="423" t="inlineStr">
        <is>
          <t>Weekly salary</t>
        </is>
      </c>
    </row>
    <row r="734">
      <c r="B734" s="429" t="n">
        <v>46270</v>
      </c>
      <c r="C734" s="297" t="inlineStr">
        <is>
          <t>Jhon - salary</t>
        </is>
      </c>
      <c r="D734" s="298" t="inlineStr">
        <is>
          <t>Payroll</t>
        </is>
      </c>
      <c r="E734" s="297" t="inlineStr">
        <is>
          <t>Staff - Salary</t>
        </is>
      </c>
      <c r="F734" s="299" t="n">
        <v>3750</v>
      </c>
      <c r="G734" s="300" t="inlineStr">
        <is>
          <t>Restaurant</t>
        </is>
      </c>
      <c r="H734" s="300" t="inlineStr">
        <is>
          <t>Cash</t>
        </is>
      </c>
      <c r="I734" s="301" t="inlineStr">
        <is>
          <t>✅ Paid</t>
        </is>
      </c>
      <c r="J734" s="423" t="inlineStr">
        <is>
          <t>Weekly salary</t>
        </is>
      </c>
    </row>
    <row r="735">
      <c r="B735" s="429" t="n">
        <v>46270</v>
      </c>
      <c r="C735" s="297" t="inlineStr">
        <is>
          <t>Vegetables</t>
        </is>
      </c>
      <c r="D735" s="298" t="inlineStr">
        <is>
          <t>No bill</t>
        </is>
      </c>
      <c r="E735" s="297" t="inlineStr">
        <is>
          <t>Ingredients - Vegetables</t>
        </is>
      </c>
      <c r="F735" s="299" t="n">
        <v>1380</v>
      </c>
      <c r="G735" s="300" t="inlineStr">
        <is>
          <t>Restaurant</t>
        </is>
      </c>
      <c r="H735" s="300" t="inlineStr">
        <is>
          <t>Cash</t>
        </is>
      </c>
      <c r="I735" s="301" t="inlineStr">
        <is>
          <t>✅ Paid</t>
        </is>
      </c>
      <c r="J735" s="423" t="inlineStr">
        <is>
          <t>No receipt; cash</t>
        </is>
      </c>
    </row>
    <row r="736">
      <c r="B736" s="429" t="n">
        <v>46270</v>
      </c>
      <c r="C736" s="297" t="inlineStr">
        <is>
          <t>Chedraui</t>
        </is>
      </c>
      <c r="D736" s="298" t="inlineStr">
        <is>
          <t>Chedraui</t>
        </is>
      </c>
      <c r="E736" s="297" t="inlineStr">
        <is>
          <t>Supermarket/General</t>
        </is>
      </c>
      <c r="F736" s="299" t="n">
        <v>303</v>
      </c>
      <c r="G736" s="300" t="inlineStr">
        <is>
          <t>Restaurant</t>
        </is>
      </c>
      <c r="H736" s="300" t="inlineStr">
        <is>
          <t>Cash</t>
        </is>
      </c>
      <c r="I736" s="301" t="inlineStr">
        <is>
          <t>✅ Paid</t>
        </is>
      </c>
      <c r="J736" s="423" t="inlineStr">
        <is>
          <t>No receipt; cash</t>
        </is>
      </c>
    </row>
    <row r="737">
      <c r="B737" s="429" t="n">
        <v>46270</v>
      </c>
      <c r="C737" s="297" t="inlineStr">
        <is>
          <t>Jamon</t>
        </is>
      </c>
      <c r="D737" s="298" t="inlineStr">
        <is>
          <t>No bill</t>
        </is>
      </c>
      <c r="E737" s="297" t="inlineStr">
        <is>
          <t>Ingredients - Meat</t>
        </is>
      </c>
      <c r="F737" s="299" t="n">
        <v>89</v>
      </c>
      <c r="G737" s="300" t="inlineStr">
        <is>
          <t>Restaurant</t>
        </is>
      </c>
      <c r="H737" s="300" t="inlineStr">
        <is>
          <t>Cash</t>
        </is>
      </c>
      <c r="I737" s="301" t="inlineStr">
        <is>
          <t>✅ Paid</t>
        </is>
      </c>
      <c r="J737" s="423" t="inlineStr">
        <is>
          <t>No receipt; cash</t>
        </is>
      </c>
    </row>
    <row r="738">
      <c r="B738" s="429" t="n">
        <v>46272</v>
      </c>
      <c r="C738" s="297" t="inlineStr">
        <is>
          <t>Lechugas</t>
        </is>
      </c>
      <c r="D738" s="298" t="inlineStr">
        <is>
          <t>No bill</t>
        </is>
      </c>
      <c r="E738" s="297" t="inlineStr">
        <is>
          <t>Ingredients - Vegetables</t>
        </is>
      </c>
      <c r="F738" s="299" t="n">
        <v>60</v>
      </c>
      <c r="G738" s="300" t="inlineStr">
        <is>
          <t>Restaurant</t>
        </is>
      </c>
      <c r="H738" s="300" t="inlineStr">
        <is>
          <t>Cash</t>
        </is>
      </c>
      <c r="I738" s="301" t="inlineStr">
        <is>
          <t>✅ Paid</t>
        </is>
      </c>
      <c r="J738" s="423" t="inlineStr">
        <is>
          <t>No receipt; cash</t>
        </is>
      </c>
    </row>
    <row r="739">
      <c r="B739" s="429" t="n">
        <v>46272</v>
      </c>
      <c r="C739" s="297" t="inlineStr">
        <is>
          <t>Vegetales</t>
        </is>
      </c>
      <c r="D739" s="298" t="inlineStr">
        <is>
          <t>No bill</t>
        </is>
      </c>
      <c r="E739" s="297" t="inlineStr">
        <is>
          <t>Ingredients - Vegetables</t>
        </is>
      </c>
      <c r="F739" s="299" t="n">
        <v>200</v>
      </c>
      <c r="G739" s="300" t="inlineStr">
        <is>
          <t>Restaurant</t>
        </is>
      </c>
      <c r="H739" s="300" t="inlineStr">
        <is>
          <t>Cash</t>
        </is>
      </c>
      <c r="I739" s="301" t="inlineStr">
        <is>
          <t>✅ Paid</t>
        </is>
      </c>
      <c r="J739" s="423" t="inlineStr">
        <is>
          <t>No receipt; cash</t>
        </is>
      </c>
    </row>
    <row r="740">
      <c r="B740" s="429" t="n">
        <v>46272</v>
      </c>
      <c r="C740" s="297" t="inlineStr">
        <is>
          <t>Carne</t>
        </is>
      </c>
      <c r="D740" s="298" t="inlineStr">
        <is>
          <t>No bill</t>
        </is>
      </c>
      <c r="E740" s="297" t="inlineStr">
        <is>
          <t>Ingredients - Meat</t>
        </is>
      </c>
      <c r="F740" s="299" t="n">
        <v>3327</v>
      </c>
      <c r="G740" s="300" t="inlineStr">
        <is>
          <t>Restaurant</t>
        </is>
      </c>
      <c r="H740" s="300" t="inlineStr">
        <is>
          <t>Cash</t>
        </is>
      </c>
      <c r="I740" s="301" t="inlineStr">
        <is>
          <t>✅ Paid</t>
        </is>
      </c>
      <c r="J740" s="423" t="inlineStr">
        <is>
          <t>No receipt; cash</t>
        </is>
      </c>
    </row>
    <row r="741">
      <c r="B741" s="429" t="n">
        <v>46272</v>
      </c>
      <c r="C741" s="297" t="inlineStr">
        <is>
          <t>Caramelo</t>
        </is>
      </c>
      <c r="D741" s="298" t="inlineStr">
        <is>
          <t>No bill</t>
        </is>
      </c>
      <c r="E741" s="297" t="inlineStr">
        <is>
          <t>Ingredients - Other</t>
        </is>
      </c>
      <c r="F741" s="299" t="n">
        <v>95</v>
      </c>
      <c r="G741" s="300" t="inlineStr">
        <is>
          <t>Restaurant</t>
        </is>
      </c>
      <c r="H741" s="300" t="inlineStr">
        <is>
          <t>Cash</t>
        </is>
      </c>
      <c r="I741" s="301" t="inlineStr">
        <is>
          <t>✅ Paid</t>
        </is>
      </c>
      <c r="J741" s="423" t="inlineStr">
        <is>
          <t>No receipt; cash</t>
        </is>
      </c>
    </row>
    <row r="742">
      <c r="B742" s="429" t="n">
        <v>46272</v>
      </c>
      <c r="C742" s="297" t="inlineStr">
        <is>
          <t>Guimar</t>
        </is>
      </c>
      <c r="D742" s="298" t="inlineStr">
        <is>
          <t>Guimar Polietilenos</t>
        </is>
      </c>
      <c r="E742" s="297" t="inlineStr">
        <is>
          <t>Packaging/Disposables</t>
        </is>
      </c>
      <c r="F742" s="299" t="n">
        <v>24</v>
      </c>
      <c r="G742" s="300" t="inlineStr">
        <is>
          <t>Restaurant</t>
        </is>
      </c>
      <c r="H742" s="300" t="inlineStr">
        <is>
          <t>Cash</t>
        </is>
      </c>
      <c r="I742" s="301" t="inlineStr">
        <is>
          <t>✅ Paid</t>
        </is>
      </c>
      <c r="J742" s="423" t="inlineStr">
        <is>
          <t>No receipt; cash</t>
        </is>
      </c>
    </row>
    <row r="743">
      <c r="B743" s="429" t="n">
        <v>46272</v>
      </c>
      <c r="C743" s="297" t="inlineStr">
        <is>
          <t>Carne</t>
        </is>
      </c>
      <c r="D743" s="298" t="inlineStr">
        <is>
          <t>No bill</t>
        </is>
      </c>
      <c r="E743" s="297" t="inlineStr">
        <is>
          <t>Ingredients - Meat</t>
        </is>
      </c>
      <c r="F743" s="299" t="n">
        <v>498</v>
      </c>
      <c r="G743" s="300" t="inlineStr">
        <is>
          <t>Restaurant</t>
        </is>
      </c>
      <c r="H743" s="300" t="inlineStr">
        <is>
          <t>Cash</t>
        </is>
      </c>
      <c r="I743" s="301" t="inlineStr">
        <is>
          <t>✅ Paid</t>
        </is>
      </c>
      <c r="J743" s="423" t="inlineStr">
        <is>
          <t>No receipt; cash</t>
        </is>
      </c>
    </row>
    <row r="744">
      <c r="B744" s="429" t="n">
        <v>46272</v>
      </c>
      <c r="C744" s="297" t="inlineStr">
        <is>
          <t>Jamon</t>
        </is>
      </c>
      <c r="D744" s="298" t="inlineStr">
        <is>
          <t>No bill</t>
        </is>
      </c>
      <c r="E744" s="297" t="inlineStr">
        <is>
          <t>Ingredients - Meat</t>
        </is>
      </c>
      <c r="F744" s="299" t="n">
        <v>176</v>
      </c>
      <c r="G744" s="300" t="inlineStr">
        <is>
          <t>Restaurant</t>
        </is>
      </c>
      <c r="H744" s="300" t="inlineStr">
        <is>
          <t>Cash</t>
        </is>
      </c>
      <c r="I744" s="301" t="inlineStr">
        <is>
          <t>✅ Paid</t>
        </is>
      </c>
      <c r="J744" s="423" t="inlineStr">
        <is>
          <t>No receipt; cash</t>
        </is>
      </c>
    </row>
    <row r="745">
      <c r="B745" s="429" t="n">
        <v>46272</v>
      </c>
      <c r="C745" s="297" t="inlineStr">
        <is>
          <t>Pollo</t>
        </is>
      </c>
      <c r="D745" s="298" t="inlineStr">
        <is>
          <t>No bill</t>
        </is>
      </c>
      <c r="E745" s="297" t="inlineStr">
        <is>
          <t>Ingredients - Meat</t>
        </is>
      </c>
      <c r="F745" s="299" t="n">
        <v>925</v>
      </c>
      <c r="G745" s="300" t="inlineStr">
        <is>
          <t>Restaurant</t>
        </is>
      </c>
      <c r="H745" s="300" t="inlineStr">
        <is>
          <t>Cash</t>
        </is>
      </c>
      <c r="I745" s="301" t="inlineStr">
        <is>
          <t>✅ Paid</t>
        </is>
      </c>
      <c r="J745" s="423" t="inlineStr">
        <is>
          <t>No receipt; cash</t>
        </is>
      </c>
    </row>
    <row r="746">
      <c r="B746" s="429" t="n">
        <v>46272</v>
      </c>
      <c r="C746" s="297" t="inlineStr">
        <is>
          <t>Electric Issue</t>
        </is>
      </c>
      <c r="D746" s="298" t="inlineStr">
        <is>
          <t>No bill</t>
        </is>
      </c>
      <c r="E746" s="297" t="inlineStr">
        <is>
          <t>Maintenance</t>
        </is>
      </c>
      <c r="F746" s="299" t="n">
        <v>600</v>
      </c>
      <c r="G746" s="300" t="inlineStr">
        <is>
          <t>Restaurant</t>
        </is>
      </c>
      <c r="H746" s="300" t="inlineStr">
        <is>
          <t>Cash</t>
        </is>
      </c>
      <c r="I746" s="301" t="inlineStr">
        <is>
          <t>✅ Paid</t>
        </is>
      </c>
      <c r="J746" s="423" t="inlineStr">
        <is>
          <t>No receipt; cash. Electrical repair (confirmed 18-Sep)</t>
        </is>
      </c>
    </row>
    <row r="747">
      <c r="B747" s="429" t="n">
        <v>46272</v>
      </c>
      <c r="C747" s="297" t="inlineStr">
        <is>
          <t>Oxxo Arroz</t>
        </is>
      </c>
      <c r="D747" s="298" t="inlineStr">
        <is>
          <t>OXXO</t>
        </is>
      </c>
      <c r="E747" s="297" t="inlineStr">
        <is>
          <t>Ingredients - Pantry</t>
        </is>
      </c>
      <c r="F747" s="299" t="n">
        <v>260</v>
      </c>
      <c r="G747" s="300" t="inlineStr">
        <is>
          <t>Restaurant</t>
        </is>
      </c>
      <c r="H747" s="300" t="inlineStr">
        <is>
          <t>Cash</t>
        </is>
      </c>
      <c r="I747" s="301" t="inlineStr">
        <is>
          <t>✅ Paid</t>
        </is>
      </c>
      <c r="J747" s="423" t="inlineStr">
        <is>
          <t>No receipt; cash</t>
        </is>
      </c>
    </row>
    <row r="748">
      <c r="B748" s="429" t="n">
        <v>46272</v>
      </c>
      <c r="C748" s="297" t="inlineStr">
        <is>
          <t>Wallmart</t>
        </is>
      </c>
      <c r="D748" s="298" t="inlineStr">
        <is>
          <t>No bill</t>
        </is>
      </c>
      <c r="E748" s="297" t="inlineStr">
        <is>
          <t>Supplies/Other</t>
        </is>
      </c>
      <c r="F748" s="299" t="n">
        <v>123</v>
      </c>
      <c r="G748" s="300" t="inlineStr">
        <is>
          <t>Lohith</t>
        </is>
      </c>
      <c r="H748" s="300" t="inlineStr">
        <is>
          <t>Cash</t>
        </is>
      </c>
      <c r="I748" s="301" t="inlineStr">
        <is>
          <t>✅ Paid</t>
        </is>
      </c>
      <c r="J748" s="423" t="inlineStr">
        <is>
          <t>Pagado por Lohith (bolsillo); reembolsable via Owner Ledger</t>
        </is>
      </c>
    </row>
    <row r="749">
      <c r="B749" s="429" t="n">
        <v>46273</v>
      </c>
      <c r="C749" s="297" t="inlineStr">
        <is>
          <t>Vegetables</t>
        </is>
      </c>
      <c r="D749" s="298" t="inlineStr">
        <is>
          <t>No bill</t>
        </is>
      </c>
      <c r="E749" s="297" t="inlineStr">
        <is>
          <t>Ingredients - Vegetables</t>
        </is>
      </c>
      <c r="F749" s="299" t="n">
        <v>324</v>
      </c>
      <c r="G749" s="300" t="inlineStr">
        <is>
          <t>Restaurant</t>
        </is>
      </c>
      <c r="H749" s="300" t="inlineStr">
        <is>
          <t>Cash</t>
        </is>
      </c>
      <c r="I749" s="301" t="inlineStr">
        <is>
          <t>✅ Paid</t>
        </is>
      </c>
      <c r="J749" s="423" t="inlineStr">
        <is>
          <t>No receipt; cash</t>
        </is>
      </c>
    </row>
    <row r="750">
      <c r="B750" s="429" t="n">
        <v>46273</v>
      </c>
      <c r="C750" s="297" t="inlineStr">
        <is>
          <t>Molino Soya</t>
        </is>
      </c>
      <c r="D750" s="298" t="inlineStr">
        <is>
          <t>No bill</t>
        </is>
      </c>
      <c r="E750" s="297" t="inlineStr">
        <is>
          <t>Supermarket/General</t>
        </is>
      </c>
      <c r="F750" s="299" t="n">
        <v>55</v>
      </c>
      <c r="G750" s="300" t="inlineStr">
        <is>
          <t>Restaurant</t>
        </is>
      </c>
      <c r="H750" s="300" t="inlineStr">
        <is>
          <t>Cash</t>
        </is>
      </c>
      <c r="I750" s="301" t="inlineStr">
        <is>
          <t>✅ Paid</t>
        </is>
      </c>
      <c r="J750" s="423" t="inlineStr">
        <is>
          <t>No receipt; cash</t>
        </is>
      </c>
    </row>
    <row r="751">
      <c r="B751" s="429" t="n">
        <v>46273</v>
      </c>
      <c r="C751" s="297" t="inlineStr">
        <is>
          <t>La Comer</t>
        </is>
      </c>
      <c r="D751" s="298" t="inlineStr">
        <is>
          <t>No bill</t>
        </is>
      </c>
      <c r="E751" s="297" t="inlineStr">
        <is>
          <t>Supermarket/General</t>
        </is>
      </c>
      <c r="F751" s="299" t="n">
        <v>132</v>
      </c>
      <c r="G751" s="300" t="inlineStr">
        <is>
          <t>Restaurant</t>
        </is>
      </c>
      <c r="H751" s="300" t="inlineStr">
        <is>
          <t>Cash</t>
        </is>
      </c>
      <c r="I751" s="301" t="inlineStr">
        <is>
          <t>✅ Paid</t>
        </is>
      </c>
      <c r="J751" s="423" t="inlineStr">
        <is>
          <t>No receipt; cash</t>
        </is>
      </c>
    </row>
    <row r="752">
      <c r="B752" s="429" t="n">
        <v>46273</v>
      </c>
      <c r="C752" s="297" t="inlineStr">
        <is>
          <t>Guimar</t>
        </is>
      </c>
      <c r="D752" s="298" t="inlineStr">
        <is>
          <t>Guimar Polietilenos</t>
        </is>
      </c>
      <c r="E752" s="297" t="inlineStr">
        <is>
          <t>Packaging/Disposables</t>
        </is>
      </c>
      <c r="F752" s="299" t="n">
        <v>429</v>
      </c>
      <c r="G752" s="300" t="inlineStr">
        <is>
          <t>Restaurant</t>
        </is>
      </c>
      <c r="H752" s="300" t="inlineStr">
        <is>
          <t>Cash</t>
        </is>
      </c>
      <c r="I752" s="301" t="inlineStr">
        <is>
          <t>✅ Paid</t>
        </is>
      </c>
      <c r="J752" s="423" t="inlineStr">
        <is>
          <t>No receipt; cash</t>
        </is>
      </c>
    </row>
    <row r="753">
      <c r="B753" s="429" t="n">
        <v>46273</v>
      </c>
      <c r="C753" s="297" t="inlineStr">
        <is>
          <t>3B Jugo</t>
        </is>
      </c>
      <c r="D753" s="298" t="inlineStr">
        <is>
          <t>Tres B</t>
        </is>
      </c>
      <c r="E753" s="297" t="inlineStr">
        <is>
          <t>Supermarket/General</t>
        </is>
      </c>
      <c r="F753" s="299" t="n">
        <v>1040</v>
      </c>
      <c r="G753" s="300" t="inlineStr">
        <is>
          <t>Restaurant</t>
        </is>
      </c>
      <c r="H753" s="300" t="inlineStr">
        <is>
          <t>Cash</t>
        </is>
      </c>
      <c r="I753" s="301" t="inlineStr">
        <is>
          <t>✅ Paid</t>
        </is>
      </c>
      <c r="J753" s="423" t="inlineStr">
        <is>
          <t>No receipt; cash</t>
        </is>
      </c>
    </row>
    <row r="754">
      <c r="B754" s="429" t="n">
        <v>46274</v>
      </c>
      <c r="C754" s="297" t="inlineStr">
        <is>
          <t>Avia</t>
        </is>
      </c>
      <c r="D754" s="298" t="inlineStr">
        <is>
          <t>No bill</t>
        </is>
      </c>
      <c r="E754" s="297" t="inlineStr">
        <is>
          <t>Ingredients - Beverages</t>
        </is>
      </c>
      <c r="F754" s="299" t="n">
        <v>450</v>
      </c>
      <c r="G754" s="300" t="inlineStr">
        <is>
          <t>Restaurant</t>
        </is>
      </c>
      <c r="H754" s="300" t="inlineStr">
        <is>
          <t>Cash</t>
        </is>
      </c>
      <c r="I754" s="301" t="inlineStr">
        <is>
          <t>✅ Paid</t>
        </is>
      </c>
      <c r="J754" s="423" t="inlineStr">
        <is>
          <t>No receipt; cash</t>
        </is>
      </c>
    </row>
    <row r="755">
      <c r="B755" s="429" t="n">
        <v>46274</v>
      </c>
      <c r="C755" s="297" t="inlineStr">
        <is>
          <t>Carne</t>
        </is>
      </c>
      <c r="D755" s="298" t="inlineStr">
        <is>
          <t>No bill</t>
        </is>
      </c>
      <c r="E755" s="297" t="inlineStr">
        <is>
          <t>Ingredients - Meat</t>
        </is>
      </c>
      <c r="F755" s="299" t="n">
        <v>634</v>
      </c>
      <c r="G755" s="300" t="inlineStr">
        <is>
          <t>Restaurant</t>
        </is>
      </c>
      <c r="H755" s="300" t="inlineStr">
        <is>
          <t>Cash</t>
        </is>
      </c>
      <c r="I755" s="301" t="inlineStr">
        <is>
          <t>✅ Paid</t>
        </is>
      </c>
      <c r="J755" s="423" t="inlineStr">
        <is>
          <t>No receipt; cash</t>
        </is>
      </c>
    </row>
    <row r="756">
      <c r="B756" s="429" t="n">
        <v>46274</v>
      </c>
      <c r="C756" s="297" t="inlineStr">
        <is>
          <t>Oxxo</t>
        </is>
      </c>
      <c r="D756" s="298" t="inlineStr">
        <is>
          <t>OXXO</t>
        </is>
      </c>
      <c r="E756" s="297" t="inlineStr">
        <is>
          <t>Ingredients - Pantry</t>
        </is>
      </c>
      <c r="F756" s="299" t="n">
        <v>22</v>
      </c>
      <c r="G756" s="300" t="inlineStr">
        <is>
          <t>Restaurant</t>
        </is>
      </c>
      <c r="H756" s="300" t="inlineStr">
        <is>
          <t>Cash</t>
        </is>
      </c>
      <c r="I756" s="301" t="inlineStr">
        <is>
          <t>✅ Paid</t>
        </is>
      </c>
      <c r="J756" s="423" t="inlineStr">
        <is>
          <t>No receipt; cash</t>
        </is>
      </c>
    </row>
    <row r="757">
      <c r="B757" s="429" t="n">
        <v>46275</v>
      </c>
      <c r="C757" s="297" t="inlineStr">
        <is>
          <t>Pan Reales</t>
        </is>
      </c>
      <c r="D757" s="298" t="inlineStr">
        <is>
          <t>Pan Reales</t>
        </is>
      </c>
      <c r="E757" s="297" t="inlineStr">
        <is>
          <t>Ingredients - Bread</t>
        </is>
      </c>
      <c r="F757" s="299" t="n">
        <v>621</v>
      </c>
      <c r="G757" s="300" t="inlineStr">
        <is>
          <t>Restaurant</t>
        </is>
      </c>
      <c r="H757" s="300" t="inlineStr">
        <is>
          <t>Cash</t>
        </is>
      </c>
      <c r="I757" s="301" t="inlineStr">
        <is>
          <t>✅ Paid</t>
        </is>
      </c>
      <c r="J757" s="423" t="inlineStr">
        <is>
          <t>No receipt; cash</t>
        </is>
      </c>
    </row>
    <row r="758">
      <c r="B758" s="429" t="n">
        <v>46275</v>
      </c>
      <c r="C758" s="297" t="inlineStr">
        <is>
          <t>Oxxo</t>
        </is>
      </c>
      <c r="D758" s="298" t="inlineStr">
        <is>
          <t>OXXO</t>
        </is>
      </c>
      <c r="E758" s="297" t="inlineStr">
        <is>
          <t>Ingredients - Pantry</t>
        </is>
      </c>
      <c r="F758" s="299" t="n">
        <v>32</v>
      </c>
      <c r="G758" s="300" t="inlineStr">
        <is>
          <t>Restaurant</t>
        </is>
      </c>
      <c r="H758" s="300" t="inlineStr">
        <is>
          <t>Cash</t>
        </is>
      </c>
      <c r="I758" s="301" t="inlineStr">
        <is>
          <t>✅ Paid</t>
        </is>
      </c>
      <c r="J758" s="423" t="inlineStr">
        <is>
          <t>No receipt; cash</t>
        </is>
      </c>
    </row>
    <row r="759">
      <c r="B759" s="429" t="n">
        <v>46275</v>
      </c>
      <c r="C759" s="297" t="inlineStr">
        <is>
          <t>Pescado</t>
        </is>
      </c>
      <c r="D759" s="298" t="inlineStr">
        <is>
          <t>No bill</t>
        </is>
      </c>
      <c r="E759" s="297" t="inlineStr">
        <is>
          <t>Ingredients - Meat &amp; Fish</t>
        </is>
      </c>
      <c r="F759" s="299" t="n">
        <v>317</v>
      </c>
      <c r="G759" s="300" t="inlineStr">
        <is>
          <t>Restaurant</t>
        </is>
      </c>
      <c r="H759" s="300" t="inlineStr">
        <is>
          <t>Cash</t>
        </is>
      </c>
      <c r="I759" s="301" t="inlineStr">
        <is>
          <t>✅ Paid</t>
        </is>
      </c>
      <c r="J759" s="423" t="inlineStr">
        <is>
          <t>No receipt; cash</t>
        </is>
      </c>
    </row>
    <row r="760">
      <c r="B760" s="429" t="n">
        <v>46275</v>
      </c>
      <c r="C760" s="297" t="inlineStr">
        <is>
          <t>Carne</t>
        </is>
      </c>
      <c r="D760" s="298" t="inlineStr">
        <is>
          <t>No bill</t>
        </is>
      </c>
      <c r="E760" s="297" t="inlineStr">
        <is>
          <t>Ingredients - Meat</t>
        </is>
      </c>
      <c r="F760" s="299" t="n">
        <v>495</v>
      </c>
      <c r="G760" s="300" t="inlineStr">
        <is>
          <t>Restaurant</t>
        </is>
      </c>
      <c r="H760" s="300" t="inlineStr">
        <is>
          <t>Cash</t>
        </is>
      </c>
      <c r="I760" s="301" t="inlineStr">
        <is>
          <t>✅ Paid</t>
        </is>
      </c>
      <c r="J760" s="423" t="inlineStr">
        <is>
          <t>No receipt; cash</t>
        </is>
      </c>
    </row>
    <row r="761">
      <c r="B761" s="429" t="n">
        <v>46275</v>
      </c>
      <c r="C761" s="297" t="inlineStr">
        <is>
          <t>Tomato</t>
        </is>
      </c>
      <c r="D761" s="298" t="inlineStr">
        <is>
          <t>No bill</t>
        </is>
      </c>
      <c r="E761" s="297" t="inlineStr">
        <is>
          <t>Ingredients - Vegetables</t>
        </is>
      </c>
      <c r="F761" s="299" t="n">
        <v>60</v>
      </c>
      <c r="G761" s="300" t="inlineStr">
        <is>
          <t>Restaurant</t>
        </is>
      </c>
      <c r="H761" s="300" t="inlineStr">
        <is>
          <t>Cash</t>
        </is>
      </c>
      <c r="I761" s="301" t="inlineStr">
        <is>
          <t>✅ Paid</t>
        </is>
      </c>
      <c r="J761" s="423" t="inlineStr">
        <is>
          <t>No receipt; cash</t>
        </is>
      </c>
    </row>
    <row r="762">
      <c r="B762" s="429" t="n">
        <v>46275</v>
      </c>
      <c r="C762" s="297" t="inlineStr">
        <is>
          <t>Lechuga</t>
        </is>
      </c>
      <c r="D762" s="298" t="inlineStr">
        <is>
          <t>No bill</t>
        </is>
      </c>
      <c r="E762" s="297" t="inlineStr">
        <is>
          <t>Ingredients - Vegetables</t>
        </is>
      </c>
      <c r="F762" s="299" t="n">
        <v>50</v>
      </c>
      <c r="G762" s="300" t="inlineStr">
        <is>
          <t>Restaurant</t>
        </is>
      </c>
      <c r="H762" s="300" t="inlineStr">
        <is>
          <t>Cash</t>
        </is>
      </c>
      <c r="I762" s="301" t="inlineStr">
        <is>
          <t>✅ Paid</t>
        </is>
      </c>
      <c r="J762" s="423" t="inlineStr">
        <is>
          <t>No receipt; cash</t>
        </is>
      </c>
    </row>
    <row r="763">
      <c r="B763" s="429" t="n">
        <v>46275</v>
      </c>
      <c r="C763" s="297" t="inlineStr">
        <is>
          <t>Chedraui</t>
        </is>
      </c>
      <c r="D763" s="298" t="inlineStr">
        <is>
          <t>Chedraui</t>
        </is>
      </c>
      <c r="E763" s="297" t="inlineStr">
        <is>
          <t>Supermarket/General</t>
        </is>
      </c>
      <c r="F763" s="299" t="n">
        <v>84</v>
      </c>
      <c r="G763" s="300" t="inlineStr">
        <is>
          <t>Restaurant</t>
        </is>
      </c>
      <c r="H763" s="300" t="inlineStr">
        <is>
          <t>Cash</t>
        </is>
      </c>
      <c r="I763" s="301" t="inlineStr">
        <is>
          <t>✅ Paid</t>
        </is>
      </c>
      <c r="J763" s="423" t="inlineStr">
        <is>
          <t>No receipt; cash</t>
        </is>
      </c>
    </row>
    <row r="764">
      <c r="B764" s="429" t="n">
        <v>46276</v>
      </c>
      <c r="C764" s="297" t="inlineStr">
        <is>
          <t>Agua Natural</t>
        </is>
      </c>
      <c r="D764" s="298" t="inlineStr">
        <is>
          <t>No bill</t>
        </is>
      </c>
      <c r="E764" s="297" t="inlineStr">
        <is>
          <t>Ingredients - Beverages</t>
        </is>
      </c>
      <c r="F764" s="299" t="n">
        <v>45</v>
      </c>
      <c r="G764" s="300" t="inlineStr">
        <is>
          <t>Restaurant</t>
        </is>
      </c>
      <c r="H764" s="300" t="inlineStr">
        <is>
          <t>Cash</t>
        </is>
      </c>
      <c r="I764" s="301" t="inlineStr">
        <is>
          <t>✅ Paid</t>
        </is>
      </c>
      <c r="J764" s="423" t="inlineStr">
        <is>
          <t>No receipt; cash</t>
        </is>
      </c>
    </row>
    <row r="765">
      <c r="B765" s="429" t="n">
        <v>46277</v>
      </c>
      <c r="C765" s="297" t="inlineStr">
        <is>
          <t>Carne</t>
        </is>
      </c>
      <c r="D765" s="298" t="inlineStr">
        <is>
          <t>No bill</t>
        </is>
      </c>
      <c r="E765" s="297" t="inlineStr">
        <is>
          <t>Ingredients - Meat</t>
        </is>
      </c>
      <c r="F765" s="299" t="n">
        <v>300</v>
      </c>
      <c r="G765" s="300" t="inlineStr">
        <is>
          <t>Restaurant</t>
        </is>
      </c>
      <c r="H765" s="300" t="inlineStr">
        <is>
          <t>Cash</t>
        </is>
      </c>
      <c r="I765" s="301" t="inlineStr">
        <is>
          <t>✅ Paid</t>
        </is>
      </c>
      <c r="J765" s="423" t="inlineStr">
        <is>
          <t>No receipt; cash</t>
        </is>
      </c>
    </row>
    <row r="766">
      <c r="B766" s="429" t="n">
        <v>46277</v>
      </c>
      <c r="C766" s="297" t="inlineStr">
        <is>
          <t>Vegetales</t>
        </is>
      </c>
      <c r="D766" s="298" t="inlineStr">
        <is>
          <t>No bill</t>
        </is>
      </c>
      <c r="E766" s="297" t="inlineStr">
        <is>
          <t>Ingredients - Vegetables</t>
        </is>
      </c>
      <c r="F766" s="299" t="n">
        <v>950</v>
      </c>
      <c r="G766" s="300" t="inlineStr">
        <is>
          <t>Restaurant</t>
        </is>
      </c>
      <c r="H766" s="300" t="inlineStr">
        <is>
          <t>Cash</t>
        </is>
      </c>
      <c r="I766" s="301" t="inlineStr">
        <is>
          <t>✅ Paid</t>
        </is>
      </c>
      <c r="J766" s="423" t="inlineStr">
        <is>
          <t>No receipt; cash</t>
        </is>
      </c>
    </row>
    <row r="767">
      <c r="B767" s="429" t="n">
        <v>46277</v>
      </c>
      <c r="C767" s="297" t="inlineStr">
        <is>
          <t>Chedraui</t>
        </is>
      </c>
      <c r="D767" s="298" t="inlineStr">
        <is>
          <t>Chedraui</t>
        </is>
      </c>
      <c r="E767" s="297" t="inlineStr">
        <is>
          <t>Supermarket/General</t>
        </is>
      </c>
      <c r="F767" s="299" t="n">
        <v>153</v>
      </c>
      <c r="G767" s="300" t="inlineStr">
        <is>
          <t>Restaurant</t>
        </is>
      </c>
      <c r="H767" s="300" t="inlineStr">
        <is>
          <t>Cash</t>
        </is>
      </c>
      <c r="I767" s="301" t="inlineStr">
        <is>
          <t>✅ Paid</t>
        </is>
      </c>
      <c r="J767" s="423" t="inlineStr">
        <is>
          <t>No receipt; cash</t>
        </is>
      </c>
    </row>
    <row r="768">
      <c r="B768" s="429" t="n">
        <v>46277</v>
      </c>
      <c r="C768" s="297" t="inlineStr">
        <is>
          <t>Duvi - salary</t>
        </is>
      </c>
      <c r="D768" s="298" t="inlineStr">
        <is>
          <t>Payroll</t>
        </is>
      </c>
      <c r="E768" s="297" t="inlineStr">
        <is>
          <t>Staff - Salary</t>
        </is>
      </c>
      <c r="F768" s="299" t="n">
        <v>1460</v>
      </c>
      <c r="G768" s="300" t="inlineStr">
        <is>
          <t>Restaurant</t>
        </is>
      </c>
      <c r="H768" s="300" t="inlineStr">
        <is>
          <t>Cash</t>
        </is>
      </c>
      <c r="I768" s="301" t="inlineStr">
        <is>
          <t>✅ Paid</t>
        </is>
      </c>
      <c r="J768" s="423" t="inlineStr">
        <is>
          <t>Weekly salary</t>
        </is>
      </c>
    </row>
    <row r="769">
      <c r="B769" s="429" t="n">
        <v>46277</v>
      </c>
      <c r="C769" s="297" t="inlineStr">
        <is>
          <t>Armando - salary</t>
        </is>
      </c>
      <c r="D769" s="298" t="inlineStr">
        <is>
          <t>Payroll</t>
        </is>
      </c>
      <c r="E769" s="297" t="inlineStr">
        <is>
          <t>Staff - Salary</t>
        </is>
      </c>
      <c r="F769" s="299" t="n">
        <v>2200</v>
      </c>
      <c r="G769" s="300" t="inlineStr">
        <is>
          <t>Restaurant</t>
        </is>
      </c>
      <c r="H769" s="300" t="inlineStr">
        <is>
          <t>Cash</t>
        </is>
      </c>
      <c r="I769" s="301" t="inlineStr">
        <is>
          <t>✅ Paid</t>
        </is>
      </c>
      <c r="J769" s="423" t="inlineStr">
        <is>
          <t>Weekly salary</t>
        </is>
      </c>
    </row>
    <row r="770">
      <c r="B770" s="429" t="n">
        <v>46277</v>
      </c>
      <c r="C770" s="297" t="inlineStr">
        <is>
          <t>Jhon - salary</t>
        </is>
      </c>
      <c r="D770" s="298" t="inlineStr">
        <is>
          <t>Payroll</t>
        </is>
      </c>
      <c r="E770" s="297" t="inlineStr">
        <is>
          <t>Staff - Salary</t>
        </is>
      </c>
      <c r="F770" s="299" t="n">
        <v>3750</v>
      </c>
      <c r="G770" s="300" t="inlineStr">
        <is>
          <t>Restaurant</t>
        </is>
      </c>
      <c r="H770" s="300" t="inlineStr">
        <is>
          <t>Cash</t>
        </is>
      </c>
      <c r="I770" s="301" t="inlineStr">
        <is>
          <t>✅ Paid</t>
        </is>
      </c>
      <c r="J770" s="423" t="inlineStr">
        <is>
          <t>Weekly salary</t>
        </is>
      </c>
    </row>
    <row r="771">
      <c r="B771" s="429" t="n">
        <v>46279</v>
      </c>
      <c r="C771" s="297" t="inlineStr">
        <is>
          <t>Queso Panela</t>
        </is>
      </c>
      <c r="D771" s="298" t="inlineStr">
        <is>
          <t>No bill</t>
        </is>
      </c>
      <c r="E771" s="297" t="inlineStr">
        <is>
          <t>Ingredients - Dairy</t>
        </is>
      </c>
      <c r="F771" s="299" t="n">
        <v>590</v>
      </c>
      <c r="G771" s="300" t="inlineStr">
        <is>
          <t>Restaurant</t>
        </is>
      </c>
      <c r="H771" s="300" t="inlineStr">
        <is>
          <t>Cash</t>
        </is>
      </c>
      <c r="I771" s="301" t="inlineStr">
        <is>
          <t>✅ Paid</t>
        </is>
      </c>
      <c r="J771" s="423" t="inlineStr">
        <is>
          <t>No receipt; cash</t>
        </is>
      </c>
    </row>
    <row r="772">
      <c r="B772" s="429" t="n">
        <v>46279</v>
      </c>
      <c r="C772" s="297" t="inlineStr">
        <is>
          <t>oxxo</t>
        </is>
      </c>
      <c r="D772" s="298" t="inlineStr">
        <is>
          <t>OXXO</t>
        </is>
      </c>
      <c r="E772" s="297" t="inlineStr">
        <is>
          <t>Ingredients - Pantry</t>
        </is>
      </c>
      <c r="F772" s="299" t="n">
        <v>70</v>
      </c>
      <c r="G772" s="300" t="inlineStr">
        <is>
          <t>Restaurant</t>
        </is>
      </c>
      <c r="H772" s="300" t="inlineStr">
        <is>
          <t>Cash</t>
        </is>
      </c>
      <c r="I772" s="301" t="inlineStr">
        <is>
          <t>✅ Paid</t>
        </is>
      </c>
      <c r="J772" s="423" t="inlineStr">
        <is>
          <t>No receipt; cash</t>
        </is>
      </c>
    </row>
    <row r="773">
      <c r="B773" s="429" t="n">
        <v>46282</v>
      </c>
      <c r="C773" s="297" t="inlineStr">
        <is>
          <t>Sams Club</t>
        </is>
      </c>
      <c r="D773" s="298" t="inlineStr">
        <is>
          <t>Sam's Club</t>
        </is>
      </c>
      <c r="E773" s="297" t="inlineStr">
        <is>
          <t>Supermarket/General</t>
        </is>
      </c>
      <c r="F773" s="299" t="n">
        <v>713</v>
      </c>
      <c r="G773" s="300" t="inlineStr">
        <is>
          <t>Restaurant</t>
        </is>
      </c>
      <c r="H773" s="300" t="inlineStr">
        <is>
          <t>Cash</t>
        </is>
      </c>
      <c r="I773" s="301" t="inlineStr">
        <is>
          <t>✅ Paid</t>
        </is>
      </c>
      <c r="J773" s="423" t="inlineStr">
        <is>
          <t>No receipt; cash</t>
        </is>
      </c>
    </row>
    <row r="774">
      <c r="B774" s="429" t="n">
        <v>46282</v>
      </c>
      <c r="C774" s="297" t="inlineStr">
        <is>
          <t>Pollo</t>
        </is>
      </c>
      <c r="D774" s="298" t="inlineStr">
        <is>
          <t>No bill</t>
        </is>
      </c>
      <c r="E774" s="297" t="inlineStr">
        <is>
          <t>Ingredients - Meat</t>
        </is>
      </c>
      <c r="F774" s="299" t="n">
        <v>977</v>
      </c>
      <c r="G774" s="300" t="inlineStr">
        <is>
          <t>Lohith</t>
        </is>
      </c>
      <c r="H774" s="300" t="inlineStr">
        <is>
          <t>Cash</t>
        </is>
      </c>
      <c r="I774" s="301" t="inlineStr">
        <is>
          <t>✅ Paid</t>
        </is>
      </c>
      <c r="J774" s="423" t="inlineStr">
        <is>
          <t>Pagado por Lohith (bolsillo); reembolsable via Owner Ledger</t>
        </is>
      </c>
    </row>
    <row r="775">
      <c r="B775" s="429" t="n">
        <v>46282</v>
      </c>
      <c r="C775" s="297" t="inlineStr">
        <is>
          <t>Marker Vidrio</t>
        </is>
      </c>
      <c r="D775" s="298" t="inlineStr">
        <is>
          <t>No bill</t>
        </is>
      </c>
      <c r="E775" s="297" t="inlineStr">
        <is>
          <t>Office Supplies</t>
        </is>
      </c>
      <c r="F775" s="299" t="n">
        <v>392</v>
      </c>
      <c r="G775" s="300" t="inlineStr">
        <is>
          <t>Restaurant</t>
        </is>
      </c>
      <c r="H775" s="300" t="inlineStr">
        <is>
          <t>Cash</t>
        </is>
      </c>
      <c r="I775" s="301" t="inlineStr">
        <is>
          <t>✅ Paid</t>
        </is>
      </c>
      <c r="J775" s="423" t="inlineStr">
        <is>
          <t>No receipt; cash</t>
        </is>
      </c>
    </row>
    <row r="776">
      <c r="B776" s="429" t="n">
        <v>46282</v>
      </c>
      <c r="C776" s="297" t="inlineStr">
        <is>
          <t>3B</t>
        </is>
      </c>
      <c r="D776" s="298" t="inlineStr">
        <is>
          <t>Tres B</t>
        </is>
      </c>
      <c r="E776" s="297" t="inlineStr">
        <is>
          <t>Supermarket/General</t>
        </is>
      </c>
      <c r="F776" s="299" t="n">
        <v>529</v>
      </c>
      <c r="G776" s="300" t="inlineStr">
        <is>
          <t>Restaurant</t>
        </is>
      </c>
      <c r="H776" s="300" t="inlineStr">
        <is>
          <t>Cash</t>
        </is>
      </c>
      <c r="I776" s="301" t="inlineStr">
        <is>
          <t>✅ Paid</t>
        </is>
      </c>
      <c r="J776" s="423" t="inlineStr">
        <is>
          <t>No receipt; cash</t>
        </is>
      </c>
    </row>
    <row r="777">
      <c r="B777" s="429" t="n">
        <v>46282</v>
      </c>
      <c r="C777" s="297" t="inlineStr">
        <is>
          <t>Pollo</t>
        </is>
      </c>
      <c r="D777" s="298" t="inlineStr">
        <is>
          <t>No bill</t>
        </is>
      </c>
      <c r="E777" s="297" t="inlineStr">
        <is>
          <t>Ingredients - Meat</t>
        </is>
      </c>
      <c r="F777" s="299" t="n">
        <v>183</v>
      </c>
      <c r="G777" s="300" t="inlineStr">
        <is>
          <t>Lohith</t>
        </is>
      </c>
      <c r="H777" s="300" t="inlineStr">
        <is>
          <t>Cash</t>
        </is>
      </c>
      <c r="I777" s="301" t="inlineStr">
        <is>
          <t>✅ Paid</t>
        </is>
      </c>
      <c r="J777" s="423" t="inlineStr">
        <is>
          <t>Pagado por Lohith (bolsillo); reembolsable via Owner Ledger</t>
        </is>
      </c>
    </row>
    <row r="778">
      <c r="B778" s="429" t="n">
        <v>46283</v>
      </c>
      <c r="C778" s="297" t="inlineStr">
        <is>
          <t>Vegetables</t>
        </is>
      </c>
      <c r="D778" s="298" t="inlineStr">
        <is>
          <t>No bill</t>
        </is>
      </c>
      <c r="E778" s="297" t="inlineStr">
        <is>
          <t>Ingredients - Vegetables</t>
        </is>
      </c>
      <c r="F778" s="299" t="n">
        <v>72</v>
      </c>
      <c r="G778" s="300" t="inlineStr">
        <is>
          <t>Restaurant</t>
        </is>
      </c>
      <c r="H778" s="300" t="inlineStr">
        <is>
          <t>Cash</t>
        </is>
      </c>
      <c r="I778" s="301" t="inlineStr">
        <is>
          <t>✅ Paid</t>
        </is>
      </c>
      <c r="J778" s="423" t="inlineStr">
        <is>
          <t>No receipt; cash</t>
        </is>
      </c>
    </row>
    <row r="779">
      <c r="B779" s="429" t="n">
        <v>46283</v>
      </c>
      <c r="C779" s="297" t="inlineStr">
        <is>
          <t>Carne</t>
        </is>
      </c>
      <c r="D779" s="298" t="inlineStr">
        <is>
          <t>No bill</t>
        </is>
      </c>
      <c r="E779" s="297" t="inlineStr">
        <is>
          <t>Ingredients - Meat</t>
        </is>
      </c>
      <c r="F779" s="299" t="n">
        <v>1109</v>
      </c>
      <c r="G779" s="300" t="inlineStr">
        <is>
          <t>Restaurant</t>
        </is>
      </c>
      <c r="H779" s="300" t="inlineStr">
        <is>
          <t>Cash</t>
        </is>
      </c>
      <c r="I779" s="301" t="inlineStr">
        <is>
          <t>✅ Paid</t>
        </is>
      </c>
      <c r="J779" s="423" t="inlineStr">
        <is>
          <t>No receipt; cash</t>
        </is>
      </c>
    </row>
    <row r="780">
      <c r="B780" s="429" t="n">
        <v>46283</v>
      </c>
      <c r="C780" s="297" t="inlineStr">
        <is>
          <t>Chedraui</t>
        </is>
      </c>
      <c r="D780" s="298" t="inlineStr">
        <is>
          <t>Chedraui</t>
        </is>
      </c>
      <c r="E780" s="297" t="inlineStr">
        <is>
          <t>Supermarket/General</t>
        </is>
      </c>
      <c r="F780" s="299" t="n">
        <v>449</v>
      </c>
      <c r="G780" s="300" t="inlineStr">
        <is>
          <t>Restaurant</t>
        </is>
      </c>
      <c r="H780" s="300" t="inlineStr">
        <is>
          <t>Cash</t>
        </is>
      </c>
      <c r="I780" s="301" t="inlineStr">
        <is>
          <t>✅ Paid</t>
        </is>
      </c>
      <c r="J780" s="423" t="inlineStr">
        <is>
          <t>No receipt; cash</t>
        </is>
      </c>
    </row>
    <row r="781">
      <c r="B781" s="429" t="n">
        <v>46283</v>
      </c>
      <c r="C781" s="297" t="inlineStr">
        <is>
          <t>Internet</t>
        </is>
      </c>
      <c r="D781" s="298" t="inlineStr">
        <is>
          <t>No bill</t>
        </is>
      </c>
      <c r="E781" s="297" t="inlineStr">
        <is>
          <t>Utilities/Internet</t>
        </is>
      </c>
      <c r="F781" s="299" t="n">
        <v>349</v>
      </c>
      <c r="G781" s="300" t="inlineStr">
        <is>
          <t>Lohith</t>
        </is>
      </c>
      <c r="H781" s="300" t="inlineStr">
        <is>
          <t>Cash</t>
        </is>
      </c>
      <c r="I781" s="301" t="inlineStr">
        <is>
          <t>✅ Paid</t>
        </is>
      </c>
      <c r="J781" s="423" t="inlineStr">
        <is>
          <t>Pagado por Lohith (bolsillo); reembolsable via Owner Ledger</t>
        </is>
      </c>
    </row>
    <row r="782">
      <c r="B782" s="429" t="n">
        <v>46269</v>
      </c>
      <c r="C782" s="297" t="inlineStr">
        <is>
          <t>Guimar desechables</t>
        </is>
      </c>
      <c r="D782" s="298" t="inlineStr">
        <is>
          <t>Guimar Polietilenos</t>
        </is>
      </c>
      <c r="E782" s="297" t="inlineStr">
        <is>
          <t>Packaging/Disposables</t>
        </is>
      </c>
      <c r="F782" s="299" t="n">
        <v>226</v>
      </c>
      <c r="G782" s="300" t="inlineStr">
        <is>
          <t>Restaurant</t>
        </is>
      </c>
      <c r="H782" s="300" t="inlineStr">
        <is>
          <t>Cash</t>
        </is>
      </c>
      <c r="I782" s="301" t="inlineStr">
        <is>
          <t>✅ Paid</t>
        </is>
      </c>
      <c r="J782" s="423" t="inlineStr">
        <is>
          <t>No receipt; cash. Typed as 'Guimar 2333w' on 04-Sep and dropped by eod.py; confirmed $226 by Reddy 18-Sep</t>
        </is>
      </c>
    </row>
    <row r="783">
      <c r="B783" s="429" t="n">
        <v>46284</v>
      </c>
      <c r="C783" s="297" t="inlineStr">
        <is>
          <t>Jhon - salary</t>
        </is>
      </c>
      <c r="D783" s="298" t="inlineStr">
        <is>
          <t>Payroll</t>
        </is>
      </c>
      <c r="E783" s="297" t="inlineStr">
        <is>
          <t>Staff - Salary</t>
        </is>
      </c>
      <c r="F783" s="299" t="n">
        <v>3750</v>
      </c>
      <c r="G783" s="300" t="inlineStr">
        <is>
          <t>Restaurant</t>
        </is>
      </c>
      <c r="H783" s="300" t="inlineStr">
        <is>
          <t>Cash</t>
        </is>
      </c>
      <c r="I783" s="301" t="inlineStr">
        <is>
          <t>✅ Paid</t>
        </is>
      </c>
      <c r="J783" s="423" t="inlineStr">
        <is>
          <t>Weekly salary</t>
        </is>
      </c>
    </row>
    <row r="784">
      <c r="B784" s="429" t="n">
        <v>46284</v>
      </c>
      <c r="C784" s="297" t="inlineStr">
        <is>
          <t>Duvi - salary</t>
        </is>
      </c>
      <c r="D784" s="298" t="inlineStr">
        <is>
          <t>Payroll</t>
        </is>
      </c>
      <c r="E784" s="297" t="inlineStr">
        <is>
          <t>Staff - Salary</t>
        </is>
      </c>
      <c r="F784" s="299" t="n">
        <v>876</v>
      </c>
      <c r="G784" s="300" t="inlineStr">
        <is>
          <t>Restaurant</t>
        </is>
      </c>
      <c r="H784" s="300" t="inlineStr">
        <is>
          <t>Cash</t>
        </is>
      </c>
      <c r="I784" s="301" t="inlineStr">
        <is>
          <t>✅ Paid</t>
        </is>
      </c>
      <c r="J784" s="423" t="inlineStr">
        <is>
          <t>Weekly salary</t>
        </is>
      </c>
    </row>
    <row r="785">
      <c r="B785" s="429" t="n">
        <v>46286</v>
      </c>
      <c r="C785" s="297" t="inlineStr">
        <is>
          <t>Vegetables</t>
        </is>
      </c>
      <c r="D785" s="298" t="inlineStr">
        <is>
          <t>No bill</t>
        </is>
      </c>
      <c r="E785" s="297" t="inlineStr">
        <is>
          <t>Ingredients - Vegetables</t>
        </is>
      </c>
      <c r="F785" s="299" t="n">
        <v>1833</v>
      </c>
      <c r="G785" s="300" t="inlineStr">
        <is>
          <t>Restaurant</t>
        </is>
      </c>
      <c r="H785" s="300" t="inlineStr">
        <is>
          <t>Cash</t>
        </is>
      </c>
      <c r="I785" s="301" t="inlineStr">
        <is>
          <t>✅ Paid</t>
        </is>
      </c>
      <c r="J785" s="423" t="inlineStr">
        <is>
          <t>No receipt; cash</t>
        </is>
      </c>
    </row>
    <row r="786">
      <c r="B786" s="429" t="n">
        <v>46286</v>
      </c>
      <c r="C786" s="297" t="inlineStr">
        <is>
          <t>Jamon</t>
        </is>
      </c>
      <c r="D786" s="298" t="inlineStr">
        <is>
          <t>No bill</t>
        </is>
      </c>
      <c r="E786" s="297" t="inlineStr">
        <is>
          <t>Ingredients - Meat</t>
        </is>
      </c>
      <c r="F786" s="299" t="n">
        <v>267</v>
      </c>
      <c r="G786" s="300" t="inlineStr">
        <is>
          <t>Restaurant</t>
        </is>
      </c>
      <c r="H786" s="300" t="inlineStr">
        <is>
          <t>Cash</t>
        </is>
      </c>
      <c r="I786" s="301" t="inlineStr">
        <is>
          <t>✅ Paid</t>
        </is>
      </c>
      <c r="J786" s="423" t="inlineStr">
        <is>
          <t>No receipt; cash</t>
        </is>
      </c>
    </row>
    <row r="787">
      <c r="B787" s="429" t="n">
        <v>46286</v>
      </c>
      <c r="C787" s="297" t="inlineStr">
        <is>
          <t>Carne</t>
        </is>
      </c>
      <c r="D787" s="298" t="inlineStr">
        <is>
          <t>No bill</t>
        </is>
      </c>
      <c r="E787" s="297" t="inlineStr">
        <is>
          <t>Ingredients - Meat</t>
        </is>
      </c>
      <c r="F787" s="299" t="n">
        <v>812</v>
      </c>
      <c r="G787" s="300" t="inlineStr">
        <is>
          <t>Restaurant</t>
        </is>
      </c>
      <c r="H787" s="300" t="inlineStr">
        <is>
          <t>Cash</t>
        </is>
      </c>
      <c r="I787" s="301" t="inlineStr">
        <is>
          <t>✅ Paid</t>
        </is>
      </c>
      <c r="J787" s="423" t="inlineStr">
        <is>
          <t>No receipt; cash</t>
        </is>
      </c>
    </row>
    <row r="788">
      <c r="B788" s="429" t="n">
        <v>46286</v>
      </c>
      <c r="C788" s="297" t="inlineStr">
        <is>
          <t>Queso</t>
        </is>
      </c>
      <c r="D788" s="298" t="inlineStr">
        <is>
          <t>No bill</t>
        </is>
      </c>
      <c r="E788" s="297" t="inlineStr">
        <is>
          <t>Ingredients - Dairy</t>
        </is>
      </c>
      <c r="F788" s="299" t="n">
        <v>567</v>
      </c>
      <c r="G788" s="300" t="inlineStr">
        <is>
          <t>Restaurant</t>
        </is>
      </c>
      <c r="H788" s="300" t="inlineStr">
        <is>
          <t>Cash</t>
        </is>
      </c>
      <c r="I788" s="301" t="inlineStr">
        <is>
          <t>✅ Paid</t>
        </is>
      </c>
      <c r="J788" s="423" t="inlineStr">
        <is>
          <t>No receipt; cash</t>
        </is>
      </c>
    </row>
    <row r="789">
      <c r="B789" s="429" t="n">
        <v>46286</v>
      </c>
      <c r="C789" s="297" t="inlineStr">
        <is>
          <t>Pollo</t>
        </is>
      </c>
      <c r="D789" s="298" t="inlineStr">
        <is>
          <t>No bill</t>
        </is>
      </c>
      <c r="E789" s="297" t="inlineStr">
        <is>
          <t>Ingredients - Meat</t>
        </is>
      </c>
      <c r="F789" s="299" t="n">
        <v>404</v>
      </c>
      <c r="G789" s="300" t="inlineStr">
        <is>
          <t>Lohith</t>
        </is>
      </c>
      <c r="H789" s="300" t="inlineStr">
        <is>
          <t>Cash</t>
        </is>
      </c>
      <c r="I789" s="301" t="inlineStr">
        <is>
          <t>✅ Paid</t>
        </is>
      </c>
      <c r="J789" s="423" t="inlineStr">
        <is>
          <t>Pagado por Lohith (bolsillo); reembolsable via Owner Ledger</t>
        </is>
      </c>
    </row>
    <row r="790">
      <c r="B790" s="429" t="n">
        <v>46287</v>
      </c>
      <c r="C790" s="297" t="inlineStr">
        <is>
          <t>Chedraui</t>
        </is>
      </c>
      <c r="D790" s="298" t="inlineStr">
        <is>
          <t>Chedraui</t>
        </is>
      </c>
      <c r="E790" s="297" t="inlineStr">
        <is>
          <t>Supermarket/General</t>
        </is>
      </c>
      <c r="F790" s="299" t="n">
        <v>258</v>
      </c>
      <c r="G790" s="300" t="inlineStr">
        <is>
          <t>Restaurant</t>
        </is>
      </c>
      <c r="H790" s="300" t="inlineStr">
        <is>
          <t>Cash</t>
        </is>
      </c>
      <c r="I790" s="301" t="inlineStr">
        <is>
          <t>✅ Paid</t>
        </is>
      </c>
      <c r="J790" s="423" t="inlineStr">
        <is>
          <t>No receipt; cash</t>
        </is>
      </c>
    </row>
    <row r="791">
      <c r="B791" s="429" t="n">
        <v>46287</v>
      </c>
      <c r="C791" s="297" t="inlineStr">
        <is>
          <t>Hielo</t>
        </is>
      </c>
      <c r="D791" s="298" t="inlineStr">
        <is>
          <t>No bill</t>
        </is>
      </c>
      <c r="E791" s="297" t="inlineStr">
        <is>
          <t>Kitchen Supplies</t>
        </is>
      </c>
      <c r="F791" s="299" t="n">
        <v>200</v>
      </c>
      <c r="G791" s="300" t="inlineStr">
        <is>
          <t>Restaurant</t>
        </is>
      </c>
      <c r="H791" s="300" t="inlineStr">
        <is>
          <t>Cash</t>
        </is>
      </c>
      <c r="I791" s="301" t="inlineStr">
        <is>
          <t>✅ Paid</t>
        </is>
      </c>
      <c r="J791" s="423" t="inlineStr">
        <is>
          <t>No receipt; cash</t>
        </is>
      </c>
    </row>
    <row r="792">
      <c r="B792" s="429" t="n">
        <v>46287</v>
      </c>
      <c r="C792" s="297" t="inlineStr">
        <is>
          <t>Agua Natural</t>
        </is>
      </c>
      <c r="D792" s="298" t="inlineStr">
        <is>
          <t>No bill</t>
        </is>
      </c>
      <c r="E792" s="297" t="inlineStr">
        <is>
          <t>Ingredients - Beverages</t>
        </is>
      </c>
      <c r="F792" s="299" t="n">
        <v>80</v>
      </c>
      <c r="G792" s="300" t="inlineStr">
        <is>
          <t>Restaurant</t>
        </is>
      </c>
      <c r="H792" s="300" t="inlineStr">
        <is>
          <t>Cash</t>
        </is>
      </c>
      <c r="I792" s="301" t="inlineStr">
        <is>
          <t>✅ Paid</t>
        </is>
      </c>
      <c r="J792" s="423" t="inlineStr">
        <is>
          <t>No receipt; cash</t>
        </is>
      </c>
    </row>
    <row r="793">
      <c r="B793" s="429" t="n">
        <v>46287</v>
      </c>
      <c r="C793" s="297" t="inlineStr">
        <is>
          <t>Impuestos junio, julio y agosto 2026</t>
        </is>
      </c>
      <c r="D793" s="298" t="inlineStr">
        <is>
          <t>SAT</t>
        </is>
      </c>
      <c r="E793" s="297" t="inlineStr">
        <is>
          <t>Taxes</t>
        </is>
      </c>
      <c r="F793" s="299" t="n">
        <v>14842</v>
      </c>
      <c r="G793" s="300" t="inlineStr">
        <is>
          <t>Capital</t>
        </is>
      </c>
      <c r="H793" s="300" t="inlineStr">
        <is>
          <t>Transfer</t>
        </is>
      </c>
      <c r="I793" s="301" t="inlineStr">
        <is>
          <t>✅ Paid</t>
        </is>
      </c>
      <c r="J793" s="423" t="inlineStr">
        <is>
          <t>Impuestos Jun-Ago 2026 pagados con capital - reserva cuenta empresa</t>
        </is>
      </c>
    </row>
    <row r="794">
      <c r="B794" s="429" t="n">
        <v>46287</v>
      </c>
      <c r="C794" s="297" t="inlineStr">
        <is>
          <t>Honorarios Julio Contador</t>
        </is>
      </c>
      <c r="D794" s="298" t="inlineStr">
        <is>
          <t>Julio Contador</t>
        </is>
      </c>
      <c r="E794" s="297" t="inlineStr">
        <is>
          <t>Professional Services</t>
        </is>
      </c>
      <c r="F794" s="299" t="n">
        <v>3600</v>
      </c>
      <c r="G794" s="300" t="inlineStr">
        <is>
          <t>Capital</t>
        </is>
      </c>
      <c r="H794" s="300" t="inlineStr">
        <is>
          <t>Transfer</t>
        </is>
      </c>
      <c r="I794" s="301" t="inlineStr">
        <is>
          <t>✅ Paid</t>
        </is>
      </c>
      <c r="J794" s="423" t="inlineStr">
        <is>
          <t>Honorarios contables pagados con capital - reserva cuenta empresa</t>
        </is>
      </c>
    </row>
    <row r="795">
      <c r="B795" s="429" t="n">
        <v>46288</v>
      </c>
      <c r="C795" s="297" t="inlineStr">
        <is>
          <t>Avia</t>
        </is>
      </c>
      <c r="D795" s="298" t="inlineStr">
        <is>
          <t>No bill</t>
        </is>
      </c>
      <c r="E795" s="297" t="inlineStr">
        <is>
          <t>Ingredients - Beverages</t>
        </is>
      </c>
      <c r="F795" s="299" t="n">
        <v>600</v>
      </c>
      <c r="G795" s="300" t="inlineStr">
        <is>
          <t>Restaurant</t>
        </is>
      </c>
      <c r="H795" s="300" t="inlineStr">
        <is>
          <t>Cash</t>
        </is>
      </c>
      <c r="I795" s="301" t="inlineStr">
        <is>
          <t>✅ Paid</t>
        </is>
      </c>
      <c r="J795" s="423" t="inlineStr">
        <is>
          <t>No receipt; cash</t>
        </is>
      </c>
    </row>
    <row r="796">
      <c r="B796" s="429" t="n">
        <v>46288</v>
      </c>
      <c r="C796" s="297" t="inlineStr">
        <is>
          <t>Boneless</t>
        </is>
      </c>
      <c r="D796" s="298" t="inlineStr">
        <is>
          <t>No bill</t>
        </is>
      </c>
      <c r="E796" s="297" t="inlineStr">
        <is>
          <t>Ingredients - Meat</t>
        </is>
      </c>
      <c r="F796" s="299" t="n">
        <v>1200</v>
      </c>
      <c r="G796" s="300" t="inlineStr">
        <is>
          <t>Restaurant</t>
        </is>
      </c>
      <c r="H796" s="300" t="inlineStr">
        <is>
          <t>Cash</t>
        </is>
      </c>
      <c r="I796" s="301" t="inlineStr">
        <is>
          <t>✅ Paid</t>
        </is>
      </c>
      <c r="J796" s="423" t="inlineStr">
        <is>
          <t>No receipt; cash</t>
        </is>
      </c>
    </row>
    <row r="797">
      <c r="B797" s="429" t="n">
        <v>46288</v>
      </c>
      <c r="C797" s="297" t="inlineStr">
        <is>
          <t>Carne</t>
        </is>
      </c>
      <c r="D797" s="298" t="inlineStr">
        <is>
          <t>No bill</t>
        </is>
      </c>
      <c r="E797" s="297" t="inlineStr">
        <is>
          <t>Ingredients - Meat</t>
        </is>
      </c>
      <c r="F797" s="299" t="n">
        <v>644</v>
      </c>
      <c r="G797" s="300" t="inlineStr">
        <is>
          <t>Restaurant</t>
        </is>
      </c>
      <c r="H797" s="300" t="inlineStr">
        <is>
          <t>Cash</t>
        </is>
      </c>
      <c r="I797" s="301" t="inlineStr">
        <is>
          <t>✅ Paid</t>
        </is>
      </c>
      <c r="J797" s="423" t="inlineStr">
        <is>
          <t>No receipt; cash</t>
        </is>
      </c>
    </row>
    <row r="798">
      <c r="B798" s="429" t="n">
        <v>46288</v>
      </c>
      <c r="C798" s="297" t="inlineStr">
        <is>
          <t>Guimar</t>
        </is>
      </c>
      <c r="D798" s="298" t="inlineStr">
        <is>
          <t>Guimar Polietilenos</t>
        </is>
      </c>
      <c r="E798" s="297" t="inlineStr">
        <is>
          <t>Packaging/Disposables</t>
        </is>
      </c>
      <c r="F798" s="299" t="n">
        <v>216</v>
      </c>
      <c r="G798" s="300" t="inlineStr">
        <is>
          <t>Restaurant</t>
        </is>
      </c>
      <c r="H798" s="300" t="inlineStr">
        <is>
          <t>Cash</t>
        </is>
      </c>
      <c r="I798" s="301" t="inlineStr">
        <is>
          <t>✅ Paid</t>
        </is>
      </c>
      <c r="J798" s="423" t="inlineStr">
        <is>
          <t>No receipt; cash</t>
        </is>
      </c>
    </row>
    <row r="799">
      <c r="B799" s="429" t="n">
        <v>46288</v>
      </c>
      <c r="C799" s="297" t="inlineStr">
        <is>
          <t>Oxxo Arroz</t>
        </is>
      </c>
      <c r="D799" s="298" t="inlineStr">
        <is>
          <t>OXXO</t>
        </is>
      </c>
      <c r="E799" s="297" t="inlineStr">
        <is>
          <t>Ingredients - Pantry</t>
        </is>
      </c>
      <c r="F799" s="299" t="n">
        <v>130</v>
      </c>
      <c r="G799" s="300" t="inlineStr">
        <is>
          <t>Restaurant</t>
        </is>
      </c>
      <c r="H799" s="300" t="inlineStr">
        <is>
          <t>Cash</t>
        </is>
      </c>
      <c r="I799" s="301" t="inlineStr">
        <is>
          <t>✅ Paid</t>
        </is>
      </c>
      <c r="J799" s="423" t="inlineStr">
        <is>
          <t>No receipt; cash</t>
        </is>
      </c>
    </row>
    <row r="800">
      <c r="B800" s="429" t="n">
        <v>46288</v>
      </c>
      <c r="C800" s="297" t="inlineStr">
        <is>
          <t>Pan Real</t>
        </is>
      </c>
      <c r="D800" s="298" t="inlineStr">
        <is>
          <t>No bill</t>
        </is>
      </c>
      <c r="E800" s="297" t="inlineStr">
        <is>
          <t>Ingredients - Bread</t>
        </is>
      </c>
      <c r="F800" s="299" t="n">
        <v>1706</v>
      </c>
      <c r="G800" s="300" t="inlineStr">
        <is>
          <t>Restaurant</t>
        </is>
      </c>
      <c r="H800" s="300" t="inlineStr">
        <is>
          <t>Cash</t>
        </is>
      </c>
      <c r="I800" s="301" t="inlineStr">
        <is>
          <t>✅ Paid</t>
        </is>
      </c>
      <c r="J800" s="423" t="inlineStr">
        <is>
          <t>No receipt; cash</t>
        </is>
      </c>
    </row>
    <row r="801">
      <c r="B801" s="429" t="n">
        <v>46288</v>
      </c>
      <c r="C801" s="297" t="inlineStr">
        <is>
          <t>Pollo</t>
        </is>
      </c>
      <c r="D801" s="298" t="inlineStr">
        <is>
          <t>No bill</t>
        </is>
      </c>
      <c r="E801" s="297" t="inlineStr">
        <is>
          <t>Ingredients - Meat</t>
        </is>
      </c>
      <c r="F801" s="299" t="n">
        <v>879</v>
      </c>
      <c r="G801" s="300" t="inlineStr">
        <is>
          <t>Lohith</t>
        </is>
      </c>
      <c r="H801" s="300" t="inlineStr">
        <is>
          <t>Cash</t>
        </is>
      </c>
      <c r="I801" s="301" t="inlineStr">
        <is>
          <t>✅ Paid</t>
        </is>
      </c>
      <c r="J801" s="423" t="inlineStr">
        <is>
          <t>Pagado por Lohith (bolsillo); reembolsable via Owner Ledger</t>
        </is>
      </c>
    </row>
    <row r="802">
      <c r="B802" s="429" t="n">
        <v>46289</v>
      </c>
      <c r="C802" s="297" t="inlineStr">
        <is>
          <t>Sams Club</t>
        </is>
      </c>
      <c r="D802" s="298" t="inlineStr">
        <is>
          <t>Sam's Club</t>
        </is>
      </c>
      <c r="E802" s="297" t="inlineStr">
        <is>
          <t>Supermarket/General</t>
        </is>
      </c>
      <c r="F802" s="299" t="n">
        <v>2465</v>
      </c>
      <c r="G802" s="300" t="inlineStr">
        <is>
          <t>Restaurant</t>
        </is>
      </c>
      <c r="H802" s="300" t="inlineStr">
        <is>
          <t>Cash</t>
        </is>
      </c>
      <c r="I802" s="301" t="inlineStr">
        <is>
          <t>✅ Paid</t>
        </is>
      </c>
      <c r="J802" s="423" t="inlineStr">
        <is>
          <t>No receipt; cash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tabSelected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31" min="1" max="1"/>
    <col width="26" customWidth="1" style="331" min="2" max="2"/>
    <col width="16" customWidth="1" style="331" min="3" max="3"/>
    <col width="10" customWidth="1" style="331" min="4" max="4"/>
    <col width="14" customWidth="1" style="331" min="5" max="5"/>
    <col width="12" customWidth="1" style="331" min="6" max="7"/>
    <col width="14" customWidth="1" style="331" min="8" max="8"/>
    <col width="16" customWidth="1" style="331" min="9" max="9"/>
    <col width="20" customWidth="1" style="331" min="10" max="10"/>
    <col width="18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📦  LOKA — INVENTORY</t>
        </is>
      </c>
      <c r="F2" s="418" t="inlineStr">
        <is>
          <t>Update stock levels when you receive deliveries or do stock checks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31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31"/>
    <row r="8" ht="19.5" customHeight="1" s="331">
      <c r="B8" s="406" t="inlineStr">
        <is>
          <t>Item Name  |  Category  |  Unit  |  Min Stock  |  Current Stock  |  Last Ordered  |  Supplier  |  Status  |  Notes</t>
        </is>
      </c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31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31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31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31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31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31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31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31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31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31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31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31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31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31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31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31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31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31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31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31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31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31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31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31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31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31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31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31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31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31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31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31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31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31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31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31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31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31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31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31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31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31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31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31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31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31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31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31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31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31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31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31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31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31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31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31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31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31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31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31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31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31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31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31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31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31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31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31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31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31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31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31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31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31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31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31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31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31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31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31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31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31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31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31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31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31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31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31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31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31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31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31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31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31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31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31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31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31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31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31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31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31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31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31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31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31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31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31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31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31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31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31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31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31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31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31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31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31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31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31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31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31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31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31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31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31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31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31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31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31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31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31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31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31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31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31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31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31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31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31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31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31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31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31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31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31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31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31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31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31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31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31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31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31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31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31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31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31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31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31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31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31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31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31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31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31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31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31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31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31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31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31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31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31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31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31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31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31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31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31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31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31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31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31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31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31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31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31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31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31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31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31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31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31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31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31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31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31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31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31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31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31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31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31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31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31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31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31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31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31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31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31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31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31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31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31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31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29"/>
  <sheetViews>
    <sheetView showGridLines="0" tabSelected="0" topLeftCell="A72" zoomScaleNormal="100" workbookViewId="0">
      <selection activeCell="A84" sqref="A84:D86"/>
    </sheetView>
  </sheetViews>
  <sheetFormatPr baseColWidth="8" defaultColWidth="8.6640625" defaultRowHeight="14.4" customHeight="1"/>
  <cols>
    <col width="18.33203125" customWidth="1" style="331" min="1" max="1"/>
    <col width="32.5546875" customWidth="1" style="331" min="2" max="2"/>
    <col width="19.44140625" bestFit="1" customWidth="1" style="331" min="3" max="3"/>
    <col width="15.21875" customWidth="1" style="331" min="4" max="4"/>
    <col width="13.88671875" customWidth="1" style="331" min="5" max="6"/>
    <col width="12.33203125" customWidth="1" style="331" min="7" max="7"/>
    <col width="12.88671875" customWidth="1" style="331" min="8" max="8"/>
    <col width="7.33203125" bestFit="1" customWidth="1" style="331" min="9" max="9"/>
    <col width="7.21875" bestFit="1" customWidth="1" style="331" min="10" max="10"/>
    <col width="11" bestFit="1" customWidth="1" style="331" min="11" max="11"/>
    <col width="10.77734375" bestFit="1" customWidth="1" style="331" min="12" max="12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31">
      <c r="A2" s="424" t="inlineStr">
        <is>
          <t>👥  LOKA — STAFF &amp; PAYROLL</t>
        </is>
      </c>
      <c r="D2" s="425" t="inlineStr">
        <is>
          <t>Weekly schedule + auto payroll calculation</t>
        </is>
      </c>
    </row>
    <row r="3" ht="3.75" customHeight="1" s="331"/>
    <row r="4" ht="7.5" customHeight="1" s="331"/>
    <row r="5" ht="7.5" customHeight="1" s="331" thickBot="1"/>
    <row r="6" ht="21.75" customHeight="1" s="331" thickBot="1">
      <c r="A6" s="360" t="inlineStr">
        <is>
          <t xml:space="preserve">  STAFF SCHEDULE  —  Week of:</t>
        </is>
      </c>
      <c r="B6" s="329" t="n"/>
      <c r="C6" s="329" t="n"/>
      <c r="D6" s="192">
        <f>TODAY()-WEEKDAY(TODAY(),2)+1</f>
        <v/>
      </c>
      <c r="E6" s="346" t="n"/>
      <c r="F6" s="346" t="n"/>
      <c r="G6" s="346" t="n"/>
      <c r="H6" s="346" t="n"/>
      <c r="I6" s="346" t="n"/>
      <c r="J6" s="346" t="n"/>
      <c r="K6" s="346" t="n"/>
      <c r="L6" s="346" t="n"/>
    </row>
    <row r="7" ht="27.75" customHeight="1" s="331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31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31" thickBot="1">
      <c r="A9" s="97" t="inlineStr">
        <is>
          <t>Debi</t>
        </is>
      </c>
      <c r="B9" s="103" t="inlineStr">
        <is>
          <t>Cleaner</t>
        </is>
      </c>
      <c r="C9" s="104" t="n">
        <v>243.3333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31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31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31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31" thickBot="1">
      <c r="A13" s="97" t="inlineStr">
        <is>
          <t>Samu (INACTIVE)</t>
        </is>
      </c>
      <c r="B13" s="98" t="inlineStr">
        <is>
          <t>Ayudante / Support — left Aug 2026 · final week paid 14 Aug ($1,200)</t>
        </is>
      </c>
      <c r="C13" s="99" t="n">
        <v>0</v>
      </c>
      <c r="D13" s="100" t="inlineStr">
        <is>
          <t>—</t>
        </is>
      </c>
      <c r="E13" s="100" t="inlineStr">
        <is>
          <t>—</t>
        </is>
      </c>
      <c r="F13" s="100" t="inlineStr">
        <is>
          <t>—</t>
        </is>
      </c>
      <c r="G13" s="100" t="inlineStr">
        <is>
          <t>—</t>
        </is>
      </c>
      <c r="H13" s="100" t="inlineStr">
        <is>
          <t>—</t>
        </is>
      </c>
      <c r="I13" s="100" t="inlineStr">
        <is>
          <t>—</t>
        </is>
      </c>
      <c r="J13" s="100" t="inlineStr">
        <is>
          <t>—</t>
        </is>
      </c>
      <c r="K13" s="101" t="n">
        <v>0</v>
      </c>
      <c r="L13" s="102" t="n">
        <v>0</v>
      </c>
    </row>
    <row r="14" ht="19.5" customHeight="1" s="331" thickBot="1">
      <c r="A14" s="97" t="inlineStr">
        <is>
          <t>Armando</t>
        </is>
      </c>
      <c r="B14" s="445" t="inlineStr">
        <is>
          <t>Ayudante / Support</t>
        </is>
      </c>
      <c r="C14" s="446" t="n">
        <v>440</v>
      </c>
      <c r="D14" s="447" t="inlineStr">
        <is>
          <t>Full Day</t>
        </is>
      </c>
      <c r="E14" s="447" t="inlineStr">
        <is>
          <t>Full Day</t>
        </is>
      </c>
      <c r="F14" s="447" t="inlineStr">
        <is>
          <t>Full Day</t>
        </is>
      </c>
      <c r="G14" s="447" t="inlineStr">
        <is>
          <t>Full Day</t>
        </is>
      </c>
      <c r="H14" s="447" t="inlineStr">
        <is>
          <t>Full Day</t>
        </is>
      </c>
      <c r="I14" s="447" t="inlineStr">
        <is>
          <t>Day Off</t>
        </is>
      </c>
      <c r="J14" s="447" t="inlineStr">
        <is>
          <t>Day Off</t>
        </is>
      </c>
      <c r="K14" s="448">
        <f>COUNTIF(D14:J14,"Full Day")</f>
        <v/>
      </c>
      <c r="L14" s="449">
        <f>K14*C14</f>
        <v/>
      </c>
    </row>
    <row r="15" ht="19.5" customHeight="1" s="331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31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31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31"/>
    <row r="19" ht="19.5" customHeight="1" s="331" thickBot="1"/>
    <row r="20" ht="27.75" customHeight="1" s="331" thickBot="1">
      <c r="A20" s="360" t="inlineStr">
        <is>
          <t xml:space="preserve">  MONTHLY PAYROLL PROJECTION</t>
        </is>
      </c>
      <c r="B20" s="329" t="n"/>
      <c r="C20" s="329" t="n"/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329" t="n"/>
    </row>
    <row r="21" ht="18" customHeight="1" s="331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31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31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31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31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31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31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31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31">
      <c r="A29" s="115">
        <f>A15</f>
        <v/>
      </c>
      <c r="B29" s="346" t="n"/>
      <c r="C29" s="346" t="n"/>
      <c r="D29" s="346" t="n"/>
      <c r="E29" s="194">
        <f>C29*D29</f>
        <v/>
      </c>
      <c r="F29" s="342" t="n"/>
      <c r="G29" s="120">
        <f>E29*(1+F29)</f>
        <v/>
      </c>
      <c r="H29" s="96" t="n"/>
    </row>
    <row r="30" ht="17.4" customHeight="1" s="331">
      <c r="A30" s="408" t="inlineStr">
        <is>
          <t>TOTAL MONTHLY PAYROLL COST</t>
        </is>
      </c>
      <c r="B30" s="346" t="n"/>
      <c r="C30" s="346" t="n"/>
      <c r="D30" s="346" t="n"/>
      <c r="E30" s="346" t="n"/>
      <c r="F30" s="342" t="n"/>
      <c r="G30" s="108">
        <f>SUM(G21:G28)</f>
        <v/>
      </c>
    </row>
    <row r="33" ht="15.6" customHeight="1" s="331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1460</v>
      </c>
      <c r="C36" s="201" t="n">
        <v>5840</v>
      </c>
      <c r="D36" s="199" t="inlineStr">
        <is>
          <t>Confirmed 18-Sep-2026 ($1,460/wk)</t>
        </is>
      </c>
    </row>
    <row r="37">
      <c r="A37" t="inlineStr">
        <is>
          <t>Armando — Ayudante Salary</t>
        </is>
      </c>
      <c r="B37" s="199" t="n">
        <v>2200</v>
      </c>
      <c r="C37" s="220" t="n">
        <v>8800</v>
      </c>
      <c r="D37" s="221" t="inlineStr">
        <is>
          <t>Confirmed 18-Sep-2026 ($2,200/wk, Mon-Fri, $440/day)</t>
        </is>
      </c>
      <c r="E37" s="222" t="n"/>
    </row>
    <row r="38">
      <c r="A38" t="inlineStr">
        <is>
          <t>Samu — Ayudante Salary (INACTIVE)</t>
        </is>
      </c>
      <c r="B38" s="193" t="n">
        <v>0</v>
      </c>
      <c r="C38" s="223" t="n">
        <v>0</v>
      </c>
      <c r="D38" s="224" t="inlineStr">
        <is>
          <t>Left Aug 2026 — final week paid 14 Aug · removed from forward fixed costs</t>
        </is>
      </c>
      <c r="E38" s="225" t="n"/>
    </row>
    <row r="39">
      <c r="A39" s="193" t="inlineStr">
        <is>
          <t>Rent (contractual $19,066.68/mo from Sep)</t>
        </is>
      </c>
      <c r="B39" s="197" t="n">
        <v>4766.67</v>
      </c>
      <c r="C39" s="198" t="n">
        <v>19066.68</v>
      </c>
      <c r="D39" s="193" t="inlineStr">
        <is>
          <t>Cash basis; weekly = monthly / 4</t>
        </is>
      </c>
    </row>
    <row r="40">
      <c r="A40" s="199" t="inlineStr">
        <is>
          <t>Utilities - CFE + gas + internet + Soft app</t>
        </is>
      </c>
      <c r="B40" s="200" t="n">
        <v>1763.25</v>
      </c>
      <c r="C40" s="201" t="n">
        <v>7053</v>
      </c>
      <c r="D40" s="199" t="inlineStr">
        <is>
          <t>CFE $8,789 bimonthly (~$4,395/mo) + gas $1,500 + internet $349 + Soft $810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STAFF STATUS — ✅ JOHN + DEBI + ARMANDO ACTIVE (Samu left Aug 2026)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31">
      <c r="A45" s="203" t="inlineStr">
        <is>
          <t>Current roster: John + Duvi + Armando</t>
        </is>
      </c>
      <c r="B45" s="204">
        <f>B41</f>
        <v/>
      </c>
      <c r="C45" s="204" t="n">
        <v>10500</v>
      </c>
      <c r="D45" s="204">
        <f>B45+C45</f>
        <v/>
      </c>
      <c r="E45" s="204">
        <f>D45/6</f>
        <v/>
      </c>
      <c r="F45" s="204" t="inlineStr">
        <is>
          <t>Payroll $7,410/wk as confirmed 18-Sep</t>
        </is>
      </c>
      <c r="G45" s="204" t="inlineStr">
        <is>
          <t>Break-even = (fixed + variable) / 6 trading days</t>
        </is>
      </c>
      <c r="H45" s="204" t="n"/>
    </row>
    <row r="47" ht="15.6" customHeight="1" s="331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Current (John + Duvi + Armando)</t>
        </is>
      </c>
      <c r="B49" s="205">
        <f>B41</f>
        <v/>
      </c>
      <c r="C49" s="206" t="n">
        <v>10500</v>
      </c>
      <c r="D49" s="207">
        <f>B49+C49</f>
        <v/>
      </c>
      <c r="E49" s="208">
        <f>D49/6</f>
        <v/>
      </c>
      <c r="F49" s="204" t="n">
        <v>3980</v>
      </c>
      <c r="G49" s="204">
        <f>IF(F49&gt;=E49,"✅ Above break-even","⚠️ Below by $"&amp;TEXT(E49-F49,"#,##0")&amp;"/day")</f>
        <v/>
      </c>
      <c r="H49" t="inlineStr">
        <is>
          <t>F = Sep avg/day to 18-Sep, excl. the one-off $15,896 payment</t>
        </is>
      </c>
    </row>
    <row r="50">
      <c r="A50" s="209" t="inlineStr">
        <is>
          <t>If a mesero is hired (+$2,000/wk)</t>
        </is>
      </c>
      <c r="B50" s="210">
        <f>B41+2000</f>
        <v/>
      </c>
      <c r="C50" s="211" t="n">
        <v>10500</v>
      </c>
      <c r="D50" s="212">
        <f>B50+C50</f>
        <v/>
      </c>
      <c r="E50" s="213">
        <f>D50/6</f>
        <v/>
      </c>
      <c r="F50" s="209">
        <f>F49</f>
        <v/>
      </c>
      <c r="G50" s="209">
        <f>IF(F50&gt;=E50,"✅ Above break-even","⚠️ Below by $"&amp;TEXT(E50-F50,"#,##0")&amp;"/day")</f>
        <v/>
      </c>
      <c r="H50" t="inlineStr">
        <is>
          <t>Scenario only</t>
        </is>
      </c>
    </row>
    <row r="51">
      <c r="A51" s="214" t="inlineStr">
        <is>
          <t>Safety buffer (+15%)</t>
        </is>
      </c>
      <c r="B51" s="215">
        <f>B49</f>
        <v/>
      </c>
      <c r="C51" s="216">
        <f>C49</f>
        <v/>
      </c>
      <c r="D51" s="217">
        <f>D49*1.15</f>
        <v/>
      </c>
      <c r="E51" s="218">
        <f>D51/6</f>
        <v/>
      </c>
      <c r="F51" s="214">
        <f>F49</f>
        <v/>
      </c>
      <c r="G51" s="214">
        <f>IF(F51&gt;=E51,"✅ Above break-even","⚠️ Below by $"&amp;TEXT(E51-F51,"#,##0")&amp;"/day")</f>
        <v/>
      </c>
      <c r="H51" t="inlineStr">
        <is>
          <t>Healthy target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food + supplies, estimated $10,500/wk (Aug actual ~ $10,750/wk).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Rent = contractual $19,066.68/mo from Sep (cash basis). Weekly figures use monthly / 4.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Utilities ~ $7,053/mo from actual bills: CFE $8,789 bimonthly + gas $1,500 + internet $349 + Soft app $810.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Payroll confirmed 18-Sep-2026: John $3,750 + Duvi $1,460 + Armando $2,200 = $7,410/wk.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31"/>
    <row r="61" ht="15.6" customHeight="1" s="331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>
        <v>46237</v>
      </c>
      <c r="B81" s="262" t="inlineStr">
        <is>
          <t>John (Week 10)</t>
        </is>
      </c>
      <c r="C81" s="262" t="n"/>
      <c r="D81" s="264" t="n">
        <v>100</v>
      </c>
    </row>
    <row r="82">
      <c r="A82" s="263" t="n">
        <v>46237</v>
      </c>
      <c r="B82" s="262" t="inlineStr">
        <is>
          <t>Duvi/Debi (Week 10)</t>
        </is>
      </c>
      <c r="C82" s="262" t="n"/>
      <c r="D82" s="264" t="n">
        <v>100</v>
      </c>
    </row>
    <row r="83">
      <c r="A83" s="263" t="n">
        <v>46237</v>
      </c>
      <c r="B83" s="262" t="inlineStr">
        <is>
          <t>Samu (Week 10)</t>
        </is>
      </c>
      <c r="C83" s="262" t="n"/>
      <c r="D83" s="264" t="n">
        <v>100</v>
      </c>
    </row>
    <row r="84">
      <c r="A84" s="263" t="n">
        <v>46245</v>
      </c>
      <c r="B84" s="262" t="inlineStr">
        <is>
          <t>John (week 11)</t>
        </is>
      </c>
      <c r="C84" s="262" t="n"/>
      <c r="D84" s="264" t="n">
        <v>150</v>
      </c>
    </row>
    <row r="85">
      <c r="A85" s="263" t="n">
        <v>46245</v>
      </c>
      <c r="B85" s="262" t="inlineStr">
        <is>
          <t>Samu (week 11)</t>
        </is>
      </c>
      <c r="C85" s="262" t="n"/>
      <c r="D85" s="264" t="n">
        <v>105</v>
      </c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3" t="n"/>
      <c r="B93" s="262" t="n"/>
      <c r="C93" s="262" t="n"/>
      <c r="D93" s="264" t="n"/>
      <c r="E93" s="423" t="n"/>
      <c r="F93" s="423" t="n"/>
      <c r="G93" s="423" t="n"/>
      <c r="H93" s="423" t="n"/>
    </row>
    <row r="94">
      <c r="A94" s="263" t="n"/>
      <c r="B94" s="262" t="n"/>
      <c r="C94" s="262" t="n"/>
      <c r="D94" s="264" t="n"/>
      <c r="E94" s="423" t="n"/>
      <c r="F94" s="423" t="n"/>
      <c r="G94" s="423" t="n"/>
      <c r="H94" s="423" t="n"/>
    </row>
    <row r="95">
      <c r="A95" s="263" t="n"/>
      <c r="B95" s="262" t="n"/>
      <c r="C95" s="262" t="n"/>
      <c r="D95" s="264" t="n"/>
      <c r="E95" s="423" t="n"/>
      <c r="F95" s="423" t="n"/>
      <c r="G95" s="423" t="n"/>
      <c r="H95" s="423" t="n"/>
    </row>
    <row r="96">
      <c r="A96" s="263" t="n"/>
      <c r="B96" s="262" t="n"/>
      <c r="C96" s="262" t="n"/>
      <c r="D96" s="264" t="n"/>
      <c r="E96" s="423" t="n"/>
      <c r="F96" s="423" t="n"/>
      <c r="G96" s="423" t="n"/>
      <c r="H96" s="423" t="n"/>
    </row>
    <row r="97">
      <c r="A97" s="263" t="n"/>
      <c r="B97" s="262" t="n"/>
      <c r="C97" s="262" t="n"/>
      <c r="D97" s="264" t="n"/>
      <c r="E97" s="423" t="n"/>
      <c r="F97" s="423" t="n"/>
      <c r="G97" s="423" t="n"/>
      <c r="H97" s="423" t="n"/>
    </row>
    <row r="98">
      <c r="A98" s="263" t="n"/>
      <c r="B98" s="262" t="n"/>
      <c r="C98" s="262" t="n"/>
      <c r="D98" s="264" t="n"/>
      <c r="E98" s="423" t="n"/>
      <c r="F98" s="423" t="n"/>
      <c r="G98" s="423" t="n"/>
      <c r="H98" s="423" t="n"/>
    </row>
    <row r="99">
      <c r="A99" s="263" t="n"/>
      <c r="B99" s="262" t="n"/>
      <c r="C99" s="262" t="n"/>
      <c r="D99" s="264" t="n"/>
      <c r="E99" s="423" t="n"/>
      <c r="F99" s="423" t="n"/>
      <c r="G99" s="423" t="n"/>
      <c r="H99" s="423" t="n"/>
    </row>
    <row r="100">
      <c r="A100" s="263" t="n"/>
      <c r="B100" s="262" t="n"/>
      <c r="C100" s="262" t="n"/>
      <c r="D100" s="264" t="n"/>
      <c r="E100" s="423" t="n"/>
      <c r="F100" s="423" t="n"/>
      <c r="G100" s="423" t="n"/>
      <c r="H100" s="423" t="n"/>
    </row>
    <row r="101">
      <c r="A101" s="263" t="n"/>
      <c r="B101" s="262" t="n"/>
      <c r="C101" s="262" t="n"/>
      <c r="D101" s="264" t="n"/>
      <c r="E101" s="423" t="n"/>
      <c r="F101" s="423" t="n"/>
      <c r="G101" s="423" t="n"/>
      <c r="H101" s="423" t="n"/>
    </row>
    <row r="102">
      <c r="A102" s="263" t="n"/>
      <c r="B102" s="262" t="n"/>
      <c r="C102" s="262" t="n"/>
      <c r="D102" s="264" t="n"/>
      <c r="E102" s="423" t="n"/>
      <c r="F102" s="423" t="n"/>
      <c r="G102" s="423" t="n"/>
      <c r="H102" s="423" t="n"/>
    </row>
    <row r="103">
      <c r="A103" s="263" t="n"/>
      <c r="B103" s="262" t="n"/>
      <c r="C103" s="262" t="n"/>
      <c r="D103" s="264" t="n"/>
      <c r="E103" s="423" t="n"/>
      <c r="F103" s="423" t="n"/>
      <c r="G103" s="423" t="n"/>
      <c r="H103" s="423" t="n"/>
    </row>
    <row r="104">
      <c r="A104" s="263" t="n"/>
      <c r="B104" s="262" t="n"/>
      <c r="C104" s="262" t="n"/>
      <c r="D104" s="264" t="n"/>
      <c r="E104" s="423" t="n"/>
      <c r="F104" s="423" t="n"/>
      <c r="G104" s="423" t="n"/>
      <c r="H104" s="423" t="n"/>
    </row>
    <row r="105">
      <c r="A105" s="263" t="n"/>
      <c r="B105" s="262" t="n"/>
      <c r="C105" s="262" t="n"/>
      <c r="D105" s="264" t="n"/>
      <c r="E105" s="423" t="n"/>
      <c r="F105" s="423" t="n"/>
      <c r="G105" s="423" t="n"/>
      <c r="H105" s="423" t="n"/>
    </row>
    <row r="106">
      <c r="A106" s="263" t="n"/>
      <c r="B106" s="262" t="n"/>
      <c r="C106" s="262" t="n"/>
      <c r="D106" s="264" t="n"/>
      <c r="E106" s="423" t="n"/>
      <c r="F106" s="423" t="n"/>
      <c r="G106" s="423" t="n"/>
      <c r="H106" s="423" t="n"/>
    </row>
    <row r="107">
      <c r="A107" s="263" t="n"/>
      <c r="B107" s="262" t="n"/>
      <c r="C107" s="262" t="n"/>
      <c r="D107" s="264" t="n"/>
      <c r="E107" s="423" t="n"/>
      <c r="F107" s="423" t="n"/>
      <c r="G107" s="423" t="n"/>
      <c r="H107" s="423" t="n"/>
    </row>
    <row r="108">
      <c r="A108" s="263" t="n"/>
      <c r="B108" s="262" t="n"/>
      <c r="C108" s="262" t="n"/>
      <c r="D108" s="264" t="n"/>
      <c r="E108" s="423" t="n"/>
      <c r="F108" s="423" t="n"/>
      <c r="G108" s="423" t="n"/>
      <c r="H108" s="423" t="n"/>
    </row>
    <row r="109">
      <c r="A109" s="263" t="n"/>
      <c r="B109" s="262" t="n"/>
      <c r="C109" s="262" t="n"/>
      <c r="D109" s="264" t="n"/>
      <c r="E109" s="423" t="n"/>
      <c r="F109" s="423" t="n"/>
      <c r="G109" s="423" t="n"/>
      <c r="H109" s="423" t="n"/>
    </row>
    <row r="110">
      <c r="A110" s="263" t="n"/>
      <c r="B110" s="262" t="n"/>
      <c r="C110" s="262" t="n"/>
      <c r="D110" s="264" t="n"/>
      <c r="E110" s="423" t="n"/>
      <c r="F110" s="423" t="n"/>
      <c r="G110" s="423" t="n"/>
      <c r="H110" s="423" t="n"/>
    </row>
    <row r="111">
      <c r="A111" s="263" t="n"/>
      <c r="B111" s="262" t="n"/>
      <c r="C111" s="262" t="n"/>
      <c r="D111" s="264" t="n"/>
      <c r="E111" s="423" t="n"/>
      <c r="F111" s="423" t="n"/>
      <c r="G111" s="423" t="n"/>
      <c r="H111" s="423" t="n"/>
    </row>
    <row r="112">
      <c r="A112" s="263" t="n"/>
      <c r="B112" s="262" t="n"/>
      <c r="C112" s="262" t="n"/>
      <c r="D112" s="264" t="n"/>
      <c r="E112" s="423" t="n"/>
      <c r="F112" s="423" t="n"/>
      <c r="G112" s="423" t="n"/>
      <c r="H112" s="423" t="n"/>
    </row>
    <row r="113">
      <c r="A113" s="263" t="n"/>
      <c r="B113" s="262" t="n"/>
      <c r="C113" s="262" t="n"/>
      <c r="D113" s="264" t="n"/>
      <c r="E113" s="423" t="n"/>
      <c r="F113" s="423" t="n"/>
      <c r="G113" s="423" t="n"/>
      <c r="H113" s="423" t="n"/>
    </row>
    <row r="114">
      <c r="A114" s="263" t="n"/>
      <c r="B114" s="262" t="n"/>
      <c r="C114" s="262" t="n"/>
      <c r="D114" s="264" t="n"/>
      <c r="E114" s="423" t="n"/>
      <c r="F114" s="423" t="n"/>
      <c r="G114" s="423" t="n"/>
      <c r="H114" s="423" t="n"/>
    </row>
    <row r="115">
      <c r="A115" s="263" t="n"/>
      <c r="B115" s="262" t="n"/>
      <c r="C115" s="262" t="n"/>
      <c r="D115" s="264" t="n"/>
      <c r="E115" s="423" t="n"/>
      <c r="F115" s="423" t="n"/>
      <c r="G115" s="423" t="n"/>
      <c r="H115" s="423" t="n"/>
    </row>
    <row r="116">
      <c r="A116" s="263" t="n"/>
      <c r="B116" s="262" t="n"/>
      <c r="C116" s="262" t="n"/>
      <c r="D116" s="264" t="n"/>
      <c r="E116" s="423" t="n"/>
      <c r="F116" s="423" t="n"/>
      <c r="G116" s="423" t="n"/>
      <c r="H116" s="423" t="n"/>
    </row>
    <row r="117">
      <c r="A117" s="263" t="n"/>
      <c r="B117" s="262" t="n"/>
      <c r="C117" s="262" t="n"/>
      <c r="D117" s="264" t="n"/>
      <c r="E117" s="423" t="n"/>
      <c r="F117" s="423" t="n"/>
      <c r="G117" s="423" t="n"/>
      <c r="H117" s="423" t="n"/>
    </row>
    <row r="118">
      <c r="A118" s="263" t="n"/>
      <c r="B118" s="262" t="n"/>
      <c r="C118" s="262" t="n"/>
      <c r="D118" s="264" t="n"/>
      <c r="E118" s="423" t="n"/>
      <c r="F118" s="423" t="n"/>
      <c r="G118" s="423" t="n"/>
      <c r="H118" s="423" t="n"/>
    </row>
    <row r="119">
      <c r="A119" s="263" t="n"/>
      <c r="B119" s="262" t="n"/>
      <c r="C119" s="262" t="n"/>
      <c r="D119" s="264" t="n"/>
      <c r="E119" s="423" t="n"/>
      <c r="F119" s="423" t="n"/>
      <c r="G119" s="423" t="n"/>
      <c r="H119" s="423" t="n"/>
    </row>
    <row r="120">
      <c r="A120" s="263" t="n"/>
      <c r="B120" s="262" t="n"/>
      <c r="C120" s="262" t="n"/>
      <c r="D120" s="264" t="n"/>
      <c r="E120" s="423" t="n"/>
      <c r="F120" s="423" t="n"/>
      <c r="G120" s="423" t="n"/>
      <c r="H120" s="423" t="n"/>
    </row>
    <row r="121">
      <c r="A121" s="263" t="n"/>
      <c r="B121" s="262" t="n"/>
      <c r="C121" s="262" t="n"/>
      <c r="D121" s="264" t="n"/>
      <c r="E121" s="423" t="n"/>
      <c r="F121" s="423" t="n"/>
      <c r="G121" s="423" t="n"/>
      <c r="H121" s="423" t="n"/>
    </row>
    <row r="122">
      <c r="A122" s="263" t="n"/>
      <c r="B122" s="262" t="n"/>
      <c r="C122" s="262" t="n"/>
      <c r="D122" s="264" t="n"/>
      <c r="E122" s="423" t="n"/>
      <c r="F122" s="423" t="n"/>
      <c r="G122" s="423" t="n"/>
      <c r="H122" s="423" t="n"/>
    </row>
    <row r="123">
      <c r="A123" s="262" t="n"/>
      <c r="B123" s="262" t="inlineStr">
        <is>
          <t>TOTAL TIPS PASSED THROUGH</t>
        </is>
      </c>
      <c r="C123" s="262" t="n"/>
      <c r="D123" s="264">
        <f>SUM(D63:D122)</f>
        <v/>
      </c>
      <c r="E123" s="423" t="n"/>
      <c r="F123" s="423" t="n"/>
      <c r="G123" s="423" t="n"/>
      <c r="H123" s="423" t="n"/>
    </row>
    <row r="124">
      <c r="A124" s="262" t="inlineStr">
        <is>
          <t>Customer tips collected &amp; handed to staff. Excluded from P&amp;L — nets to zero (received = paid).</t>
        </is>
      </c>
      <c r="B124" s="262" t="n"/>
      <c r="C124" s="262" t="n"/>
      <c r="D124" s="262" t="n"/>
      <c r="E124" s="423" t="n"/>
      <c r="F124" s="423" t="n"/>
      <c r="G124" s="423" t="n"/>
      <c r="H124" s="423" t="n"/>
    </row>
    <row r="125">
      <c r="A125" s="423" t="n"/>
      <c r="B125" s="423" t="n"/>
      <c r="C125" s="423" t="n"/>
      <c r="D125" s="423" t="n"/>
      <c r="E125" s="423" t="n"/>
      <c r="F125" s="423" t="n"/>
      <c r="G125" s="423" t="n"/>
      <c r="H125" s="423" t="n"/>
    </row>
    <row r="126">
      <c r="A126" s="423" t="inlineStr">
        <is>
          <t>── CASH RECONCILIATION (15 Jun 2026) ──</t>
        </is>
      </c>
      <c r="B126" s="423" t="n"/>
      <c r="C126" s="423" t="n"/>
      <c r="D126" s="423" t="n"/>
      <c r="E126" s="423" t="n"/>
      <c r="F126" s="423" t="n"/>
      <c r="G126" s="423" t="n"/>
      <c r="H126" s="423" t="n"/>
    </row>
    <row r="127">
      <c r="A127" s="423" t="inlineStr">
        <is>
          <t>Actual restaurant cash on hand</t>
        </is>
      </c>
      <c r="B127" s="423" t="n"/>
      <c r="C127" s="423" t="n"/>
      <c r="D127" s="442" t="n">
        <v>20283</v>
      </c>
      <c r="E127" s="423" t="n"/>
      <c r="F127" s="423" t="n"/>
      <c r="G127" s="423" t="n"/>
      <c r="H127" s="423" t="n"/>
    </row>
    <row r="128">
      <c r="A128" s="423" t="inlineStr">
        <is>
          <t>Adjustment: restaurant cash added to tips + Mercado Pago commission (vs running estimate)</t>
        </is>
      </c>
      <c r="B128" s="423" t="n"/>
      <c r="C128" s="423" t="n"/>
      <c r="D128" s="442" t="n">
        <v>-165</v>
      </c>
      <c r="E128" s="423" t="n"/>
      <c r="F128" s="423" t="n"/>
      <c r="G128" s="423" t="n"/>
      <c r="H128" s="423" t="n"/>
    </row>
    <row r="129">
      <c r="A129" s="423" t="inlineStr">
        <is>
          <t>Reconciled to physical count provided by Reddy. $20,283 is net of MP % deductions.</t>
        </is>
      </c>
      <c r="B129" s="423" t="n"/>
      <c r="C129" s="423" t="n"/>
      <c r="D129" s="423" t="n"/>
      <c r="E129" s="423" t="n"/>
      <c r="F129" s="423" t="n"/>
      <c r="G129" s="423" t="n"/>
      <c r="H129" s="423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tabSelected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2" customWidth="1" style="331" min="3" max="3"/>
    <col width="20" customWidth="1" style="331" min="4" max="4"/>
    <col width="12" customWidth="1" style="331" min="5" max="5"/>
    <col width="10" customWidth="1" style="331" min="6" max="6"/>
    <col width="12" customWidth="1" style="331" min="7" max="7"/>
    <col width="14" customWidth="1" style="331" min="8" max="9"/>
    <col width="18" customWidth="1" style="331" min="10" max="10"/>
    <col width="16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🚚  LOKA — SUPPLIER ORDERS</t>
        </is>
      </c>
      <c r="F2" s="418" t="inlineStr">
        <is>
          <t>Track purchase orders from suppliers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31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31"/>
    <row r="8" ht="19.5" customHeight="1" s="331">
      <c r="B8" s="406" t="n"/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31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31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31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31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31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31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31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31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31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31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31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31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31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31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31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31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31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31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31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31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31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31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31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31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31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31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31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31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31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31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31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31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31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31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31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31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31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31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31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31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31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31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31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31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31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31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31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31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31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31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31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31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31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31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31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31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31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31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31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31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31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31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31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31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31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31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31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31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31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31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31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31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31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31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31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31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31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31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31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31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31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31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31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31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31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31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31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31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31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31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31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31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31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31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31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31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31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31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31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31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31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31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31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31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31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31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31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31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31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31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31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31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31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31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31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31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31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31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31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31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31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31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31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31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31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31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31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31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31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31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31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31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31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31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31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31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31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31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31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31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31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31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31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31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31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31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31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31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31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31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31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31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31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31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31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31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31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31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31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31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31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31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31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31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31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31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31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31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31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31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31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31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31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31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31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31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31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31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31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31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31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31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31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31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31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31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31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31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31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31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31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31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31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31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31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31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31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31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31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31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31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31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31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31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31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31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31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31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31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31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31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31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31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31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31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31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31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31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31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31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31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31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31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31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31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31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31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31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31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31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31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31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31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31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31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31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31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31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31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31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31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31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31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31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31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31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31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31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31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31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31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31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31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31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31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31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31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31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31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31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31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31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31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31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31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31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31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31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31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31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31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31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31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31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31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31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31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31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31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31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31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31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31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31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31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31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31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31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31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31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31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31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31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31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31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31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31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31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31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31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tabSelected="0" workbookViewId="0">
      <selection activeCell="A1" sqref="A1"/>
    </sheetView>
  </sheetViews>
  <sheetFormatPr baseColWidth="8" defaultRowHeight="14.4"/>
  <cols>
    <col width="35.6640625" customWidth="1" style="331" min="2" max="2"/>
    <col width="14.33203125" bestFit="1" customWidth="1" style="331" min="3" max="3"/>
    <col width="44" bestFit="1" customWidth="1" style="331" min="4" max="4"/>
    <col width="87.77734375" bestFit="1" customWidth="1" style="331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tabSelected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31" min="1" max="1"/>
    <col width="15" bestFit="1" customWidth="1" style="331" min="2" max="2"/>
    <col width="15" customWidth="1" style="331" min="3" max="5"/>
    <col width="15" customWidth="1" style="331" min="4" max="4"/>
    <col width="15" customWidth="1" style="331" min="5" max="5"/>
    <col width="15" customWidth="1" style="331" min="6" max="14"/>
    <col width="9" customWidth="1" style="331" min="7" max="7"/>
    <col width="9" customWidth="1" style="331" min="8" max="8"/>
    <col width="9" customWidth="1" style="331" min="9" max="9"/>
    <col width="9" customWidth="1" style="331" min="10" max="10"/>
    <col width="9" customWidth="1" style="331" min="11" max="11"/>
    <col width="9" customWidth="1" style="331" min="12" max="12"/>
    <col width="9" customWidth="1" style="331" min="13" max="13"/>
    <col width="9" customWidth="1" style="331" min="14" max="14"/>
  </cols>
  <sheetData>
    <row r="1" ht="26" customHeight="1" s="331">
      <c r="A1" s="431" t="inlineStr">
        <is>
          <t>LOKA — MONTHLY P&amp;L   (live formulas — auto-updates from Daily Log &amp; Expenses)</t>
        </is>
      </c>
      <c r="B1" s="432" t="n"/>
      <c r="C1" s="432" t="n"/>
      <c r="D1" s="432" t="n"/>
      <c r="E1" s="432" t="n"/>
      <c r="F1" s="432" t="n"/>
      <c r="G1" s="433" t="n"/>
      <c r="H1" s="433" t="n"/>
      <c r="I1" s="433" t="n"/>
      <c r="J1" s="433" t="n"/>
      <c r="K1" s="433" t="n"/>
      <c r="L1" s="433" t="n"/>
    </row>
    <row r="2">
      <c r="A2" s="433" t="n"/>
      <c r="B2" s="433" t="n"/>
      <c r="C2" s="433" t="n"/>
      <c r="D2" s="433" t="n"/>
      <c r="E2" s="433" t="n"/>
      <c r="F2" s="433" t="n"/>
      <c r="G2" s="433" t="n"/>
      <c r="H2" s="433" t="n"/>
      <c r="I2" s="433" t="n"/>
      <c r="J2" s="433" t="n"/>
      <c r="K2" s="433" t="n"/>
      <c r="L2" s="433" t="n"/>
    </row>
    <row r="3">
      <c r="A3" s="434" t="inlineStr">
        <is>
          <t>SUMMARY</t>
        </is>
      </c>
      <c r="B3" s="435" t="inlineStr">
        <is>
          <t>May 2026</t>
        </is>
      </c>
      <c r="C3" s="435" t="inlineStr">
        <is>
          <t>Jun 2026</t>
        </is>
      </c>
      <c r="D3" s="435" t="inlineStr">
        <is>
          <t>Jul 2026</t>
        </is>
      </c>
      <c r="E3" s="435" t="inlineStr">
        <is>
          <t>Aug 2026</t>
        </is>
      </c>
      <c r="F3" s="435" t="inlineStr">
        <is>
          <t>Sep 2026</t>
        </is>
      </c>
      <c r="G3" s="433" t="n"/>
      <c r="H3" s="433" t="n"/>
      <c r="I3" s="433" t="n"/>
      <c r="J3" s="433" t="n"/>
      <c r="K3" s="433" t="n"/>
      <c r="L3" s="433" t="n"/>
    </row>
    <row r="4">
      <c r="A4" s="436" t="inlineStr">
        <is>
          <t>Total Income</t>
        </is>
      </c>
      <c r="B4" s="437">
        <f>SUMIFS('📅 Daily Log'!$F$8:$F$5000,'📅 Daily Log'!$B$8:$B$5000,"&gt;="&amp;DATE(2026,5,1),'📅 Daily Log'!$B$8:$B$5000,"&lt;"&amp;DATE(2026,6,1))</f>
        <v/>
      </c>
      <c r="C4" s="437">
        <f>SUMIFS('📅 Daily Log'!$F$8:$F$5000,'📅 Daily Log'!$B$8:$B$5000,"&gt;="&amp;DATE(2026,6,1),'📅 Daily Log'!$B$8:$B$5000,"&lt;"&amp;DATE(2026,7,1))</f>
        <v/>
      </c>
      <c r="D4" s="437">
        <f>SUMIFS('📅 Daily Log'!$F$8:$F$5000,'📅 Daily Log'!$B$8:$B$5000,"&gt;="&amp;DATE(2026,7,1),'📅 Daily Log'!$B$8:$B$5000,"&lt;"&amp;DATE(2026,8,1))</f>
        <v/>
      </c>
      <c r="E4" s="437">
        <f>SUMIFS('📅 Daily Log'!$F$8:$F$5000,'📅 Daily Log'!$B$8:$B$5000,"&gt;="&amp;DATE(2026,8,1),'📅 Daily Log'!$B$8:$B$5000,"&lt;"&amp;DATE(2026,9,1))</f>
        <v/>
      </c>
      <c r="F4" s="437">
        <f>SUMIFS('📅 Daily Log'!$F$8:$F$5000,'📅 Daily Log'!$B$8:$B$5000,"&gt;="&amp;DATE(2026,9,1),'📅 Daily Log'!$B$8:$B$5000,"&lt;"&amp;DATE(2026,10,1))</f>
        <v/>
      </c>
      <c r="G4" s="433" t="n"/>
      <c r="H4" s="433" t="n"/>
      <c r="I4" s="433" t="n"/>
      <c r="J4" s="433" t="n"/>
      <c r="K4" s="433" t="n"/>
      <c r="L4" s="433" t="n"/>
    </row>
    <row r="5">
      <c r="A5" s="436" t="inlineStr">
        <is>
          <t>Total Expenses</t>
        </is>
      </c>
      <c r="B5" s="437">
        <f>SUMIFS('💸 Expenses'!$F$8:$F$5000,'💸 Expenses'!$B$8:$B$5000,"&gt;="&amp;DATE(2026,5,1),'💸 Expenses'!$B$8:$B$5000,"&lt;"&amp;DATE(2026,6,1))</f>
        <v/>
      </c>
      <c r="C5" s="437">
        <f>SUMIFS('💸 Expenses'!$F$8:$F$5000,'💸 Expenses'!$B$8:$B$5000,"&gt;="&amp;DATE(2026,6,1),'💸 Expenses'!$B$8:$B$5000,"&lt;"&amp;DATE(2026,7,1))</f>
        <v/>
      </c>
      <c r="D5" s="437">
        <f>SUMIFS('💸 Expenses'!$F$8:$F$5000,'💸 Expenses'!$B$8:$B$5000,"&gt;="&amp;DATE(2026,7,1),'💸 Expenses'!$B$8:$B$5000,"&lt;"&amp;DATE(2026,8,1))</f>
        <v/>
      </c>
      <c r="E5" s="437">
        <f>SUMIFS('💸 Expenses'!$F$8:$F$5000,'💸 Expenses'!$B$8:$B$5000,"&gt;="&amp;DATE(2026,8,1),'💸 Expenses'!$B$8:$B$5000,"&lt;"&amp;DATE(2026,9,1))</f>
        <v/>
      </c>
      <c r="F5" s="437">
        <f>SUMIFS('💸 Expenses'!$F$8:$F$5000,'💸 Expenses'!$B$8:$B$5000,"&gt;="&amp;DATE(2026,9,1),'💸 Expenses'!$B$8:$B$5000,"&lt;"&amp;DATE(2026,10,1))</f>
        <v/>
      </c>
      <c r="G5" s="433" t="n"/>
      <c r="H5" s="433" t="n"/>
      <c r="I5" s="433" t="n"/>
      <c r="J5" s="433" t="n"/>
      <c r="K5" s="433" t="n"/>
      <c r="L5" s="433" t="n"/>
    </row>
    <row r="6">
      <c r="A6" s="436" t="inlineStr">
        <is>
          <t>NET PROFIT / LOSS</t>
        </is>
      </c>
      <c r="B6" s="438">
        <f>B4-B5</f>
        <v/>
      </c>
      <c r="C6" s="438">
        <f>C4-C5</f>
        <v/>
      </c>
      <c r="D6" s="438">
        <f>D4-D5</f>
        <v/>
      </c>
      <c r="E6" s="438">
        <f>E4-E5</f>
        <v/>
      </c>
      <c r="F6" s="438">
        <f>F4-F5</f>
        <v/>
      </c>
      <c r="G6" s="433" t="n"/>
      <c r="H6" s="433" t="n"/>
      <c r="I6" s="433" t="n"/>
      <c r="J6" s="433" t="n"/>
      <c r="K6" s="433" t="n"/>
      <c r="L6" s="433" t="n"/>
    </row>
    <row r="7">
      <c r="A7" s="439" t="inlineStr">
        <is>
          <t>Trading Days</t>
        </is>
      </c>
      <c r="B7" s="440">
        <f>COUNTIFS('📅 Daily Log'!$F$8:$F$5000,"&gt;0",'📅 Daily Log'!$B$8:$B$5000,"&gt;="&amp;DATE(2026,5,1),'📅 Daily Log'!$B$8:$B$5000,"&lt;"&amp;DATE(2026,6,1))</f>
        <v/>
      </c>
      <c r="C7" s="440">
        <f>COUNTIFS('📅 Daily Log'!$F$8:$F$5000,"&gt;0",'📅 Daily Log'!$B$8:$B$5000,"&gt;="&amp;DATE(2026,6,1),'📅 Daily Log'!$B$8:$B$5000,"&lt;"&amp;DATE(2026,7,1))</f>
        <v/>
      </c>
      <c r="D7" s="440">
        <f>COUNTIFS('📅 Daily Log'!$F$8:$F$5000,"&gt;0",'📅 Daily Log'!$B$8:$B$5000,"&gt;="&amp;DATE(2026,7,1),'📅 Daily Log'!$B$8:$B$5000,"&lt;"&amp;DATE(2026,8,1))</f>
        <v/>
      </c>
      <c r="E7" s="440">
        <f>COUNTIFS('📅 Daily Log'!$F$8:$F$5000,"&gt;0",'📅 Daily Log'!$B$8:$B$5000,"&gt;="&amp;DATE(2026,8,1),'📅 Daily Log'!$B$8:$B$5000,"&lt;"&amp;DATE(2026,9,1))</f>
        <v/>
      </c>
      <c r="F7" s="440">
        <f>COUNTIFS('📅 Daily Log'!$F$8:$F$5000,"&gt;0",'📅 Daily Log'!$B$8:$B$5000,"&gt;="&amp;DATE(2026,9,1),'📅 Daily Log'!$B$8:$B$5000,"&lt;"&amp;DATE(2026,10,1))</f>
        <v/>
      </c>
      <c r="G7" s="433" t="n"/>
      <c r="H7" s="433" t="n"/>
      <c r="I7" s="433" t="n"/>
      <c r="J7" s="433" t="n"/>
      <c r="K7" s="433" t="n"/>
      <c r="L7" s="433" t="n"/>
    </row>
    <row r="8">
      <c r="A8" s="439" t="inlineStr">
        <is>
          <t>Avg Income / Day</t>
        </is>
      </c>
      <c r="B8" s="437">
        <f>IFERROR(B4/B7,0)</f>
        <v/>
      </c>
      <c r="C8" s="437">
        <f>IFERROR(C4/C7,0)</f>
        <v/>
      </c>
      <c r="D8" s="437">
        <f>IFERROR(D4/D7,0)</f>
        <v/>
      </c>
      <c r="E8" s="437">
        <f>IFERROR(E4/E7,0)</f>
        <v/>
      </c>
      <c r="F8" s="437">
        <f>IFERROR(F4/F7,0)</f>
        <v/>
      </c>
      <c r="G8" s="433" t="n"/>
      <c r="H8" s="433" t="n"/>
      <c r="I8" s="433" t="n"/>
      <c r="J8" s="433" t="n"/>
      <c r="K8" s="433" t="n"/>
      <c r="L8" s="433" t="n"/>
    </row>
    <row r="9">
      <c r="A9" s="433" t="n"/>
      <c r="B9" s="433" t="n"/>
      <c r="C9" s="433" t="n"/>
      <c r="D9" s="433" t="n"/>
      <c r="E9" s="433" t="n"/>
      <c r="F9" s="433" t="n"/>
      <c r="G9" s="433" t="n"/>
      <c r="H9" s="433" t="n"/>
      <c r="I9" s="433" t="n"/>
      <c r="J9" s="433" t="n"/>
      <c r="K9" s="433" t="n"/>
      <c r="L9" s="433" t="n"/>
    </row>
    <row r="10">
      <c r="A10" s="434" t="inlineStr">
        <is>
          <t>INCOME BY TYPE</t>
        </is>
      </c>
      <c r="B10" s="435" t="inlineStr">
        <is>
          <t>May 2026</t>
        </is>
      </c>
      <c r="C10" s="435" t="inlineStr">
        <is>
          <t>Jun 2026</t>
        </is>
      </c>
      <c r="D10" s="435" t="inlineStr">
        <is>
          <t>Jul 2026</t>
        </is>
      </c>
      <c r="E10" s="435" t="inlineStr">
        <is>
          <t>Aug 2026</t>
        </is>
      </c>
      <c r="F10" s="435" t="inlineStr">
        <is>
          <t>Sep 2026</t>
        </is>
      </c>
      <c r="G10" s="433" t="n"/>
      <c r="H10" s="433" t="n"/>
      <c r="I10" s="433" t="n"/>
      <c r="J10" s="433" t="n"/>
      <c r="K10" s="433" t="n"/>
      <c r="L10" s="433" t="n"/>
    </row>
    <row r="11">
      <c r="A11" s="439" t="inlineStr">
        <is>
          <t>Card (MP + Soft + BBVA)</t>
        </is>
      </c>
      <c r="B11" s="437">
        <f>SUMIFS('📅 Daily Log'!$D$8:$D$5000,'📅 Daily Log'!$B$8:$B$5000,"&gt;="&amp;DATE(2026,5,1),'📅 Daily Log'!$B$8:$B$5000,"&lt;"&amp;DATE(2026,6,1))+SUMIFS('📅 Daily Log'!$U$8:$U$5000,'📅 Daily Log'!$B$8:$B$5000,"&gt;="&amp;DATE(2026,5,1),'📅 Daily Log'!$B$8:$B$5000,"&lt;"&amp;DATE(2026,6,1))+SUMIFS('📅 Daily Log'!$Y$8:$Y$5000,'📅 Daily Log'!$B$8:$B$5000,"&gt;="&amp;DATE(2026,5,1),'📅 Daily Log'!$B$8:$B$5000,"&lt;"&amp;DATE(2026,6,1))</f>
        <v/>
      </c>
      <c r="C11" s="437">
        <f>SUMIFS('📅 Daily Log'!$D$8:$D$5000,'📅 Daily Log'!$B$8:$B$5000,"&gt;="&amp;DATE(2026,6,1),'📅 Daily Log'!$B$8:$B$5000,"&lt;"&amp;DATE(2026,7,1))+SUMIFS('📅 Daily Log'!$U$8:$U$5000,'📅 Daily Log'!$B$8:$B$5000,"&gt;="&amp;DATE(2026,6,1),'📅 Daily Log'!$B$8:$B$5000,"&lt;"&amp;DATE(2026,7,1))+SUMIFS('📅 Daily Log'!$Y$8:$Y$5000,'📅 Daily Log'!$B$8:$B$5000,"&gt;="&amp;DATE(2026,6,1),'📅 Daily Log'!$B$8:$B$5000,"&lt;"&amp;DATE(2026,7,1))</f>
        <v/>
      </c>
      <c r="D11" s="437">
        <f>SUMIFS('📅 Daily Log'!$D$8:$D$5000,'📅 Daily Log'!$B$8:$B$5000,"&gt;="&amp;DATE(2026,7,1),'📅 Daily Log'!$B$8:$B$5000,"&lt;"&amp;DATE(2026,8,1))+SUMIFS('📅 Daily Log'!$U$8:$U$5000,'📅 Daily Log'!$B$8:$B$5000,"&gt;="&amp;DATE(2026,7,1),'📅 Daily Log'!$B$8:$B$5000,"&lt;"&amp;DATE(2026,8,1))+SUMIFS('📅 Daily Log'!$Y$8:$Y$5000,'📅 Daily Log'!$B$8:$B$5000,"&gt;="&amp;DATE(2026,7,1),'📅 Daily Log'!$B$8:$B$5000,"&lt;"&amp;DATE(2026,8,1))</f>
        <v/>
      </c>
      <c r="E11" s="437">
        <f>SUMIFS('📅 Daily Log'!$D$8:$D$5000,'📅 Daily Log'!$B$8:$B$5000,"&gt;="&amp;DATE(2026,8,1),'📅 Daily Log'!$B$8:$B$5000,"&lt;"&amp;DATE(2026,9,1))+SUMIFS('📅 Daily Log'!$U$8:$U$5000,'📅 Daily Log'!$B$8:$B$5000,"&gt;="&amp;DATE(2026,8,1),'📅 Daily Log'!$B$8:$B$5000,"&lt;"&amp;DATE(2026,9,1))+SUMIFS('📅 Daily Log'!$Y$8:$Y$5000,'📅 Daily Log'!$B$8:$B$5000,"&gt;="&amp;DATE(2026,8,1),'📅 Daily Log'!$B$8:$B$5000,"&lt;"&amp;DATE(2026,9,1))</f>
        <v/>
      </c>
      <c r="F11" s="437">
        <f>SUMIFS('📅 Daily Log'!$D$8:$D$5000,'📅 Daily Log'!$B$8:$B$5000,"&gt;="&amp;DATE(2026,9,1),'📅 Daily Log'!$B$8:$B$5000,"&lt;"&amp;DATE(2026,10,1))+SUMIFS('📅 Daily Log'!$U$8:$U$5000,'📅 Daily Log'!$B$8:$B$5000,"&gt;="&amp;DATE(2026,9,1),'📅 Daily Log'!$B$8:$B$5000,"&lt;"&amp;DATE(2026,10,1))+SUMIFS('📅 Daily Log'!$Y$8:$Y$5000,'📅 Daily Log'!$B$8:$B$5000,"&gt;="&amp;DATE(2026,9,1),'📅 Daily Log'!$B$8:$B$5000,"&lt;"&amp;DATE(2026,10,1))</f>
        <v/>
      </c>
      <c r="G11" s="433" t="n"/>
      <c r="H11" s="433" t="n"/>
      <c r="I11" s="433" t="n"/>
      <c r="J11" s="433" t="n"/>
      <c r="K11" s="433" t="n"/>
      <c r="L11" s="433" t="n"/>
    </row>
    <row r="12">
      <c r="A12" s="439" t="inlineStr">
        <is>
          <t>Cash</t>
        </is>
      </c>
      <c r="B12" s="437">
        <f>SUMIFS('📅 Daily Log'!$E$8:$E$5000,'📅 Daily Log'!$B$8:$B$5000,"&gt;="&amp;DATE(2026,5,1),'📅 Daily Log'!$B$8:$B$5000,"&lt;"&amp;DATE(2026,6,1))</f>
        <v/>
      </c>
      <c r="C12" s="437">
        <f>SUMIFS('📅 Daily Log'!$E$8:$E$5000,'📅 Daily Log'!$B$8:$B$5000,"&gt;="&amp;DATE(2026,6,1),'📅 Daily Log'!$B$8:$B$5000,"&lt;"&amp;DATE(2026,7,1))</f>
        <v/>
      </c>
      <c r="D12" s="437">
        <f>SUMIFS('📅 Daily Log'!$E$8:$E$5000,'📅 Daily Log'!$B$8:$B$5000,"&gt;="&amp;DATE(2026,7,1),'📅 Daily Log'!$B$8:$B$5000,"&lt;"&amp;DATE(2026,8,1))</f>
        <v/>
      </c>
      <c r="E12" s="437">
        <f>SUMIFS('📅 Daily Log'!$E$8:$E$5000,'📅 Daily Log'!$B$8:$B$5000,"&gt;="&amp;DATE(2026,8,1),'📅 Daily Log'!$B$8:$B$5000,"&lt;"&amp;DATE(2026,9,1))</f>
        <v/>
      </c>
      <c r="F12" s="437">
        <f>SUMIFS('📅 Daily Log'!$E$8:$E$5000,'📅 Daily Log'!$B$8:$B$5000,"&gt;="&amp;DATE(2026,9,1),'📅 Daily Log'!$B$8:$B$5000,"&lt;"&amp;DATE(2026,10,1))</f>
        <v/>
      </c>
      <c r="G12" s="433" t="n"/>
      <c r="H12" s="433" t="n"/>
      <c r="I12" s="433" t="n"/>
      <c r="J12" s="433" t="n"/>
      <c r="K12" s="433" t="n"/>
      <c r="L12" s="433" t="n"/>
    </row>
    <row r="13">
      <c r="A13" s="439" t="inlineStr">
        <is>
          <t>Transfer</t>
        </is>
      </c>
      <c r="B13" s="437">
        <f>SUMIFS('📅 Daily Log'!$G$8:$G$5000,'📅 Daily Log'!$B$8:$B$5000,"&gt;="&amp;DATE(2026,5,1),'📅 Daily Log'!$B$8:$B$5000,"&lt;"&amp;DATE(2026,6,1))</f>
        <v/>
      </c>
      <c r="C13" s="437">
        <f>SUMIFS('📅 Daily Log'!$G$8:$G$5000,'📅 Daily Log'!$B$8:$B$5000,"&gt;="&amp;DATE(2026,6,1),'📅 Daily Log'!$B$8:$B$5000,"&lt;"&amp;DATE(2026,7,1))</f>
        <v/>
      </c>
      <c r="D13" s="437">
        <f>SUMIFS('📅 Daily Log'!$G$8:$G$5000,'📅 Daily Log'!$B$8:$B$5000,"&gt;="&amp;DATE(2026,7,1),'📅 Daily Log'!$B$8:$B$5000,"&lt;"&amp;DATE(2026,8,1))</f>
        <v/>
      </c>
      <c r="E13" s="437">
        <f>SUMIFS('📅 Daily Log'!$G$8:$G$5000,'📅 Daily Log'!$B$8:$B$5000,"&gt;="&amp;DATE(2026,8,1),'📅 Daily Log'!$B$8:$B$5000,"&lt;"&amp;DATE(2026,9,1))</f>
        <v/>
      </c>
      <c r="F13" s="437">
        <f>SUMIFS('📅 Daily Log'!$G$8:$G$5000,'📅 Daily Log'!$B$8:$B$5000,"&gt;="&amp;DATE(2026,9,1),'📅 Daily Log'!$B$8:$B$5000,"&lt;"&amp;DATE(2026,10,1))</f>
        <v/>
      </c>
      <c r="G13" s="433" t="n"/>
      <c r="H13" s="433" t="n"/>
      <c r="I13" s="433" t="n"/>
      <c r="J13" s="433" t="n"/>
      <c r="K13" s="433" t="n"/>
      <c r="L13" s="433" t="n"/>
    </row>
    <row r="14">
      <c r="A14" s="436" t="inlineStr">
        <is>
          <t>Total Income</t>
        </is>
      </c>
      <c r="B14" s="438">
        <f>B11+B12+B13</f>
        <v/>
      </c>
      <c r="C14" s="438">
        <f>C11+C12+C13</f>
        <v/>
      </c>
      <c r="D14" s="438">
        <f>D11+D12+D13</f>
        <v/>
      </c>
      <c r="E14" s="438">
        <f>E11+E12+E13</f>
        <v/>
      </c>
      <c r="F14" s="438">
        <f>F11+F12+F13</f>
        <v/>
      </c>
      <c r="G14" s="433" t="n"/>
      <c r="H14" s="433" t="n"/>
      <c r="I14" s="433" t="n"/>
      <c r="J14" s="433" t="n"/>
      <c r="K14" s="433" t="n"/>
      <c r="L14" s="433" t="n"/>
    </row>
    <row r="15">
      <c r="A15" s="433" t="n"/>
      <c r="B15" s="433" t="n"/>
      <c r="C15" s="433" t="n"/>
      <c r="D15" s="433" t="n"/>
      <c r="E15" s="433" t="n"/>
      <c r="F15" s="433" t="n"/>
      <c r="G15" s="433" t="n"/>
      <c r="H15" s="433" t="n"/>
      <c r="I15" s="433" t="n"/>
      <c r="J15" s="433" t="n"/>
      <c r="K15" s="433" t="n"/>
      <c r="L15" s="433" t="n"/>
    </row>
    <row r="16">
      <c r="A16" s="434" t="inlineStr">
        <is>
          <t>EXPENSES BY CATEGORY (high → low)</t>
        </is>
      </c>
      <c r="B16" s="435" t="inlineStr">
        <is>
          <t>May 2026</t>
        </is>
      </c>
      <c r="C16" s="435" t="inlineStr">
        <is>
          <t>Jun 2026</t>
        </is>
      </c>
      <c r="D16" s="435" t="inlineStr">
        <is>
          <t>Jul 2026</t>
        </is>
      </c>
      <c r="E16" s="435" t="inlineStr">
        <is>
          <t>Aug 2026</t>
        </is>
      </c>
      <c r="F16" s="435" t="inlineStr">
        <is>
          <t>Sep 2026</t>
        </is>
      </c>
      <c r="G16" s="433" t="n"/>
      <c r="H16" s="433" t="n"/>
      <c r="I16" s="433" t="n"/>
      <c r="J16" s="433" t="n"/>
      <c r="K16" s="433" t="n"/>
      <c r="L16" s="433" t="n"/>
    </row>
    <row r="17">
      <c r="A17" s="439" t="inlineStr">
        <is>
          <t>Staff - Salary</t>
        </is>
      </c>
      <c r="B17" s="437">
        <f>SUMIFS('💸 Expenses'!$F$8:$F$5000,'💸 Expenses'!$E$8:$E$5000,$A17,'💸 Expenses'!$B$8:$B$5000,"&gt;="&amp;DATE(2026,5,1),'💸 Expenses'!$B$8:$B$5000,"&lt;"&amp;DATE(2026,6,1))</f>
        <v/>
      </c>
      <c r="C17" s="437">
        <f>SUMIFS('💸 Expenses'!$F$8:$F$5000,'💸 Expenses'!$E$8:$E$5000,$A17,'💸 Expenses'!$B$8:$B$5000,"&gt;="&amp;DATE(2026,6,1),'💸 Expenses'!$B$8:$B$5000,"&lt;"&amp;DATE(2026,7,1))</f>
        <v/>
      </c>
      <c r="D17" s="437">
        <f>SUMIFS('💸 Expenses'!$F$8:$F$5000,'💸 Expenses'!$E$8:$E$5000,$A17,'💸 Expenses'!$B$8:$B$5000,"&gt;="&amp;DATE(2026,7,1),'💸 Expenses'!$B$8:$B$5000,"&lt;"&amp;DATE(2026,8,1))</f>
        <v/>
      </c>
      <c r="E17" s="437">
        <f>SUMIFS('💸 Expenses'!$F$8:$F$5000,'💸 Expenses'!$E$8:$E$5000,$A17,'💸 Expenses'!$B$8:$B$5000,"&gt;="&amp;DATE(2026,8,1),'💸 Expenses'!$B$8:$B$5000,"&lt;"&amp;DATE(2026,9,1))</f>
        <v/>
      </c>
      <c r="F17" s="437">
        <f>SUMIFS('💸 Expenses'!$F$8:$F$5000,'💸 Expenses'!$E$8:$E$5000,$A17,'💸 Expenses'!$B$8:$B$5000,"&gt;="&amp;DATE(2026,9,1),'💸 Expenses'!$B$8:$B$5000,"&lt;"&amp;DATE(2026,10,1))</f>
        <v/>
      </c>
      <c r="G17" s="433" t="n"/>
      <c r="H17" s="433" t="n"/>
      <c r="I17" s="433" t="n"/>
      <c r="J17" s="433" t="n"/>
      <c r="K17" s="433" t="n"/>
      <c r="L17" s="433" t="n"/>
    </row>
    <row r="18">
      <c r="A18" s="439" t="inlineStr">
        <is>
          <t>Rent</t>
        </is>
      </c>
      <c r="B18" s="437">
        <f>SUMIFS('💸 Expenses'!$F$8:$F$5000,'💸 Expenses'!$E$8:$E$5000,$A18,'💸 Expenses'!$B$8:$B$5000,"&gt;="&amp;DATE(2026,5,1),'💸 Expenses'!$B$8:$B$5000,"&lt;"&amp;DATE(2026,6,1))</f>
        <v/>
      </c>
      <c r="C18" s="437">
        <f>SUMIFS('💸 Expenses'!$F$8:$F$5000,'💸 Expenses'!$E$8:$E$5000,$A18,'💸 Expenses'!$B$8:$B$5000,"&gt;="&amp;DATE(2026,6,1),'💸 Expenses'!$B$8:$B$5000,"&lt;"&amp;DATE(2026,7,1))</f>
        <v/>
      </c>
      <c r="D18" s="437">
        <f>SUMIFS('💸 Expenses'!$F$8:$F$5000,'💸 Expenses'!$E$8:$E$5000,$A18,'💸 Expenses'!$B$8:$B$5000,"&gt;="&amp;DATE(2026,7,1),'💸 Expenses'!$B$8:$B$5000,"&lt;"&amp;DATE(2026,8,1))</f>
        <v/>
      </c>
      <c r="E18" s="437">
        <f>SUMIFS('💸 Expenses'!$F$8:$F$5000,'💸 Expenses'!$E$8:$E$5000,$A18,'💸 Expenses'!$B$8:$B$5000,"&gt;="&amp;DATE(2026,8,1),'💸 Expenses'!$B$8:$B$5000,"&lt;"&amp;DATE(2026,9,1))</f>
        <v/>
      </c>
      <c r="F18" s="437">
        <f>SUMIFS('💸 Expenses'!$F$8:$F$5000,'💸 Expenses'!$E$8:$E$5000,$A18,'💸 Expenses'!$B$8:$B$5000,"&gt;="&amp;DATE(2026,9,1),'💸 Expenses'!$B$8:$B$5000,"&lt;"&amp;DATE(2026,10,1))</f>
        <v/>
      </c>
      <c r="G18" s="433" t="n"/>
      <c r="H18" s="433" t="n"/>
      <c r="I18" s="433" t="n"/>
      <c r="J18" s="433" t="n"/>
      <c r="K18" s="433" t="n"/>
      <c r="L18" s="433" t="n"/>
    </row>
    <row r="19">
      <c r="A19" s="439" t="inlineStr">
        <is>
          <t>Ingredients - Meat</t>
        </is>
      </c>
      <c r="B19" s="437">
        <f>SUMIFS('💸 Expenses'!$F$8:$F$5000,'💸 Expenses'!$E$8:$E$5000,$A19,'💸 Expenses'!$B$8:$B$5000,"&gt;="&amp;DATE(2026,5,1),'💸 Expenses'!$B$8:$B$5000,"&lt;"&amp;DATE(2026,6,1))</f>
        <v/>
      </c>
      <c r="C19" s="437">
        <f>SUMIFS('💸 Expenses'!$F$8:$F$5000,'💸 Expenses'!$E$8:$E$5000,$A19,'💸 Expenses'!$B$8:$B$5000,"&gt;="&amp;DATE(2026,6,1),'💸 Expenses'!$B$8:$B$5000,"&lt;"&amp;DATE(2026,7,1))</f>
        <v/>
      </c>
      <c r="D19" s="437">
        <f>SUMIFS('💸 Expenses'!$F$8:$F$5000,'💸 Expenses'!$E$8:$E$5000,$A19,'💸 Expenses'!$B$8:$B$5000,"&gt;="&amp;DATE(2026,7,1),'💸 Expenses'!$B$8:$B$5000,"&lt;"&amp;DATE(2026,8,1))</f>
        <v/>
      </c>
      <c r="E19" s="437">
        <f>SUMIFS('💸 Expenses'!$F$8:$F$5000,'💸 Expenses'!$E$8:$E$5000,$A19,'💸 Expenses'!$B$8:$B$5000,"&gt;="&amp;DATE(2026,8,1),'💸 Expenses'!$B$8:$B$5000,"&lt;"&amp;DATE(2026,9,1))</f>
        <v/>
      </c>
      <c r="F19" s="437">
        <f>SUMIFS('💸 Expenses'!$F$8:$F$5000,'💸 Expenses'!$E$8:$E$5000,$A19,'💸 Expenses'!$B$8:$B$5000,"&gt;="&amp;DATE(2026,9,1),'💸 Expenses'!$B$8:$B$5000,"&lt;"&amp;DATE(2026,10,1))</f>
        <v/>
      </c>
      <c r="G19" s="433" t="n"/>
      <c r="H19" s="433" t="n"/>
      <c r="I19" s="433" t="n"/>
      <c r="J19" s="433" t="n"/>
      <c r="K19" s="433" t="n"/>
      <c r="L19" s="433" t="n"/>
    </row>
    <row r="20">
      <c r="A20" s="439" t="inlineStr">
        <is>
          <t>Supermarket/General</t>
        </is>
      </c>
      <c r="B20" s="437">
        <f>SUMIFS('💸 Expenses'!$F$8:$F$5000,'💸 Expenses'!$E$8:$E$5000,$A20,'💸 Expenses'!$B$8:$B$5000,"&gt;="&amp;DATE(2026,5,1),'💸 Expenses'!$B$8:$B$5000,"&lt;"&amp;DATE(2026,6,1))</f>
        <v/>
      </c>
      <c r="C20" s="437">
        <f>SUMIFS('💸 Expenses'!$F$8:$F$5000,'💸 Expenses'!$E$8:$E$5000,$A20,'💸 Expenses'!$B$8:$B$5000,"&gt;="&amp;DATE(2026,6,1),'💸 Expenses'!$B$8:$B$5000,"&lt;"&amp;DATE(2026,7,1))</f>
        <v/>
      </c>
      <c r="D20" s="437">
        <f>SUMIFS('💸 Expenses'!$F$8:$F$5000,'💸 Expenses'!$E$8:$E$5000,$A20,'💸 Expenses'!$B$8:$B$5000,"&gt;="&amp;DATE(2026,7,1),'💸 Expenses'!$B$8:$B$5000,"&lt;"&amp;DATE(2026,8,1))</f>
        <v/>
      </c>
      <c r="E20" s="437">
        <f>SUMIFS('💸 Expenses'!$F$8:$F$5000,'💸 Expenses'!$E$8:$E$5000,$A20,'💸 Expenses'!$B$8:$B$5000,"&gt;="&amp;DATE(2026,8,1),'💸 Expenses'!$B$8:$B$5000,"&lt;"&amp;DATE(2026,9,1))</f>
        <v/>
      </c>
      <c r="F20" s="437">
        <f>SUMIFS('💸 Expenses'!$F$8:$F$5000,'💸 Expenses'!$E$8:$E$5000,$A20,'💸 Expenses'!$B$8:$B$5000,"&gt;="&amp;DATE(2026,9,1),'💸 Expenses'!$B$8:$B$5000,"&lt;"&amp;DATE(2026,10,1))</f>
        <v/>
      </c>
      <c r="G20" s="433" t="n"/>
      <c r="H20" s="433" t="n"/>
      <c r="I20" s="433" t="n"/>
      <c r="J20" s="433" t="n"/>
      <c r="K20" s="433" t="n"/>
      <c r="L20" s="433" t="n"/>
    </row>
    <row r="21">
      <c r="A21" s="439" t="inlineStr">
        <is>
          <t>Ingredients - Vegetables</t>
        </is>
      </c>
      <c r="B21" s="437">
        <f>SUMIFS('💸 Expenses'!$F$8:$F$5000,'💸 Expenses'!$E$8:$E$5000,$A21,'💸 Expenses'!$B$8:$B$5000,"&gt;="&amp;DATE(2026,5,1),'💸 Expenses'!$B$8:$B$5000,"&lt;"&amp;DATE(2026,6,1))</f>
        <v/>
      </c>
      <c r="C21" s="437">
        <f>SUMIFS('💸 Expenses'!$F$8:$F$5000,'💸 Expenses'!$E$8:$E$5000,$A21,'💸 Expenses'!$B$8:$B$5000,"&gt;="&amp;DATE(2026,6,1),'💸 Expenses'!$B$8:$B$5000,"&lt;"&amp;DATE(2026,7,1))</f>
        <v/>
      </c>
      <c r="D21" s="437">
        <f>SUMIFS('💸 Expenses'!$F$8:$F$5000,'💸 Expenses'!$E$8:$E$5000,$A21,'💸 Expenses'!$B$8:$B$5000,"&gt;="&amp;DATE(2026,7,1),'💸 Expenses'!$B$8:$B$5000,"&lt;"&amp;DATE(2026,8,1))</f>
        <v/>
      </c>
      <c r="E21" s="437">
        <f>SUMIFS('💸 Expenses'!$F$8:$F$5000,'💸 Expenses'!$E$8:$E$5000,$A21,'💸 Expenses'!$B$8:$B$5000,"&gt;="&amp;DATE(2026,8,1),'💸 Expenses'!$B$8:$B$5000,"&lt;"&amp;DATE(2026,9,1))</f>
        <v/>
      </c>
      <c r="F21" s="437">
        <f>SUMIFS('💸 Expenses'!$F$8:$F$5000,'💸 Expenses'!$E$8:$E$5000,$A21,'💸 Expenses'!$B$8:$B$5000,"&gt;="&amp;DATE(2026,9,1),'💸 Expenses'!$B$8:$B$5000,"&lt;"&amp;DATE(2026,10,1))</f>
        <v/>
      </c>
      <c r="G21" s="433" t="n"/>
      <c r="H21" s="433" t="n"/>
      <c r="I21" s="433" t="n"/>
      <c r="J21" s="433" t="n"/>
      <c r="K21" s="433" t="n"/>
      <c r="L21" s="433" t="n"/>
    </row>
    <row r="22">
      <c r="A22" s="439" t="inlineStr">
        <is>
          <t>Taxes</t>
        </is>
      </c>
      <c r="B22" s="437">
        <f>SUMIFS('💸 Expenses'!$F$8:$F$5000,'💸 Expenses'!$E$8:$E$5000,$A22,'💸 Expenses'!$B$8:$B$5000,"&gt;="&amp;DATE(2026,5,1),'💸 Expenses'!$B$8:$B$5000,"&lt;"&amp;DATE(2026,6,1))</f>
        <v/>
      </c>
      <c r="C22" s="437">
        <f>SUMIFS('💸 Expenses'!$F$8:$F$5000,'💸 Expenses'!$E$8:$E$5000,$A22,'💸 Expenses'!$B$8:$B$5000,"&gt;="&amp;DATE(2026,6,1),'💸 Expenses'!$B$8:$B$5000,"&lt;"&amp;DATE(2026,7,1))</f>
        <v/>
      </c>
      <c r="D22" s="437">
        <f>SUMIFS('💸 Expenses'!$F$8:$F$5000,'💸 Expenses'!$E$8:$E$5000,$A22,'💸 Expenses'!$B$8:$B$5000,"&gt;="&amp;DATE(2026,7,1),'💸 Expenses'!$B$8:$B$5000,"&lt;"&amp;DATE(2026,8,1))</f>
        <v/>
      </c>
      <c r="E22" s="437">
        <f>SUMIFS('💸 Expenses'!$F$8:$F$5000,'💸 Expenses'!$E$8:$E$5000,$A22,'💸 Expenses'!$B$8:$B$5000,"&gt;="&amp;DATE(2026,8,1),'💸 Expenses'!$B$8:$B$5000,"&lt;"&amp;DATE(2026,9,1))</f>
        <v/>
      </c>
      <c r="F22" s="437">
        <f>SUMIFS('💸 Expenses'!$F$8:$F$5000,'💸 Expenses'!$E$8:$E$5000,$A22,'💸 Expenses'!$B$8:$B$5000,"&gt;="&amp;DATE(2026,9,1),'💸 Expenses'!$B$8:$B$5000,"&lt;"&amp;DATE(2026,10,1))</f>
        <v/>
      </c>
      <c r="G22" s="433" t="n"/>
      <c r="H22" s="433" t="n"/>
      <c r="I22" s="433" t="n"/>
      <c r="J22" s="433" t="n"/>
      <c r="K22" s="433" t="n"/>
      <c r="L22" s="433" t="n"/>
    </row>
    <row r="23">
      <c r="A23" s="439" t="inlineStr">
        <is>
          <t>Ingredients - Pantry</t>
        </is>
      </c>
      <c r="B23" s="437">
        <f>SUMIFS('💸 Expenses'!$F$8:$F$5000,'💸 Expenses'!$E$8:$E$5000,$A23,'💸 Expenses'!$B$8:$B$5000,"&gt;="&amp;DATE(2026,5,1),'💸 Expenses'!$B$8:$B$5000,"&lt;"&amp;DATE(2026,6,1))</f>
        <v/>
      </c>
      <c r="C23" s="437">
        <f>SUMIFS('💸 Expenses'!$F$8:$F$5000,'💸 Expenses'!$E$8:$E$5000,$A23,'💸 Expenses'!$B$8:$B$5000,"&gt;="&amp;DATE(2026,6,1),'💸 Expenses'!$B$8:$B$5000,"&lt;"&amp;DATE(2026,7,1))</f>
        <v/>
      </c>
      <c r="D23" s="437">
        <f>SUMIFS('💸 Expenses'!$F$8:$F$5000,'💸 Expenses'!$E$8:$E$5000,$A23,'💸 Expenses'!$B$8:$B$5000,"&gt;="&amp;DATE(2026,7,1),'💸 Expenses'!$B$8:$B$5000,"&lt;"&amp;DATE(2026,8,1))</f>
        <v/>
      </c>
      <c r="E23" s="437">
        <f>SUMIFS('💸 Expenses'!$F$8:$F$5000,'💸 Expenses'!$E$8:$E$5000,$A23,'💸 Expenses'!$B$8:$B$5000,"&gt;="&amp;DATE(2026,8,1),'💸 Expenses'!$B$8:$B$5000,"&lt;"&amp;DATE(2026,9,1))</f>
        <v/>
      </c>
      <c r="F23" s="437">
        <f>SUMIFS('💸 Expenses'!$F$8:$F$5000,'💸 Expenses'!$E$8:$E$5000,$A23,'💸 Expenses'!$B$8:$B$5000,"&gt;="&amp;DATE(2026,9,1),'💸 Expenses'!$B$8:$B$5000,"&lt;"&amp;DATE(2026,10,1))</f>
        <v/>
      </c>
      <c r="G23" s="433" t="n"/>
      <c r="H23" s="433" t="n"/>
      <c r="I23" s="433" t="n"/>
      <c r="J23" s="433" t="n"/>
      <c r="K23" s="433" t="n"/>
      <c r="L23" s="433" t="n"/>
    </row>
    <row r="24">
      <c r="A24" s="439" t="inlineStr">
        <is>
          <t>Ingredients - Bread</t>
        </is>
      </c>
      <c r="B24" s="437">
        <f>SUMIFS('💸 Expenses'!$F$8:$F$5000,'💸 Expenses'!$E$8:$E$5000,$A24,'💸 Expenses'!$B$8:$B$5000,"&gt;="&amp;DATE(2026,5,1),'💸 Expenses'!$B$8:$B$5000,"&lt;"&amp;DATE(2026,6,1))</f>
        <v/>
      </c>
      <c r="C24" s="437">
        <f>SUMIFS('💸 Expenses'!$F$8:$F$5000,'💸 Expenses'!$E$8:$E$5000,$A24,'💸 Expenses'!$B$8:$B$5000,"&gt;="&amp;DATE(2026,6,1),'💸 Expenses'!$B$8:$B$5000,"&lt;"&amp;DATE(2026,7,1))</f>
        <v/>
      </c>
      <c r="D24" s="437">
        <f>SUMIFS('💸 Expenses'!$F$8:$F$5000,'💸 Expenses'!$E$8:$E$5000,$A24,'💸 Expenses'!$B$8:$B$5000,"&gt;="&amp;DATE(2026,7,1),'💸 Expenses'!$B$8:$B$5000,"&lt;"&amp;DATE(2026,8,1))</f>
        <v/>
      </c>
      <c r="E24" s="437">
        <f>SUMIFS('💸 Expenses'!$F$8:$F$5000,'💸 Expenses'!$E$8:$E$5000,$A24,'💸 Expenses'!$B$8:$B$5000,"&gt;="&amp;DATE(2026,8,1),'💸 Expenses'!$B$8:$B$5000,"&lt;"&amp;DATE(2026,9,1))</f>
        <v/>
      </c>
      <c r="F24" s="437">
        <f>SUMIFS('💸 Expenses'!$F$8:$F$5000,'💸 Expenses'!$E$8:$E$5000,$A24,'💸 Expenses'!$B$8:$B$5000,"&gt;="&amp;DATE(2026,9,1),'💸 Expenses'!$B$8:$B$5000,"&lt;"&amp;DATE(2026,10,1))</f>
        <v/>
      </c>
      <c r="G24" s="433" t="n"/>
      <c r="H24" s="433" t="n"/>
      <c r="I24" s="433" t="n"/>
      <c r="J24" s="433" t="n"/>
      <c r="K24" s="433" t="n"/>
      <c r="L24" s="433" t="n"/>
    </row>
    <row r="25">
      <c r="A25" s="439" t="inlineStr">
        <is>
          <t>Ingredients - Beverages</t>
        </is>
      </c>
      <c r="B25" s="437">
        <f>SUMIFS('💸 Expenses'!$F$8:$F$5000,'💸 Expenses'!$E$8:$E$5000,$A25,'💸 Expenses'!$B$8:$B$5000,"&gt;="&amp;DATE(2026,5,1),'💸 Expenses'!$B$8:$B$5000,"&lt;"&amp;DATE(2026,6,1))</f>
        <v/>
      </c>
      <c r="C25" s="437">
        <f>SUMIFS('💸 Expenses'!$F$8:$F$5000,'💸 Expenses'!$E$8:$E$5000,$A25,'💸 Expenses'!$B$8:$B$5000,"&gt;="&amp;DATE(2026,6,1),'💸 Expenses'!$B$8:$B$5000,"&lt;"&amp;DATE(2026,7,1))</f>
        <v/>
      </c>
      <c r="D25" s="437">
        <f>SUMIFS('💸 Expenses'!$F$8:$F$5000,'💸 Expenses'!$E$8:$E$5000,$A25,'💸 Expenses'!$B$8:$B$5000,"&gt;="&amp;DATE(2026,7,1),'💸 Expenses'!$B$8:$B$5000,"&lt;"&amp;DATE(2026,8,1))</f>
        <v/>
      </c>
      <c r="E25" s="437">
        <f>SUMIFS('💸 Expenses'!$F$8:$F$5000,'💸 Expenses'!$E$8:$E$5000,$A25,'💸 Expenses'!$B$8:$B$5000,"&gt;="&amp;DATE(2026,8,1),'💸 Expenses'!$B$8:$B$5000,"&lt;"&amp;DATE(2026,9,1))</f>
        <v/>
      </c>
      <c r="F25" s="437">
        <f>SUMIFS('💸 Expenses'!$F$8:$F$5000,'💸 Expenses'!$E$8:$E$5000,$A25,'💸 Expenses'!$B$8:$B$5000,"&gt;="&amp;DATE(2026,9,1),'💸 Expenses'!$B$8:$B$5000,"&lt;"&amp;DATE(2026,10,1))</f>
        <v/>
      </c>
      <c r="G25" s="433" t="n"/>
      <c r="H25" s="433" t="n"/>
      <c r="I25" s="433" t="n"/>
      <c r="J25" s="433" t="n"/>
      <c r="K25" s="433" t="n"/>
      <c r="L25" s="433" t="n"/>
    </row>
    <row r="26">
      <c r="A26" s="439" t="inlineStr">
        <is>
          <t>Ingredients - Dairy</t>
        </is>
      </c>
      <c r="B26" s="437">
        <f>SUMIFS('💸 Expenses'!$F$8:$F$5000,'💸 Expenses'!$E$8:$E$5000,$A26,'💸 Expenses'!$B$8:$B$5000,"&gt;="&amp;DATE(2026,5,1),'💸 Expenses'!$B$8:$B$5000,"&lt;"&amp;DATE(2026,6,1))</f>
        <v/>
      </c>
      <c r="C26" s="437">
        <f>SUMIFS('💸 Expenses'!$F$8:$F$5000,'💸 Expenses'!$E$8:$E$5000,$A26,'💸 Expenses'!$B$8:$B$5000,"&gt;="&amp;DATE(2026,6,1),'💸 Expenses'!$B$8:$B$5000,"&lt;"&amp;DATE(2026,7,1))</f>
        <v/>
      </c>
      <c r="D26" s="437">
        <f>SUMIFS('💸 Expenses'!$F$8:$F$5000,'💸 Expenses'!$E$8:$E$5000,$A26,'💸 Expenses'!$B$8:$B$5000,"&gt;="&amp;DATE(2026,7,1),'💸 Expenses'!$B$8:$B$5000,"&lt;"&amp;DATE(2026,8,1))</f>
        <v/>
      </c>
      <c r="E26" s="437">
        <f>SUMIFS('💸 Expenses'!$F$8:$F$5000,'💸 Expenses'!$E$8:$E$5000,$A26,'💸 Expenses'!$B$8:$B$5000,"&gt;="&amp;DATE(2026,8,1),'💸 Expenses'!$B$8:$B$5000,"&lt;"&amp;DATE(2026,9,1))</f>
        <v/>
      </c>
      <c r="F26" s="437">
        <f>SUMIFS('💸 Expenses'!$F$8:$F$5000,'💸 Expenses'!$E$8:$E$5000,$A26,'💸 Expenses'!$B$8:$B$5000,"&gt;="&amp;DATE(2026,9,1),'💸 Expenses'!$B$8:$B$5000,"&lt;"&amp;DATE(2026,10,1))</f>
        <v/>
      </c>
      <c r="G26" s="433" t="n"/>
      <c r="H26" s="433" t="n"/>
      <c r="I26" s="433" t="n"/>
      <c r="J26" s="433" t="n"/>
      <c r="K26" s="433" t="n"/>
      <c r="L26" s="433" t="n"/>
    </row>
    <row r="27">
      <c r="A27" s="439" t="inlineStr">
        <is>
          <t>Utilities/Electricity</t>
        </is>
      </c>
      <c r="B27" s="437">
        <f>SUMIFS('💸 Expenses'!$F$8:$F$5000,'💸 Expenses'!$E$8:$E$5000,$A27,'💸 Expenses'!$B$8:$B$5000,"&gt;="&amp;DATE(2026,5,1),'💸 Expenses'!$B$8:$B$5000,"&lt;"&amp;DATE(2026,6,1))</f>
        <v/>
      </c>
      <c r="C27" s="437">
        <f>SUMIFS('💸 Expenses'!$F$8:$F$5000,'💸 Expenses'!$E$8:$E$5000,$A27,'💸 Expenses'!$B$8:$B$5000,"&gt;="&amp;DATE(2026,6,1),'💸 Expenses'!$B$8:$B$5000,"&lt;"&amp;DATE(2026,7,1))</f>
        <v/>
      </c>
      <c r="D27" s="437">
        <f>SUMIFS('💸 Expenses'!$F$8:$F$5000,'💸 Expenses'!$E$8:$E$5000,$A27,'💸 Expenses'!$B$8:$B$5000,"&gt;="&amp;DATE(2026,7,1),'💸 Expenses'!$B$8:$B$5000,"&lt;"&amp;DATE(2026,8,1))</f>
        <v/>
      </c>
      <c r="E27" s="437">
        <f>SUMIFS('💸 Expenses'!$F$8:$F$5000,'💸 Expenses'!$E$8:$E$5000,$A27,'💸 Expenses'!$B$8:$B$5000,"&gt;="&amp;DATE(2026,8,1),'💸 Expenses'!$B$8:$B$5000,"&lt;"&amp;DATE(2026,9,1))</f>
        <v/>
      </c>
      <c r="F27" s="437">
        <f>SUMIFS('💸 Expenses'!$F$8:$F$5000,'💸 Expenses'!$E$8:$E$5000,$A27,'💸 Expenses'!$B$8:$B$5000,"&gt;="&amp;DATE(2026,9,1),'💸 Expenses'!$B$8:$B$5000,"&lt;"&amp;DATE(2026,10,1))</f>
        <v/>
      </c>
      <c r="G27" s="433" t="n"/>
      <c r="H27" s="433" t="n"/>
      <c r="I27" s="433" t="n"/>
      <c r="J27" s="433" t="n"/>
      <c r="K27" s="433" t="n"/>
      <c r="L27" s="433" t="n"/>
    </row>
    <row r="28">
      <c r="A28" s="439" t="inlineStr">
        <is>
          <t>Ingredients - Meat &amp; Fish</t>
        </is>
      </c>
      <c r="B28" s="437">
        <f>SUMIFS('💸 Expenses'!$F$8:$F$5000,'💸 Expenses'!$E$8:$E$5000,$A28,'💸 Expenses'!$B$8:$B$5000,"&gt;="&amp;DATE(2026,5,1),'💸 Expenses'!$B$8:$B$5000,"&lt;"&amp;DATE(2026,6,1))</f>
        <v/>
      </c>
      <c r="C28" s="437">
        <f>SUMIFS('💸 Expenses'!$F$8:$F$5000,'💸 Expenses'!$E$8:$E$5000,$A28,'💸 Expenses'!$B$8:$B$5000,"&gt;="&amp;DATE(2026,6,1),'💸 Expenses'!$B$8:$B$5000,"&lt;"&amp;DATE(2026,7,1))</f>
        <v/>
      </c>
      <c r="D28" s="437">
        <f>SUMIFS('💸 Expenses'!$F$8:$F$5000,'💸 Expenses'!$E$8:$E$5000,$A28,'💸 Expenses'!$B$8:$B$5000,"&gt;="&amp;DATE(2026,7,1),'💸 Expenses'!$B$8:$B$5000,"&lt;"&amp;DATE(2026,8,1))</f>
        <v/>
      </c>
      <c r="E28" s="437">
        <f>SUMIFS('💸 Expenses'!$F$8:$F$5000,'💸 Expenses'!$E$8:$E$5000,$A28,'💸 Expenses'!$B$8:$B$5000,"&gt;="&amp;DATE(2026,8,1),'💸 Expenses'!$B$8:$B$5000,"&lt;"&amp;DATE(2026,9,1))</f>
        <v/>
      </c>
      <c r="F28" s="437">
        <f>SUMIFS('💸 Expenses'!$F$8:$F$5000,'💸 Expenses'!$E$8:$E$5000,$A28,'💸 Expenses'!$B$8:$B$5000,"&gt;="&amp;DATE(2026,9,1),'💸 Expenses'!$B$8:$B$5000,"&lt;"&amp;DATE(2026,10,1))</f>
        <v/>
      </c>
      <c r="G28" s="433" t="n"/>
      <c r="H28" s="433" t="n"/>
      <c r="I28" s="433" t="n"/>
      <c r="J28" s="433" t="n"/>
      <c r="K28" s="433" t="n"/>
      <c r="L28" s="433" t="n"/>
    </row>
    <row r="29">
      <c r="A29" s="439" t="inlineStr">
        <is>
          <t>Supplies/Other</t>
        </is>
      </c>
      <c r="B29" s="437">
        <f>SUMIFS('💸 Expenses'!$F$8:$F$5000,'💸 Expenses'!$E$8:$E$5000,$A29,'💸 Expenses'!$B$8:$B$5000,"&gt;="&amp;DATE(2026,5,1),'💸 Expenses'!$B$8:$B$5000,"&lt;"&amp;DATE(2026,6,1))</f>
        <v/>
      </c>
      <c r="C29" s="437">
        <f>SUMIFS('💸 Expenses'!$F$8:$F$5000,'💸 Expenses'!$E$8:$E$5000,$A29,'💸 Expenses'!$B$8:$B$5000,"&gt;="&amp;DATE(2026,6,1),'💸 Expenses'!$B$8:$B$5000,"&lt;"&amp;DATE(2026,7,1))</f>
        <v/>
      </c>
      <c r="D29" s="437">
        <f>SUMIFS('💸 Expenses'!$F$8:$F$5000,'💸 Expenses'!$E$8:$E$5000,$A29,'💸 Expenses'!$B$8:$B$5000,"&gt;="&amp;DATE(2026,7,1),'💸 Expenses'!$B$8:$B$5000,"&lt;"&amp;DATE(2026,8,1))</f>
        <v/>
      </c>
      <c r="E29" s="437">
        <f>SUMIFS('💸 Expenses'!$F$8:$F$5000,'💸 Expenses'!$E$8:$E$5000,$A29,'💸 Expenses'!$B$8:$B$5000,"&gt;="&amp;DATE(2026,8,1),'💸 Expenses'!$B$8:$B$5000,"&lt;"&amp;DATE(2026,9,1))</f>
        <v/>
      </c>
      <c r="F29" s="437">
        <f>SUMIFS('💸 Expenses'!$F$8:$F$5000,'💸 Expenses'!$E$8:$E$5000,$A29,'💸 Expenses'!$B$8:$B$5000,"&gt;="&amp;DATE(2026,9,1),'💸 Expenses'!$B$8:$B$5000,"&lt;"&amp;DATE(2026,10,1))</f>
        <v/>
      </c>
      <c r="G29" s="433" t="n"/>
      <c r="H29" s="433" t="n"/>
      <c r="I29" s="433" t="n"/>
      <c r="J29" s="433" t="n"/>
      <c r="K29" s="433" t="n"/>
      <c r="L29" s="433" t="n"/>
    </row>
    <row r="30">
      <c r="A30" s="439" t="inlineStr">
        <is>
          <t>Maintenance</t>
        </is>
      </c>
      <c r="B30" s="437">
        <f>SUMIFS('💸 Expenses'!$F$8:$F$5000,'💸 Expenses'!$E$8:$E$5000,$A30,'💸 Expenses'!$B$8:$B$5000,"&gt;="&amp;DATE(2026,5,1),'💸 Expenses'!$B$8:$B$5000,"&lt;"&amp;DATE(2026,6,1))</f>
        <v/>
      </c>
      <c r="C30" s="437">
        <f>SUMIFS('💸 Expenses'!$F$8:$F$5000,'💸 Expenses'!$E$8:$E$5000,$A30,'💸 Expenses'!$B$8:$B$5000,"&gt;="&amp;DATE(2026,6,1),'💸 Expenses'!$B$8:$B$5000,"&lt;"&amp;DATE(2026,7,1))</f>
        <v/>
      </c>
      <c r="D30" s="437">
        <f>SUMIFS('💸 Expenses'!$F$8:$F$5000,'💸 Expenses'!$E$8:$E$5000,$A30,'💸 Expenses'!$B$8:$B$5000,"&gt;="&amp;DATE(2026,7,1),'💸 Expenses'!$B$8:$B$5000,"&lt;"&amp;DATE(2026,8,1))</f>
        <v/>
      </c>
      <c r="E30" s="437">
        <f>SUMIFS('💸 Expenses'!$F$8:$F$5000,'💸 Expenses'!$E$8:$E$5000,$A30,'💸 Expenses'!$B$8:$B$5000,"&gt;="&amp;DATE(2026,8,1),'💸 Expenses'!$B$8:$B$5000,"&lt;"&amp;DATE(2026,9,1))</f>
        <v/>
      </c>
      <c r="F30" s="437">
        <f>SUMIFS('💸 Expenses'!$F$8:$F$5000,'💸 Expenses'!$E$8:$E$5000,$A30,'💸 Expenses'!$B$8:$B$5000,"&gt;="&amp;DATE(2026,9,1),'💸 Expenses'!$B$8:$B$5000,"&lt;"&amp;DATE(2026,10,1))</f>
        <v/>
      </c>
      <c r="G30" s="433" t="n"/>
      <c r="H30" s="433" t="n"/>
      <c r="I30" s="433" t="n"/>
      <c r="J30" s="433" t="n"/>
      <c r="K30" s="433" t="n"/>
      <c r="L30" s="433" t="n"/>
    </row>
    <row r="31">
      <c r="A31" s="439" t="inlineStr">
        <is>
          <t>Packaging/Disposables</t>
        </is>
      </c>
      <c r="B31" s="437">
        <f>SUMIFS('💸 Expenses'!$F$8:$F$5000,'💸 Expenses'!$E$8:$E$5000,$A31,'💸 Expenses'!$B$8:$B$5000,"&gt;="&amp;DATE(2026,5,1),'💸 Expenses'!$B$8:$B$5000,"&lt;"&amp;DATE(2026,6,1))</f>
        <v/>
      </c>
      <c r="C31" s="437">
        <f>SUMIFS('💸 Expenses'!$F$8:$F$5000,'💸 Expenses'!$E$8:$E$5000,$A31,'💸 Expenses'!$B$8:$B$5000,"&gt;="&amp;DATE(2026,6,1),'💸 Expenses'!$B$8:$B$5000,"&lt;"&amp;DATE(2026,7,1))</f>
        <v/>
      </c>
      <c r="D31" s="437">
        <f>SUMIFS('💸 Expenses'!$F$8:$F$5000,'💸 Expenses'!$E$8:$E$5000,$A31,'💸 Expenses'!$B$8:$B$5000,"&gt;="&amp;DATE(2026,7,1),'💸 Expenses'!$B$8:$B$5000,"&lt;"&amp;DATE(2026,8,1))</f>
        <v/>
      </c>
      <c r="E31" s="437">
        <f>SUMIFS('💸 Expenses'!$F$8:$F$5000,'💸 Expenses'!$E$8:$E$5000,$A31,'💸 Expenses'!$B$8:$B$5000,"&gt;="&amp;DATE(2026,8,1),'💸 Expenses'!$B$8:$B$5000,"&lt;"&amp;DATE(2026,9,1))</f>
        <v/>
      </c>
      <c r="F31" s="437">
        <f>SUMIFS('💸 Expenses'!$F$8:$F$5000,'💸 Expenses'!$E$8:$E$5000,$A31,'💸 Expenses'!$B$8:$B$5000,"&gt;="&amp;DATE(2026,9,1),'💸 Expenses'!$B$8:$B$5000,"&lt;"&amp;DATE(2026,10,1))</f>
        <v/>
      </c>
      <c r="G31" s="433" t="n"/>
      <c r="H31" s="433" t="n"/>
      <c r="I31" s="433" t="n"/>
      <c r="J31" s="433" t="n"/>
      <c r="K31" s="433" t="n"/>
      <c r="L31" s="433" t="n"/>
    </row>
    <row r="32">
      <c r="A32" s="439" t="inlineStr">
        <is>
          <t>Utilities/Gas</t>
        </is>
      </c>
      <c r="B32" s="437">
        <f>SUMIFS('💸 Expenses'!$F$8:$F$5000,'💸 Expenses'!$E$8:$E$5000,$A32,'💸 Expenses'!$B$8:$B$5000,"&gt;="&amp;DATE(2026,5,1),'💸 Expenses'!$B$8:$B$5000,"&lt;"&amp;DATE(2026,6,1))</f>
        <v/>
      </c>
      <c r="C32" s="437">
        <f>SUMIFS('💸 Expenses'!$F$8:$F$5000,'💸 Expenses'!$E$8:$E$5000,$A32,'💸 Expenses'!$B$8:$B$5000,"&gt;="&amp;DATE(2026,6,1),'💸 Expenses'!$B$8:$B$5000,"&lt;"&amp;DATE(2026,7,1))</f>
        <v/>
      </c>
      <c r="D32" s="437">
        <f>SUMIFS('💸 Expenses'!$F$8:$F$5000,'💸 Expenses'!$E$8:$E$5000,$A32,'💸 Expenses'!$B$8:$B$5000,"&gt;="&amp;DATE(2026,7,1),'💸 Expenses'!$B$8:$B$5000,"&lt;"&amp;DATE(2026,8,1))</f>
        <v/>
      </c>
      <c r="E32" s="437">
        <f>SUMIFS('💸 Expenses'!$F$8:$F$5000,'💸 Expenses'!$E$8:$E$5000,$A32,'💸 Expenses'!$B$8:$B$5000,"&gt;="&amp;DATE(2026,8,1),'💸 Expenses'!$B$8:$B$5000,"&lt;"&amp;DATE(2026,9,1))</f>
        <v/>
      </c>
      <c r="F32" s="437">
        <f>SUMIFS('💸 Expenses'!$F$8:$F$5000,'💸 Expenses'!$E$8:$E$5000,$A32,'💸 Expenses'!$B$8:$B$5000,"&gt;="&amp;DATE(2026,9,1),'💸 Expenses'!$B$8:$B$5000,"&lt;"&amp;DATE(2026,10,1))</f>
        <v/>
      </c>
      <c r="G32" s="433" t="n"/>
      <c r="H32" s="433" t="n"/>
      <c r="I32" s="433" t="n"/>
      <c r="J32" s="433" t="n"/>
      <c r="K32" s="433" t="n"/>
      <c r="L32" s="433" t="n"/>
    </row>
    <row r="33">
      <c r="A33" s="439" t="inlineStr">
        <is>
          <t>Kitchen Supplies</t>
        </is>
      </c>
      <c r="B33" s="437">
        <f>SUMIFS('💸 Expenses'!$F$8:$F$5000,'💸 Expenses'!$E$8:$E$5000,$A33,'💸 Expenses'!$B$8:$B$5000,"&gt;="&amp;DATE(2026,5,1),'💸 Expenses'!$B$8:$B$5000,"&lt;"&amp;DATE(2026,6,1))</f>
        <v/>
      </c>
      <c r="C33" s="437">
        <f>SUMIFS('💸 Expenses'!$F$8:$F$5000,'💸 Expenses'!$E$8:$E$5000,$A33,'💸 Expenses'!$B$8:$B$5000,"&gt;="&amp;DATE(2026,6,1),'💸 Expenses'!$B$8:$B$5000,"&lt;"&amp;DATE(2026,7,1))</f>
        <v/>
      </c>
      <c r="D33" s="437">
        <f>SUMIFS('💸 Expenses'!$F$8:$F$5000,'💸 Expenses'!$E$8:$E$5000,$A33,'💸 Expenses'!$B$8:$B$5000,"&gt;="&amp;DATE(2026,7,1),'💸 Expenses'!$B$8:$B$5000,"&lt;"&amp;DATE(2026,8,1))</f>
        <v/>
      </c>
      <c r="E33" s="437">
        <f>SUMIFS('💸 Expenses'!$F$8:$F$5000,'💸 Expenses'!$E$8:$E$5000,$A33,'💸 Expenses'!$B$8:$B$5000,"&gt;="&amp;DATE(2026,8,1),'💸 Expenses'!$B$8:$B$5000,"&lt;"&amp;DATE(2026,9,1))</f>
        <v/>
      </c>
      <c r="F33" s="437">
        <f>SUMIFS('💸 Expenses'!$F$8:$F$5000,'💸 Expenses'!$E$8:$E$5000,$A33,'💸 Expenses'!$B$8:$B$5000,"&gt;="&amp;DATE(2026,9,1),'💸 Expenses'!$B$8:$B$5000,"&lt;"&amp;DATE(2026,10,1))</f>
        <v/>
      </c>
      <c r="G33" s="433" t="n"/>
      <c r="H33" s="433" t="n"/>
      <c r="I33" s="433" t="n"/>
      <c r="J33" s="433" t="n"/>
      <c r="K33" s="433" t="n"/>
      <c r="L33" s="433" t="n"/>
    </row>
    <row r="34">
      <c r="A34" s="439" t="inlineStr">
        <is>
          <t>Professional Services</t>
        </is>
      </c>
      <c r="B34" s="437">
        <f>SUMIFS('💸 Expenses'!$F$8:$F$5000,'💸 Expenses'!$E$8:$E$5000,$A34,'💸 Expenses'!$B$8:$B$5000,"&gt;="&amp;DATE(2026,5,1),'💸 Expenses'!$B$8:$B$5000,"&lt;"&amp;DATE(2026,6,1))</f>
        <v/>
      </c>
      <c r="C34" s="437">
        <f>SUMIFS('💸 Expenses'!$F$8:$F$5000,'💸 Expenses'!$E$8:$E$5000,$A34,'💸 Expenses'!$B$8:$B$5000,"&gt;="&amp;DATE(2026,6,1),'💸 Expenses'!$B$8:$B$5000,"&lt;"&amp;DATE(2026,7,1))</f>
        <v/>
      </c>
      <c r="D34" s="437">
        <f>SUMIFS('💸 Expenses'!$F$8:$F$5000,'💸 Expenses'!$E$8:$E$5000,$A34,'💸 Expenses'!$B$8:$B$5000,"&gt;="&amp;DATE(2026,7,1),'💸 Expenses'!$B$8:$B$5000,"&lt;"&amp;DATE(2026,8,1))</f>
        <v/>
      </c>
      <c r="E34" s="437">
        <f>SUMIFS('💸 Expenses'!$F$8:$F$5000,'💸 Expenses'!$E$8:$E$5000,$A34,'💸 Expenses'!$B$8:$B$5000,"&gt;="&amp;DATE(2026,8,1),'💸 Expenses'!$B$8:$B$5000,"&lt;"&amp;DATE(2026,9,1))</f>
        <v/>
      </c>
      <c r="F34" s="437">
        <f>SUMIFS('💸 Expenses'!$F$8:$F$5000,'💸 Expenses'!$E$8:$E$5000,$A34,'💸 Expenses'!$B$8:$B$5000,"&gt;="&amp;DATE(2026,9,1),'💸 Expenses'!$B$8:$B$5000,"&lt;"&amp;DATE(2026,10,1))</f>
        <v/>
      </c>
      <c r="G34" s="433" t="n"/>
      <c r="H34" s="433" t="n"/>
      <c r="I34" s="433" t="n"/>
      <c r="J34" s="433" t="n"/>
      <c r="K34" s="433" t="n"/>
      <c r="L34" s="433" t="n"/>
    </row>
    <row r="35">
      <c r="A35" s="439" t="inlineStr">
        <is>
          <t>Ingredients - Fruit</t>
        </is>
      </c>
      <c r="B35" s="437">
        <f>SUMIFS('💸 Expenses'!$F$8:$F$5000,'💸 Expenses'!$E$8:$E$5000,$A35,'💸 Expenses'!$B$8:$B$5000,"&gt;="&amp;DATE(2026,5,1),'💸 Expenses'!$B$8:$B$5000,"&lt;"&amp;DATE(2026,6,1))</f>
        <v/>
      </c>
      <c r="C35" s="437">
        <f>SUMIFS('💸 Expenses'!$F$8:$F$5000,'💸 Expenses'!$E$8:$E$5000,$A35,'💸 Expenses'!$B$8:$B$5000,"&gt;="&amp;DATE(2026,6,1),'💸 Expenses'!$B$8:$B$5000,"&lt;"&amp;DATE(2026,7,1))</f>
        <v/>
      </c>
      <c r="D35" s="437">
        <f>SUMIFS('💸 Expenses'!$F$8:$F$5000,'💸 Expenses'!$E$8:$E$5000,$A35,'💸 Expenses'!$B$8:$B$5000,"&gt;="&amp;DATE(2026,7,1),'💸 Expenses'!$B$8:$B$5000,"&lt;"&amp;DATE(2026,8,1))</f>
        <v/>
      </c>
      <c r="E35" s="437">
        <f>SUMIFS('💸 Expenses'!$F$8:$F$5000,'💸 Expenses'!$E$8:$E$5000,$A35,'💸 Expenses'!$B$8:$B$5000,"&gt;="&amp;DATE(2026,8,1),'💸 Expenses'!$B$8:$B$5000,"&lt;"&amp;DATE(2026,9,1))</f>
        <v/>
      </c>
      <c r="F35" s="437">
        <f>SUMIFS('💸 Expenses'!$F$8:$F$5000,'💸 Expenses'!$E$8:$E$5000,$A35,'💸 Expenses'!$B$8:$B$5000,"&gt;="&amp;DATE(2026,9,1),'💸 Expenses'!$B$8:$B$5000,"&lt;"&amp;DATE(2026,10,1))</f>
        <v/>
      </c>
      <c r="G35" s="433" t="n"/>
      <c r="H35" s="433" t="n"/>
      <c r="I35" s="433" t="n"/>
      <c r="J35" s="433" t="n"/>
      <c r="K35" s="433" t="n"/>
      <c r="L35" s="433" t="n"/>
    </row>
    <row r="36">
      <c r="A36" s="439" t="inlineStr">
        <is>
          <t>Utilities/Internet</t>
        </is>
      </c>
      <c r="B36" s="437">
        <f>SUMIFS('💸 Expenses'!$F$8:$F$5000,'💸 Expenses'!$E$8:$E$5000,$A36,'💸 Expenses'!$B$8:$B$5000,"&gt;="&amp;DATE(2026,5,1),'💸 Expenses'!$B$8:$B$5000,"&lt;"&amp;DATE(2026,6,1))</f>
        <v/>
      </c>
      <c r="C36" s="437">
        <f>SUMIFS('💸 Expenses'!$F$8:$F$5000,'💸 Expenses'!$E$8:$E$5000,$A36,'💸 Expenses'!$B$8:$B$5000,"&gt;="&amp;DATE(2026,6,1),'💸 Expenses'!$B$8:$B$5000,"&lt;"&amp;DATE(2026,7,1))</f>
        <v/>
      </c>
      <c r="D36" s="437">
        <f>SUMIFS('💸 Expenses'!$F$8:$F$5000,'💸 Expenses'!$E$8:$E$5000,$A36,'💸 Expenses'!$B$8:$B$5000,"&gt;="&amp;DATE(2026,7,1),'💸 Expenses'!$B$8:$B$5000,"&lt;"&amp;DATE(2026,8,1))</f>
        <v/>
      </c>
      <c r="E36" s="437">
        <f>SUMIFS('💸 Expenses'!$F$8:$F$5000,'💸 Expenses'!$E$8:$E$5000,$A36,'💸 Expenses'!$B$8:$B$5000,"&gt;="&amp;DATE(2026,8,1),'💸 Expenses'!$B$8:$B$5000,"&lt;"&amp;DATE(2026,9,1))</f>
        <v/>
      </c>
      <c r="F36" s="437">
        <f>SUMIFS('💸 Expenses'!$F$8:$F$5000,'💸 Expenses'!$E$8:$E$5000,$A36,'💸 Expenses'!$B$8:$B$5000,"&gt;="&amp;DATE(2026,9,1),'💸 Expenses'!$B$8:$B$5000,"&lt;"&amp;DATE(2026,10,1))</f>
        <v/>
      </c>
      <c r="G36" s="433" t="n"/>
      <c r="H36" s="433" t="n"/>
      <c r="I36" s="433" t="n"/>
      <c r="J36" s="433" t="n"/>
      <c r="K36" s="433" t="n"/>
      <c r="L36" s="433" t="n"/>
    </row>
    <row r="37">
      <c r="A37" s="439" t="inlineStr">
        <is>
          <t>Office Supplies</t>
        </is>
      </c>
      <c r="B37" s="437">
        <f>SUMIFS('💸 Expenses'!$F$8:$F$5000,'💸 Expenses'!$E$8:$E$5000,$A37,'💸 Expenses'!$B$8:$B$5000,"&gt;="&amp;DATE(2026,5,1),'💸 Expenses'!$B$8:$B$5000,"&lt;"&amp;DATE(2026,6,1))</f>
        <v/>
      </c>
      <c r="C37" s="437">
        <f>SUMIFS('💸 Expenses'!$F$8:$F$5000,'💸 Expenses'!$E$8:$E$5000,$A37,'💸 Expenses'!$B$8:$B$5000,"&gt;="&amp;DATE(2026,6,1),'💸 Expenses'!$B$8:$B$5000,"&lt;"&amp;DATE(2026,7,1))</f>
        <v/>
      </c>
      <c r="D37" s="437">
        <f>SUMIFS('💸 Expenses'!$F$8:$F$5000,'💸 Expenses'!$E$8:$E$5000,$A37,'💸 Expenses'!$B$8:$B$5000,"&gt;="&amp;DATE(2026,7,1),'💸 Expenses'!$B$8:$B$5000,"&lt;"&amp;DATE(2026,8,1))</f>
        <v/>
      </c>
      <c r="E37" s="437">
        <f>SUMIFS('💸 Expenses'!$F$8:$F$5000,'💸 Expenses'!$E$8:$E$5000,$A37,'💸 Expenses'!$B$8:$B$5000,"&gt;="&amp;DATE(2026,8,1),'💸 Expenses'!$B$8:$B$5000,"&lt;"&amp;DATE(2026,9,1))</f>
        <v/>
      </c>
      <c r="F37" s="437">
        <f>SUMIFS('💸 Expenses'!$F$8:$F$5000,'💸 Expenses'!$E$8:$E$5000,$A37,'💸 Expenses'!$B$8:$B$5000,"&gt;="&amp;DATE(2026,9,1),'💸 Expenses'!$B$8:$B$5000,"&lt;"&amp;DATE(2026,10,1))</f>
        <v/>
      </c>
      <c r="G37" s="433" t="n"/>
      <c r="H37" s="433" t="n"/>
      <c r="I37" s="433" t="n"/>
      <c r="J37" s="433" t="n"/>
      <c r="K37" s="433" t="n"/>
      <c r="L37" s="433" t="n"/>
    </row>
    <row r="38">
      <c r="A38" s="439" t="inlineStr">
        <is>
          <t>Ingredients - Other</t>
        </is>
      </c>
      <c r="B38" s="437">
        <f>SUMIFS('💸 Expenses'!$F$8:$F$5000,'💸 Expenses'!$E$8:$E$5000,$A38,'💸 Expenses'!$B$8:$B$5000,"&gt;="&amp;DATE(2026,5,1),'💸 Expenses'!$B$8:$B$5000,"&lt;"&amp;DATE(2026,6,1))</f>
        <v/>
      </c>
      <c r="C38" s="437">
        <f>SUMIFS('💸 Expenses'!$F$8:$F$5000,'💸 Expenses'!$E$8:$E$5000,$A38,'💸 Expenses'!$B$8:$B$5000,"&gt;="&amp;DATE(2026,6,1),'💸 Expenses'!$B$8:$B$5000,"&lt;"&amp;DATE(2026,7,1))</f>
        <v/>
      </c>
      <c r="D38" s="437">
        <f>SUMIFS('💸 Expenses'!$F$8:$F$5000,'💸 Expenses'!$E$8:$E$5000,$A38,'💸 Expenses'!$B$8:$B$5000,"&gt;="&amp;DATE(2026,7,1),'💸 Expenses'!$B$8:$B$5000,"&lt;"&amp;DATE(2026,8,1))</f>
        <v/>
      </c>
      <c r="E38" s="437">
        <f>SUMIFS('💸 Expenses'!$F$8:$F$5000,'💸 Expenses'!$E$8:$E$5000,$A38,'💸 Expenses'!$B$8:$B$5000,"&gt;="&amp;DATE(2026,8,1),'💸 Expenses'!$B$8:$B$5000,"&lt;"&amp;DATE(2026,9,1))</f>
        <v/>
      </c>
      <c r="F38" s="437">
        <f>SUMIFS('💸 Expenses'!$F$8:$F$5000,'💸 Expenses'!$E$8:$E$5000,$A38,'💸 Expenses'!$B$8:$B$5000,"&gt;="&amp;DATE(2026,9,1),'💸 Expenses'!$B$8:$B$5000,"&lt;"&amp;DATE(2026,10,1))</f>
        <v/>
      </c>
      <c r="G38" s="433" t="n"/>
      <c r="H38" s="433" t="n"/>
      <c r="I38" s="433" t="n"/>
      <c r="J38" s="433" t="n"/>
      <c r="K38" s="433" t="n"/>
      <c r="L38" s="433" t="n"/>
    </row>
    <row r="39">
      <c r="A39" s="439" t="inlineStr">
        <is>
          <t>Software/Subscription</t>
        </is>
      </c>
      <c r="B39" s="437">
        <f>SUMIFS('💸 Expenses'!$F$8:$F$5000,'💸 Expenses'!$E$8:$E$5000,$A39,'💸 Expenses'!$B$8:$B$5000,"&gt;="&amp;DATE(2026,5,1),'💸 Expenses'!$B$8:$B$5000,"&lt;"&amp;DATE(2026,6,1))</f>
        <v/>
      </c>
      <c r="C39" s="437">
        <f>SUMIFS('💸 Expenses'!$F$8:$F$5000,'💸 Expenses'!$E$8:$E$5000,$A39,'💸 Expenses'!$B$8:$B$5000,"&gt;="&amp;DATE(2026,6,1),'💸 Expenses'!$B$8:$B$5000,"&lt;"&amp;DATE(2026,7,1))</f>
        <v/>
      </c>
      <c r="D39" s="437">
        <f>SUMIFS('💸 Expenses'!$F$8:$F$5000,'💸 Expenses'!$E$8:$E$5000,$A39,'💸 Expenses'!$B$8:$B$5000,"&gt;="&amp;DATE(2026,7,1),'💸 Expenses'!$B$8:$B$5000,"&lt;"&amp;DATE(2026,8,1))</f>
        <v/>
      </c>
      <c r="E39" s="437">
        <f>SUMIFS('💸 Expenses'!$F$8:$F$5000,'💸 Expenses'!$E$8:$E$5000,$A39,'💸 Expenses'!$B$8:$B$5000,"&gt;="&amp;DATE(2026,8,1),'💸 Expenses'!$B$8:$B$5000,"&lt;"&amp;DATE(2026,9,1))</f>
        <v/>
      </c>
      <c r="F39" s="437">
        <f>SUMIFS('💸 Expenses'!$F$8:$F$5000,'💸 Expenses'!$E$8:$E$5000,$A39,'💸 Expenses'!$B$8:$B$5000,"&gt;="&amp;DATE(2026,9,1),'💸 Expenses'!$B$8:$B$5000,"&lt;"&amp;DATE(2026,10,1))</f>
        <v/>
      </c>
      <c r="G39" s="433" t="n"/>
      <c r="H39" s="433" t="n"/>
      <c r="I39" s="433" t="n"/>
      <c r="J39" s="433" t="n"/>
      <c r="K39" s="433" t="n"/>
      <c r="L39" s="433" t="n"/>
    </row>
    <row r="40">
      <c r="A40" s="439" t="inlineStr">
        <is>
          <t>Staff - Advance</t>
        </is>
      </c>
      <c r="B40" s="437">
        <f>SUMIFS('💸 Expenses'!$F$8:$F$5000,'💸 Expenses'!$E$8:$E$5000,$A40,'💸 Expenses'!$B$8:$B$5000,"&gt;="&amp;DATE(2026,5,1),'💸 Expenses'!$B$8:$B$5000,"&lt;"&amp;DATE(2026,6,1))</f>
        <v/>
      </c>
      <c r="C40" s="437">
        <f>SUMIFS('💸 Expenses'!$F$8:$F$5000,'💸 Expenses'!$E$8:$E$5000,$A40,'💸 Expenses'!$B$8:$B$5000,"&gt;="&amp;DATE(2026,6,1),'💸 Expenses'!$B$8:$B$5000,"&lt;"&amp;DATE(2026,7,1))</f>
        <v/>
      </c>
      <c r="D40" s="437">
        <f>SUMIFS('💸 Expenses'!$F$8:$F$5000,'💸 Expenses'!$E$8:$E$5000,$A40,'💸 Expenses'!$B$8:$B$5000,"&gt;="&amp;DATE(2026,7,1),'💸 Expenses'!$B$8:$B$5000,"&lt;"&amp;DATE(2026,8,1))</f>
        <v/>
      </c>
      <c r="E40" s="437">
        <f>SUMIFS('💸 Expenses'!$F$8:$F$5000,'💸 Expenses'!$E$8:$E$5000,$A40,'💸 Expenses'!$B$8:$B$5000,"&gt;="&amp;DATE(2026,8,1),'💸 Expenses'!$B$8:$B$5000,"&lt;"&amp;DATE(2026,9,1))</f>
        <v/>
      </c>
      <c r="F40" s="437">
        <f>SUMIFS('💸 Expenses'!$F$8:$F$5000,'💸 Expenses'!$E$8:$E$5000,$A40,'💸 Expenses'!$B$8:$B$5000,"&gt;="&amp;DATE(2026,9,1),'💸 Expenses'!$B$8:$B$5000,"&lt;"&amp;DATE(2026,10,1))</f>
        <v/>
      </c>
      <c r="G40" s="433" t="n"/>
      <c r="H40" s="433" t="n"/>
      <c r="I40" s="433" t="n"/>
      <c r="J40" s="433" t="n"/>
      <c r="K40" s="433" t="n"/>
      <c r="L40" s="433" t="n"/>
    </row>
    <row r="41">
      <c r="A41" s="439" t="inlineStr">
        <is>
          <t>Ingredients - Eggs</t>
        </is>
      </c>
      <c r="B41" s="437">
        <f>SUMIFS('💸 Expenses'!$F$8:$F$5000,'💸 Expenses'!$E$8:$E$5000,$A41,'💸 Expenses'!$B$8:$B$5000,"&gt;="&amp;DATE(2026,5,1),'💸 Expenses'!$B$8:$B$5000,"&lt;"&amp;DATE(2026,6,1))</f>
        <v/>
      </c>
      <c r="C41" s="437">
        <f>SUMIFS('💸 Expenses'!$F$8:$F$5000,'💸 Expenses'!$E$8:$E$5000,$A41,'💸 Expenses'!$B$8:$B$5000,"&gt;="&amp;DATE(2026,6,1),'💸 Expenses'!$B$8:$B$5000,"&lt;"&amp;DATE(2026,7,1))</f>
        <v/>
      </c>
      <c r="D41" s="437">
        <f>SUMIFS('💸 Expenses'!$F$8:$F$5000,'💸 Expenses'!$E$8:$E$5000,$A41,'💸 Expenses'!$B$8:$B$5000,"&gt;="&amp;DATE(2026,7,1),'💸 Expenses'!$B$8:$B$5000,"&lt;"&amp;DATE(2026,8,1))</f>
        <v/>
      </c>
      <c r="E41" s="437">
        <f>SUMIFS('💸 Expenses'!$F$8:$F$5000,'💸 Expenses'!$E$8:$E$5000,$A41,'💸 Expenses'!$B$8:$B$5000,"&gt;="&amp;DATE(2026,8,1),'💸 Expenses'!$B$8:$B$5000,"&lt;"&amp;DATE(2026,9,1))</f>
        <v/>
      </c>
      <c r="F41" s="437">
        <f>SUMIFS('💸 Expenses'!$F$8:$F$5000,'💸 Expenses'!$E$8:$E$5000,$A41,'💸 Expenses'!$B$8:$B$5000,"&gt;="&amp;DATE(2026,9,1),'💸 Expenses'!$B$8:$B$5000,"&lt;"&amp;DATE(2026,10,1))</f>
        <v/>
      </c>
      <c r="G41" s="433" t="n"/>
      <c r="H41" s="433" t="n"/>
      <c r="I41" s="433" t="n"/>
      <c r="J41" s="433" t="n"/>
      <c r="K41" s="433" t="n"/>
      <c r="L41" s="433" t="n"/>
    </row>
    <row r="42">
      <c r="A42" s="439" t="inlineStr">
        <is>
          <t>Ingredients - Desserts</t>
        </is>
      </c>
      <c r="B42" s="437">
        <f>SUMIFS('💸 Expenses'!$F$8:$F$5000,'💸 Expenses'!$E$8:$E$5000,$A42,'💸 Expenses'!$B$8:$B$5000,"&gt;="&amp;DATE(2026,5,1),'💸 Expenses'!$B$8:$B$5000,"&lt;"&amp;DATE(2026,6,1))</f>
        <v/>
      </c>
      <c r="C42" s="437">
        <f>SUMIFS('💸 Expenses'!$F$8:$F$5000,'💸 Expenses'!$E$8:$E$5000,$A42,'💸 Expenses'!$B$8:$B$5000,"&gt;="&amp;DATE(2026,6,1),'💸 Expenses'!$B$8:$B$5000,"&lt;"&amp;DATE(2026,7,1))</f>
        <v/>
      </c>
      <c r="D42" s="437">
        <f>SUMIFS('💸 Expenses'!$F$8:$F$5000,'💸 Expenses'!$E$8:$E$5000,$A42,'💸 Expenses'!$B$8:$B$5000,"&gt;="&amp;DATE(2026,7,1),'💸 Expenses'!$B$8:$B$5000,"&lt;"&amp;DATE(2026,8,1))</f>
        <v/>
      </c>
      <c r="E42" s="437">
        <f>SUMIFS('💸 Expenses'!$F$8:$F$5000,'💸 Expenses'!$E$8:$E$5000,$A42,'💸 Expenses'!$B$8:$B$5000,"&gt;="&amp;DATE(2026,8,1),'💸 Expenses'!$B$8:$B$5000,"&lt;"&amp;DATE(2026,9,1))</f>
        <v/>
      </c>
      <c r="F42" s="437">
        <f>SUMIFS('💸 Expenses'!$F$8:$F$5000,'💸 Expenses'!$E$8:$E$5000,$A42,'💸 Expenses'!$B$8:$B$5000,"&gt;="&amp;DATE(2026,9,1),'💸 Expenses'!$B$8:$B$5000,"&lt;"&amp;DATE(2026,10,1))</f>
        <v/>
      </c>
      <c r="G42" s="433" t="n"/>
      <c r="H42" s="433" t="n"/>
      <c r="I42" s="433" t="n"/>
      <c r="J42" s="433" t="n"/>
      <c r="K42" s="433" t="n"/>
      <c r="L42" s="433" t="n"/>
    </row>
    <row r="43">
      <c r="A43" s="439" t="inlineStr">
        <is>
          <t>Staff - Propinas</t>
        </is>
      </c>
      <c r="B43" s="437">
        <f>SUMIFS('💸 Expenses'!$F$8:$F$5000,'💸 Expenses'!$E$8:$E$5000,$A43,'💸 Expenses'!$B$8:$B$5000,"&gt;="&amp;DATE(2026,5,1),'💸 Expenses'!$B$8:$B$5000,"&lt;"&amp;DATE(2026,6,1))</f>
        <v/>
      </c>
      <c r="C43" s="437">
        <f>SUMIFS('💸 Expenses'!$F$8:$F$5000,'💸 Expenses'!$E$8:$E$5000,$A43,'💸 Expenses'!$B$8:$B$5000,"&gt;="&amp;DATE(2026,6,1),'💸 Expenses'!$B$8:$B$5000,"&lt;"&amp;DATE(2026,7,1))</f>
        <v/>
      </c>
      <c r="D43" s="437">
        <f>SUMIFS('💸 Expenses'!$F$8:$F$5000,'💸 Expenses'!$E$8:$E$5000,$A43,'💸 Expenses'!$B$8:$B$5000,"&gt;="&amp;DATE(2026,7,1),'💸 Expenses'!$B$8:$B$5000,"&lt;"&amp;DATE(2026,8,1))</f>
        <v/>
      </c>
      <c r="E43" s="437">
        <f>SUMIFS('💸 Expenses'!$F$8:$F$5000,'💸 Expenses'!$E$8:$E$5000,$A43,'💸 Expenses'!$B$8:$B$5000,"&gt;="&amp;DATE(2026,8,1),'💸 Expenses'!$B$8:$B$5000,"&lt;"&amp;DATE(2026,9,1))</f>
        <v/>
      </c>
      <c r="F43" s="437">
        <f>SUMIFS('💸 Expenses'!$F$8:$F$5000,'💸 Expenses'!$E$8:$E$5000,$A43,'💸 Expenses'!$B$8:$B$5000,"&gt;="&amp;DATE(2026,9,1),'💸 Expenses'!$B$8:$B$5000,"&lt;"&amp;DATE(2026,10,1))</f>
        <v/>
      </c>
      <c r="G43" s="433" t="n"/>
      <c r="H43" s="433" t="n"/>
      <c r="I43" s="433" t="n"/>
      <c r="J43" s="433" t="n"/>
      <c r="K43" s="433" t="n"/>
      <c r="L43" s="433" t="n"/>
    </row>
    <row r="44">
      <c r="A44" s="436" t="inlineStr">
        <is>
          <t>TOTAL EXPENSES</t>
        </is>
      </c>
      <c r="B44" s="438">
        <f>SUMIFS('💸 Expenses'!$F$8:$F$5000,'💸 Expenses'!$B$8:$B$5000,"&gt;="&amp;DATE(2026,5,1),'💸 Expenses'!$B$8:$B$5000,"&lt;"&amp;DATE(2026,6,1))</f>
        <v/>
      </c>
      <c r="C44" s="438">
        <f>SUMIFS('💸 Expenses'!$F$8:$F$5000,'💸 Expenses'!$B$8:$B$5000,"&gt;="&amp;DATE(2026,6,1),'💸 Expenses'!$B$8:$B$5000,"&lt;"&amp;DATE(2026,7,1))</f>
        <v/>
      </c>
      <c r="D44" s="438">
        <f>SUMIFS('💸 Expenses'!$F$8:$F$5000,'💸 Expenses'!$B$8:$B$5000,"&gt;="&amp;DATE(2026,7,1),'💸 Expenses'!$B$8:$B$5000,"&lt;"&amp;DATE(2026,8,1))</f>
        <v/>
      </c>
      <c r="E44" s="438">
        <f>SUMIFS('💸 Expenses'!$F$8:$F$5000,'💸 Expenses'!$B$8:$B$5000,"&gt;="&amp;DATE(2026,8,1),'💸 Expenses'!$B$8:$B$5000,"&lt;"&amp;DATE(2026,9,1))</f>
        <v/>
      </c>
      <c r="F44" s="438">
        <f>SUMIFS('💸 Expenses'!$F$8:$F$5000,'💸 Expenses'!$B$8:$B$5000,"&gt;="&amp;DATE(2026,9,1),'💸 Expenses'!$B$8:$B$5000,"&lt;"&amp;DATE(2026,10,1))</f>
        <v/>
      </c>
      <c r="G44" s="433" t="n"/>
      <c r="H44" s="433" t="n"/>
      <c r="I44" s="433" t="n"/>
      <c r="J44" s="433" t="n"/>
      <c r="K44" s="433" t="n"/>
      <c r="L44" s="433" t="n"/>
    </row>
    <row r="45">
      <c r="A45" s="436" t="inlineStr">
        <is>
          <t>NET PROFIT / LOSS</t>
        </is>
      </c>
      <c r="B45" s="438">
        <f>B4-B44</f>
        <v/>
      </c>
      <c r="C45" s="438">
        <f>C4-C44</f>
        <v/>
      </c>
      <c r="D45" s="438">
        <f>D4-D44</f>
        <v/>
      </c>
      <c r="E45" s="438">
        <f>E4-E44</f>
        <v/>
      </c>
      <c r="F45" s="438">
        <f>F4-F44</f>
        <v/>
      </c>
      <c r="G45" s="433" t="n"/>
      <c r="H45" s="433" t="n"/>
      <c r="I45" s="433" t="n"/>
      <c r="J45" s="433" t="n"/>
      <c r="K45" s="433" t="n"/>
      <c r="L45" s="433" t="n"/>
    </row>
    <row r="46">
      <c r="A46" s="433" t="n"/>
      <c r="B46" s="433" t="n"/>
      <c r="C46" s="433" t="n"/>
      <c r="D46" s="433" t="n"/>
      <c r="E46" s="433" t="n"/>
      <c r="F46" s="433" t="n"/>
      <c r="G46" s="433" t="n"/>
      <c r="H46" s="433" t="n"/>
      <c r="I46" s="433" t="n"/>
      <c r="J46" s="433" t="n"/>
      <c r="K46" s="433" t="n"/>
      <c r="L46" s="433" t="n"/>
    </row>
    <row r="47">
      <c r="A47" s="433" t="n"/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</row>
    <row r="48">
      <c r="A48" s="433" t="n"/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</row>
    <row r="49">
      <c r="A49" s="433" t="n"/>
      <c r="B49" s="433" t="n"/>
      <c r="C49" s="433" t="n"/>
      <c r="D49" s="433" t="n"/>
      <c r="E49" s="433" t="n"/>
      <c r="F49" s="433" t="n"/>
      <c r="G49" s="433" t="n"/>
      <c r="H49" s="433" t="n"/>
      <c r="I49" s="433" t="n"/>
      <c r="J49" s="433" t="n"/>
      <c r="K49" s="433" t="n"/>
      <c r="L49" s="433" t="n"/>
    </row>
    <row r="50">
      <c r="A50" s="433" t="n"/>
      <c r="B50" s="433" t="n"/>
      <c r="C50" s="433" t="n"/>
      <c r="D50" s="433" t="n"/>
      <c r="E50" s="433" t="n"/>
      <c r="F50" s="433" t="n"/>
      <c r="G50" s="433" t="n"/>
      <c r="H50" s="433" t="n"/>
      <c r="I50" s="433" t="n"/>
      <c r="J50" s="433" t="n"/>
      <c r="K50" s="433" t="n"/>
      <c r="L50" s="433" t="n"/>
    </row>
    <row r="51">
      <c r="A51" s="433" t="n"/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</row>
    <row r="52">
      <c r="A52" s="433" t="n"/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</row>
    <row r="53">
      <c r="A53" s="433" t="n"/>
      <c r="B53" s="433" t="n"/>
      <c r="C53" s="433" t="n"/>
      <c r="D53" s="433" t="n"/>
      <c r="E53" s="433" t="n"/>
      <c r="F53" s="433" t="n"/>
      <c r="G53" s="433" t="n"/>
      <c r="H53" s="433" t="n"/>
      <c r="I53" s="433" t="n"/>
      <c r="J53" s="433" t="n"/>
      <c r="K53" s="433" t="n"/>
      <c r="L53" s="433" t="n"/>
    </row>
    <row r="54">
      <c r="A54" s="433" t="n"/>
      <c r="B54" s="433" t="n"/>
      <c r="C54" s="433" t="n"/>
      <c r="D54" s="433" t="n"/>
      <c r="E54" s="433" t="n"/>
      <c r="F54" s="433" t="n"/>
      <c r="G54" s="433" t="n"/>
      <c r="H54" s="433" t="n"/>
      <c r="I54" s="433" t="n"/>
      <c r="J54" s="433" t="n"/>
      <c r="K54" s="433" t="n"/>
      <c r="L54" s="433" t="n"/>
    </row>
    <row r="55">
      <c r="A55" s="433" t="n"/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</row>
    <row r="56">
      <c r="A56" s="433" t="n"/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</row>
    <row r="57">
      <c r="A57" s="433" t="n"/>
      <c r="B57" s="433" t="n"/>
      <c r="C57" s="433" t="n"/>
      <c r="D57" s="433" t="n"/>
      <c r="E57" s="433" t="n"/>
      <c r="F57" s="433" t="n"/>
      <c r="G57" s="433" t="n"/>
      <c r="H57" s="433" t="n"/>
      <c r="I57" s="433" t="n"/>
      <c r="J57" s="433" t="n"/>
      <c r="K57" s="433" t="n"/>
      <c r="L57" s="433" t="n"/>
    </row>
    <row r="58">
      <c r="A58" s="433" t="n"/>
      <c r="B58" s="433" t="n"/>
      <c r="C58" s="433" t="n"/>
      <c r="D58" s="433" t="n"/>
      <c r="E58" s="433" t="n"/>
      <c r="F58" s="433" t="n"/>
      <c r="G58" s="433" t="n"/>
      <c r="H58" s="433" t="n"/>
      <c r="I58" s="433" t="n"/>
      <c r="J58" s="433" t="n"/>
      <c r="K58" s="433" t="n"/>
      <c r="L58" s="433" t="n"/>
    </row>
    <row r="59">
      <c r="A59" s="433" t="n"/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</row>
    <row r="60">
      <c r="A60" s="433" t="n"/>
      <c r="B60" s="433" t="n"/>
      <c r="C60" s="433" t="n"/>
      <c r="D60" s="433" t="n"/>
      <c r="E60" s="433" t="n"/>
      <c r="F60" s="433" t="n"/>
      <c r="G60" s="433" t="n"/>
      <c r="H60" s="433" t="n"/>
      <c r="I60" s="433" t="n"/>
      <c r="J60" s="433" t="n"/>
      <c r="K60" s="433" t="n"/>
      <c r="L60" s="433" t="n"/>
    </row>
  </sheetData>
  <mergeCells count="1">
    <mergeCell ref="A1:F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tabSelected="0"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8"/>
  <sheetViews>
    <sheetView tabSelected="0"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31" min="1" max="1"/>
    <col width="46" customWidth="1" style="331" min="2" max="2"/>
    <col width="18" customWidth="1" style="331" min="3" max="4"/>
    <col width="22" customWidth="1" style="331" min="5" max="5"/>
    <col width="18" customWidth="1" style="331" min="6" max="6"/>
    <col width="22" customWidth="1" style="331" min="7" max="7"/>
    <col width="40" customWidth="1" style="331" min="8" max="8"/>
  </cols>
  <sheetData>
    <row r="1" ht="25.95" customHeight="1" s="331">
      <c r="A1" s="426" t="inlineStr">
        <is>
          <t>LOHITH — OWNER LEDGER &amp; PERSONAL BALANCE TRACKER</t>
        </is>
      </c>
    </row>
    <row r="3" ht="30" customHeight="1" s="331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231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231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231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231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231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231" t="n">
        <v>46234</v>
      </c>
      <c r="B53" s="232" t="inlineStr">
        <is>
          <t>Transfer-to-me (customer payment 31-Jul)</t>
        </is>
      </c>
      <c r="C53" s="232" t="inlineStr">
        <is>
          <t>Transfer Received</t>
        </is>
      </c>
      <c r="D53" s="232" t="n"/>
      <c r="E53" s="233" t="n">
        <v>390</v>
      </c>
      <c r="F53" s="233">
        <f>IFERROR(F52+D53-E53,0)</f>
        <v/>
      </c>
      <c r="G53" s="232" t="inlineStr">
        <is>
          <t>✅ Received</t>
        </is>
      </c>
      <c r="H53" s="232" t="inlineStr">
        <is>
          <t>Customer paid Lohith personal acct</t>
        </is>
      </c>
    </row>
    <row r="54">
      <c r="A54" s="231" t="n">
        <v>46234</v>
      </c>
      <c r="B54" s="232" t="inlineStr">
        <is>
          <t>Oxxo Arroz $78 (paid by Lohith)</t>
        </is>
      </c>
      <c r="C54" s="232" t="inlineStr">
        <is>
          <t>Expense - Personal</t>
        </is>
      </c>
      <c r="D54" s="232" t="n">
        <v>78</v>
      </c>
      <c r="E54" s="233" t="n"/>
      <c r="F54" s="233">
        <f>IFERROR(F53+D54-E54,0)</f>
        <v/>
      </c>
      <c r="G54" s="232" t="inlineStr">
        <is>
          <t>⏳ Reimburse</t>
        </is>
      </c>
      <c r="H54" s="232" t="inlineStr">
        <is>
          <t>Fronted from own pocket; excluded from till via cash_adjust</t>
        </is>
      </c>
    </row>
    <row r="55">
      <c r="A55" s="231" t="n">
        <v>46235</v>
      </c>
      <c r="B55" s="232" t="inlineStr">
        <is>
          <t>Transfer-to-me (customer payment 01-Aug)</t>
        </is>
      </c>
      <c r="C55" s="232" t="inlineStr">
        <is>
          <t>Transfer Received</t>
        </is>
      </c>
      <c r="D55" s="232" t="n"/>
      <c r="E55" s="233" t="n">
        <v>225</v>
      </c>
      <c r="F55" s="233">
        <f>IFERROR(F54+D55-E55,0)</f>
        <v/>
      </c>
      <c r="G55" s="232" t="inlineStr">
        <is>
          <t>✅ Received</t>
        </is>
      </c>
      <c r="H55" s="232" t="inlineStr">
        <is>
          <t>Customer paid Lohith personal acct</t>
        </is>
      </c>
    </row>
    <row r="56">
      <c r="A56" s="430" t="n">
        <v>46237</v>
      </c>
      <c r="B56" s="232" t="inlineStr">
        <is>
          <t>Pollo $1,008 (paid by Lohith)</t>
        </is>
      </c>
      <c r="C56" s="232" t="inlineStr">
        <is>
          <t>Expense - Personal</t>
        </is>
      </c>
      <c r="D56" s="232" t="n">
        <v>1008</v>
      </c>
      <c r="E56" s="233" t="n"/>
      <c r="F56" s="233">
        <f>IFERROR(F55+D56-E56,0)</f>
        <v/>
      </c>
      <c r="G56" s="232" t="inlineStr">
        <is>
          <t>⏳ Reimburse</t>
        </is>
      </c>
      <c r="H56" s="232" t="inlineStr">
        <is>
          <t>Fronted from own pocket; excluded from till via cash_adjust</t>
        </is>
      </c>
    </row>
    <row r="57">
      <c r="A57" s="430" t="n">
        <v>46239</v>
      </c>
      <c r="B57" s="232" t="inlineStr">
        <is>
          <t>Pollo $285 (paid by Lohith)</t>
        </is>
      </c>
      <c r="C57" s="232" t="inlineStr">
        <is>
          <t>Expense - Personal</t>
        </is>
      </c>
      <c r="D57" s="232" t="n">
        <v>285</v>
      </c>
      <c r="E57" s="233" t="n"/>
      <c r="F57" s="233">
        <f>IFERROR(F56+D57-E57,0)</f>
        <v/>
      </c>
      <c r="G57" s="232" t="inlineStr">
        <is>
          <t>⏳ Reimburse</t>
        </is>
      </c>
      <c r="H57" s="232" t="inlineStr">
        <is>
          <t>Fronted from own pocket; excluded from till via cash_adjust</t>
        </is>
      </c>
    </row>
    <row r="58">
      <c r="A58" s="430" t="n">
        <v>46240</v>
      </c>
      <c r="B58" s="232" t="inlineStr">
        <is>
          <t>Transfer-to-me (customer payment 06-Aug)</t>
        </is>
      </c>
      <c r="C58" s="232" t="inlineStr">
        <is>
          <t>Transfer Received</t>
        </is>
      </c>
      <c r="D58" s="232" t="n"/>
      <c r="E58" s="233" t="n">
        <v>130</v>
      </c>
      <c r="F58" s="233">
        <f>IFERROR(F57+D58-E58,0)</f>
        <v/>
      </c>
      <c r="G58" s="232" t="inlineStr">
        <is>
          <t>✅ Received</t>
        </is>
      </c>
      <c r="H58" s="232" t="inlineStr">
        <is>
          <t>Customer paid Lohith personal acct</t>
        </is>
      </c>
    </row>
    <row r="59">
      <c r="A59" s="430" t="n">
        <v>46240</v>
      </c>
      <c r="B59" s="232" t="inlineStr">
        <is>
          <t>Pollo $319 (paid by Lohith)</t>
        </is>
      </c>
      <c r="C59" s="232" t="inlineStr">
        <is>
          <t>Expense - Personal</t>
        </is>
      </c>
      <c r="D59" s="232" t="n">
        <v>319</v>
      </c>
      <c r="E59" s="233" t="n"/>
      <c r="F59" s="233">
        <f>IFERROR(F58+D59-E59,0)</f>
        <v/>
      </c>
      <c r="G59" s="232" t="inlineStr">
        <is>
          <t>⏳ Reimburse</t>
        </is>
      </c>
      <c r="H59" s="232" t="inlineStr">
        <is>
          <t>Fronted from own pocket; excluded from till via cash_adjust</t>
        </is>
      </c>
    </row>
    <row r="60">
      <c r="A60" s="430" t="n">
        <v>46241</v>
      </c>
      <c r="B60" s="232" t="inlineStr">
        <is>
          <t>Transfer-to-me (customer payment 07-Aug)</t>
        </is>
      </c>
      <c r="C60" s="232" t="inlineStr">
        <is>
          <t>Transfer Received</t>
        </is>
      </c>
      <c r="D60" s="232" t="n"/>
      <c r="E60" s="233" t="n">
        <v>130</v>
      </c>
      <c r="F60" s="233">
        <f>IFERROR(F59+D60-E60,0)</f>
        <v/>
      </c>
      <c r="G60" s="232" t="inlineStr">
        <is>
          <t>✅ Received</t>
        </is>
      </c>
      <c r="H60" s="232" t="inlineStr">
        <is>
          <t>Customer paid Lohith personal acct</t>
        </is>
      </c>
    </row>
    <row r="61">
      <c r="A61" s="430" t="n">
        <v>46242</v>
      </c>
      <c r="B61" s="232" t="inlineStr">
        <is>
          <t>Transfer-to-me (customer payment 08-Aug)</t>
        </is>
      </c>
      <c r="C61" s="232" t="inlineStr">
        <is>
          <t>Transfer Received</t>
        </is>
      </c>
      <c r="D61" s="232" t="n"/>
      <c r="E61" s="233" t="n">
        <v>135</v>
      </c>
      <c r="F61" s="233">
        <f>IFERROR(F60+D61-E61,0)</f>
        <v/>
      </c>
      <c r="G61" s="232" t="inlineStr">
        <is>
          <t>✅ Received</t>
        </is>
      </c>
      <c r="H61" s="232" t="inlineStr">
        <is>
          <t>Customer paid Lohith personal acct</t>
        </is>
      </c>
    </row>
    <row r="62">
      <c r="A62" s="430" t="n">
        <v>46242</v>
      </c>
      <c r="B62" s="232" t="inlineStr">
        <is>
          <t>Pollo $1,028 (paid by Lohith)</t>
        </is>
      </c>
      <c r="C62" s="232" t="inlineStr">
        <is>
          <t>Expense - Personal</t>
        </is>
      </c>
      <c r="D62" s="232" t="n">
        <v>1028</v>
      </c>
      <c r="E62" s="233" t="n"/>
      <c r="F62" s="233">
        <f>IFERROR(F61+D62-E62,0)</f>
        <v/>
      </c>
      <c r="G62" s="232" t="inlineStr">
        <is>
          <t>⏳ Reimburse</t>
        </is>
      </c>
      <c r="H62" s="232" t="inlineStr">
        <is>
          <t>Fronted from own pocket; excluded from till via cash_adjust</t>
        </is>
      </c>
    </row>
    <row r="63">
      <c r="A63" s="430" t="n">
        <v>46244</v>
      </c>
      <c r="B63" s="232" t="inlineStr">
        <is>
          <t>Transfer-to-me (customer payment 10-Aug)</t>
        </is>
      </c>
      <c r="C63" s="232" t="inlineStr">
        <is>
          <t>Transfer Received</t>
        </is>
      </c>
      <c r="D63" s="232" t="n"/>
      <c r="E63" s="233" t="n">
        <v>130</v>
      </c>
      <c r="F63" s="233">
        <f>IFERROR(F62+D63-E63,0)</f>
        <v/>
      </c>
      <c r="G63" s="232" t="inlineStr">
        <is>
          <t>✅ Received</t>
        </is>
      </c>
      <c r="H63" s="232" t="inlineStr">
        <is>
          <t>Customer paid Lohith personal acct</t>
        </is>
      </c>
    </row>
    <row r="64">
      <c r="A64" s="430" t="n">
        <v>46244</v>
      </c>
      <c r="B64" s="232" t="inlineStr">
        <is>
          <t>3B Pasta $110 (paid by Lohith)</t>
        </is>
      </c>
      <c r="C64" s="232" t="inlineStr">
        <is>
          <t>Expense - Personal</t>
        </is>
      </c>
      <c r="D64" s="232" t="n">
        <v>110</v>
      </c>
      <c r="E64" s="233" t="n"/>
      <c r="F64" s="233">
        <f>IFERROR(F63+D64-E64,0)</f>
        <v/>
      </c>
      <c r="G64" s="232" t="inlineStr">
        <is>
          <t>⏳ Reimburse</t>
        </is>
      </c>
      <c r="H64" s="232" t="inlineStr">
        <is>
          <t>Fronted from own pocket; excluded from till via cash_adjust</t>
        </is>
      </c>
    </row>
    <row r="65">
      <c r="A65" s="430" t="n">
        <v>46245</v>
      </c>
      <c r="B65" s="232" t="inlineStr">
        <is>
          <t>Transfer-to-me (customer payment 11-Aug)</t>
        </is>
      </c>
      <c r="C65" s="232" t="inlineStr">
        <is>
          <t>Transfer Received</t>
        </is>
      </c>
      <c r="D65" s="232" t="n"/>
      <c r="E65" s="233" t="n">
        <v>655</v>
      </c>
      <c r="F65" s="233">
        <f>IFERROR(F64+D65-E65,0)</f>
        <v/>
      </c>
      <c r="G65" s="232" t="inlineStr">
        <is>
          <t>✅ Received</t>
        </is>
      </c>
      <c r="H65" s="232" t="inlineStr">
        <is>
          <t>Customer paid Lohith personal acct</t>
        </is>
      </c>
    </row>
    <row r="66">
      <c r="A66" s="430" t="n">
        <v>46246</v>
      </c>
      <c r="B66" s="232" t="inlineStr">
        <is>
          <t>Transfer-to-me (customer payment 12-Aug)</t>
        </is>
      </c>
      <c r="C66" s="232" t="inlineStr">
        <is>
          <t>Transfer Received</t>
        </is>
      </c>
      <c r="D66" s="232" t="n"/>
      <c r="E66" s="233" t="n">
        <v>130</v>
      </c>
      <c r="F66" s="233">
        <f>IFERROR(F65+D66-E66,0)</f>
        <v/>
      </c>
      <c r="G66" s="232" t="inlineStr">
        <is>
          <t>✅ Received</t>
        </is>
      </c>
      <c r="H66" s="232" t="inlineStr">
        <is>
          <t>Customer paid Lohith personal acct</t>
        </is>
      </c>
    </row>
    <row r="67">
      <c r="A67" s="430" t="n">
        <v>46246</v>
      </c>
      <c r="B67" s="232" t="inlineStr">
        <is>
          <t>Pollo $639 (paid by Lohith)</t>
        </is>
      </c>
      <c r="C67" s="232" t="inlineStr">
        <is>
          <t>Expense - Personal</t>
        </is>
      </c>
      <c r="D67" s="232" t="n">
        <v>639</v>
      </c>
      <c r="E67" s="233" t="n"/>
      <c r="F67" s="233">
        <f>IFERROR(F66+D67-E67,0)</f>
        <v/>
      </c>
      <c r="G67" s="232" t="inlineStr">
        <is>
          <t>⏳ Reimburse</t>
        </is>
      </c>
      <c r="H67" s="232" t="inlineStr">
        <is>
          <t>Fronted from own pocket; excluded from till via cash_adjust</t>
        </is>
      </c>
    </row>
    <row r="68">
      <c r="A68" s="430" t="n">
        <v>46247</v>
      </c>
      <c r="B68" s="232" t="inlineStr">
        <is>
          <t>Transfer-to-me (customer payment 13-Aug)</t>
        </is>
      </c>
      <c r="C68" s="232" t="inlineStr">
        <is>
          <t>Transfer Received</t>
        </is>
      </c>
      <c r="D68" s="232" t="n"/>
      <c r="E68" s="233" t="n">
        <v>135</v>
      </c>
      <c r="F68" s="233">
        <f>IFERROR(F67+D68-E68,0)</f>
        <v/>
      </c>
      <c r="G68" s="232" t="inlineStr">
        <is>
          <t>✅ Received</t>
        </is>
      </c>
      <c r="H68" s="232" t="inlineStr">
        <is>
          <t>Customer paid Lohith personal acct</t>
        </is>
      </c>
    </row>
    <row r="69">
      <c r="A69" s="430" t="n">
        <v>46249</v>
      </c>
      <c r="B69" s="232" t="inlineStr">
        <is>
          <t>Pollo $368 + Pollo $995 (paid by Lohith)</t>
        </is>
      </c>
      <c r="C69" s="232" t="inlineStr">
        <is>
          <t>Expense - Personal</t>
        </is>
      </c>
      <c r="D69" s="232" t="n">
        <v>1363</v>
      </c>
      <c r="E69" s="233" t="n"/>
      <c r="F69" s="233">
        <f>IFERROR(F68+D69-E69,0)</f>
        <v/>
      </c>
      <c r="G69" s="232" t="inlineStr">
        <is>
          <t>⏳ Reimburse</t>
        </is>
      </c>
      <c r="H69" s="232" t="inlineStr">
        <is>
          <t>Fronted from own pocket; excluded from till via cash_adjust</t>
        </is>
      </c>
    </row>
    <row r="70">
      <c r="A70" s="430" t="n">
        <v>46251</v>
      </c>
      <c r="B70" s="232" t="inlineStr">
        <is>
          <t>Transfer-to-me (customer payment 17-Aug)</t>
        </is>
      </c>
      <c r="C70" s="232" t="inlineStr">
        <is>
          <t>Transfer Received</t>
        </is>
      </c>
      <c r="D70" s="232" t="n"/>
      <c r="E70" s="233" t="n">
        <v>130</v>
      </c>
      <c r="F70" s="233">
        <f>IFERROR(F69+D70-E70,0)</f>
        <v/>
      </c>
      <c r="G70" s="232" t="inlineStr">
        <is>
          <t>✅ Received</t>
        </is>
      </c>
      <c r="H70" s="232" t="inlineStr">
        <is>
          <t>Customer paid Lohith personal acct</t>
        </is>
      </c>
    </row>
    <row r="71">
      <c r="A71" s="430" t="n">
        <v>46251</v>
      </c>
      <c r="B71" s="232" t="inlineStr">
        <is>
          <t>Telmex $349 (paid by Lohith)</t>
        </is>
      </c>
      <c r="C71" s="232" t="inlineStr">
        <is>
          <t>Expense - Personal</t>
        </is>
      </c>
      <c r="D71" s="232" t="n">
        <v>349</v>
      </c>
      <c r="E71" s="233" t="n"/>
      <c r="F71" s="233">
        <f>IFERROR(F70+D71-E71,0)</f>
        <v/>
      </c>
      <c r="G71" s="232" t="inlineStr">
        <is>
          <t>⏳ Reimburse</t>
        </is>
      </c>
      <c r="H71" s="232" t="inlineStr">
        <is>
          <t>Fronted from own pocket; excluded from till via cash_adjust</t>
        </is>
      </c>
    </row>
    <row r="72">
      <c r="A72" s="430" t="n">
        <v>46251</v>
      </c>
      <c r="B72" s="232" t="inlineStr">
        <is>
          <t>Settlement - restaurant paid Lohith</t>
        </is>
      </c>
      <c r="C72" s="232" t="inlineStr">
        <is>
          <t>Settlement</t>
        </is>
      </c>
      <c r="D72" s="232" t="n"/>
      <c r="E72" s="233" t="n">
        <v>2820</v>
      </c>
      <c r="F72" s="233">
        <f>IFERROR(F71+D72-E72,0)</f>
        <v/>
      </c>
      <c r="G72" s="232" t="inlineStr">
        <is>
          <t>✅ Settled</t>
        </is>
      </c>
      <c r="H72" s="232" t="inlineStr">
        <is>
          <t>Ledger settled from operating cash</t>
        </is>
      </c>
    </row>
    <row r="73">
      <c r="A73" s="430" t="n">
        <v>46252</v>
      </c>
      <c r="B73" s="232" t="inlineStr">
        <is>
          <t>Transfer-to-me (customer payment 18-Aug)</t>
        </is>
      </c>
      <c r="C73" s="232" t="inlineStr">
        <is>
          <t>Transfer Received</t>
        </is>
      </c>
      <c r="D73" s="232" t="n"/>
      <c r="E73" s="233" t="n">
        <v>210</v>
      </c>
      <c r="F73" s="233">
        <f>IFERROR(F72+D73-E73,0)</f>
        <v/>
      </c>
      <c r="G73" s="232" t="inlineStr">
        <is>
          <t>✅ Received</t>
        </is>
      </c>
      <c r="H73" s="232" t="inlineStr">
        <is>
          <t>Customer paid Lohith personal acct</t>
        </is>
      </c>
    </row>
    <row r="74">
      <c r="A74" s="430" t="n">
        <v>46253</v>
      </c>
      <c r="B74" s="232" t="inlineStr">
        <is>
          <t>Transfer-to-me (customer payment 19-Aug)</t>
        </is>
      </c>
      <c r="C74" s="232" t="inlineStr">
        <is>
          <t>Transfer Received</t>
        </is>
      </c>
      <c r="D74" s="232" t="n"/>
      <c r="E74" s="233" t="n">
        <v>120</v>
      </c>
      <c r="F74" s="233">
        <f>IFERROR(F73+D74-E74,0)</f>
        <v/>
      </c>
      <c r="G74" s="232" t="inlineStr">
        <is>
          <t>✅ Received</t>
        </is>
      </c>
      <c r="H74" s="232" t="inlineStr">
        <is>
          <t>Customer paid Lohith personal acct</t>
        </is>
      </c>
    </row>
    <row r="75">
      <c r="A75" s="430" t="n">
        <v>46253</v>
      </c>
      <c r="B75" s="232" t="inlineStr">
        <is>
          <t>Pollo $418 (paid by Lohith)</t>
        </is>
      </c>
      <c r="C75" s="232" t="inlineStr">
        <is>
          <t>Expense - Personal</t>
        </is>
      </c>
      <c r="D75" s="232" t="n">
        <v>418</v>
      </c>
      <c r="E75" s="233" t="n"/>
      <c r="F75" s="233">
        <f>IFERROR(F74+D75-E75,0)</f>
        <v/>
      </c>
      <c r="G75" s="232" t="inlineStr">
        <is>
          <t>⏳ Reimburse</t>
        </is>
      </c>
      <c r="H75" s="232" t="inlineStr">
        <is>
          <t>Fronted from own pocket; excluded from till via cash_adjust</t>
        </is>
      </c>
    </row>
    <row r="76">
      <c r="A76" s="430" t="n">
        <v>46258</v>
      </c>
      <c r="B76" s="232" t="inlineStr">
        <is>
          <t>Pollo $1,429 (paid by Lohith)</t>
        </is>
      </c>
      <c r="C76" s="232" t="inlineStr">
        <is>
          <t>Expense - Personal</t>
        </is>
      </c>
      <c r="D76" s="232" t="n">
        <v>1429</v>
      </c>
      <c r="E76" s="233" t="n"/>
      <c r="F76" s="233">
        <f>IFERROR(F75+D76-E76,0)</f>
        <v/>
      </c>
      <c r="G76" s="232" t="inlineStr">
        <is>
          <t>⏳ Reimburse</t>
        </is>
      </c>
      <c r="H76" s="232" t="inlineStr">
        <is>
          <t>Fronted from own pocket; excluded from till via cash_adjust</t>
        </is>
      </c>
    </row>
    <row r="77">
      <c r="A77" s="430" t="n">
        <v>46259</v>
      </c>
      <c r="B77" s="232" t="inlineStr">
        <is>
          <t>Transfer-to-me (customer payment 25-Aug)</t>
        </is>
      </c>
      <c r="C77" s="232" t="inlineStr">
        <is>
          <t>Transfer Received</t>
        </is>
      </c>
      <c r="D77" s="232" t="n"/>
      <c r="E77" s="233" t="n">
        <v>250</v>
      </c>
      <c r="F77" s="233">
        <f>IFERROR(F76+D77-E77,0)</f>
        <v/>
      </c>
      <c r="G77" s="232" t="inlineStr">
        <is>
          <t>✅ Received</t>
        </is>
      </c>
      <c r="H77" s="232" t="inlineStr">
        <is>
          <t>Customer paid Lohith personal acct</t>
        </is>
      </c>
    </row>
    <row r="78">
      <c r="A78" s="430" t="n">
        <v>46261</v>
      </c>
      <c r="B78" s="232" t="inlineStr">
        <is>
          <t>Transfer-to-me (customer payment 27-Aug)</t>
        </is>
      </c>
      <c r="C78" s="232" t="inlineStr">
        <is>
          <t>Transfer Received</t>
        </is>
      </c>
      <c r="D78" s="232" t="n"/>
      <c r="E78" s="233" t="n">
        <v>260</v>
      </c>
      <c r="F78" s="233">
        <f>IFERROR(F77+D78-E78,0)</f>
        <v/>
      </c>
      <c r="G78" s="232" t="inlineStr">
        <is>
          <t>✅ Received</t>
        </is>
      </c>
      <c r="H78" s="232" t="inlineStr">
        <is>
          <t>Customer paid Lohith personal acct</t>
        </is>
      </c>
    </row>
    <row r="79">
      <c r="A79" s="430" t="n">
        <v>46262</v>
      </c>
      <c r="B79" s="232" t="inlineStr">
        <is>
          <t>Transfer-to-me (customer payment 28-Aug)</t>
        </is>
      </c>
      <c r="C79" s="232" t="inlineStr">
        <is>
          <t>Transfer Received</t>
        </is>
      </c>
      <c r="D79" s="232" t="n"/>
      <c r="E79" s="233" t="n">
        <v>235</v>
      </c>
      <c r="F79" s="233">
        <f>IFERROR(F78+D79-E79,0)</f>
        <v/>
      </c>
      <c r="G79" s="232" t="inlineStr">
        <is>
          <t>✅ Received</t>
        </is>
      </c>
      <c r="H79" s="232" t="inlineStr">
        <is>
          <t>Customer paid Lohith personal acct</t>
        </is>
      </c>
    </row>
    <row r="80">
      <c r="A80" s="430" t="n">
        <v>46265</v>
      </c>
      <c r="B80" s="232" t="inlineStr">
        <is>
          <t>Transfer-to-me (customer payment 31-Aug)</t>
        </is>
      </c>
      <c r="C80" s="232" t="inlineStr">
        <is>
          <t>Transfer Received</t>
        </is>
      </c>
      <c r="D80" s="232" t="n"/>
      <c r="E80" s="233" t="n">
        <v>130</v>
      </c>
      <c r="F80" s="233">
        <f>IFERROR(F79+D80-E80,0)</f>
        <v/>
      </c>
      <c r="G80" s="232" t="inlineStr">
        <is>
          <t>✅ Received</t>
        </is>
      </c>
      <c r="H80" s="232" t="inlineStr">
        <is>
          <t>Customer paid Lohith personal acct</t>
        </is>
      </c>
    </row>
    <row r="81">
      <c r="A81" s="430" t="n">
        <v>46269</v>
      </c>
      <c r="B81" s="232" t="inlineStr">
        <is>
          <t>Settlement - restaurant paid Lohith</t>
        </is>
      </c>
      <c r="C81" s="232" t="inlineStr">
        <is>
          <t>Settlement</t>
        </is>
      </c>
      <c r="D81" s="232" t="n"/>
      <c r="E81" s="233" t="n">
        <v>650.5</v>
      </c>
      <c r="F81" s="233">
        <f>IFERROR(F80+D81-E81,0)</f>
        <v/>
      </c>
      <c r="G81" s="232" t="inlineStr">
        <is>
          <t>✅ Settled</t>
        </is>
      </c>
      <c r="H81" s="232" t="inlineStr">
        <is>
          <t>Ledger settled from operating cash</t>
        </is>
      </c>
    </row>
    <row r="82">
      <c r="A82" s="430" t="n">
        <v>46272</v>
      </c>
      <c r="B82" s="232" t="inlineStr">
        <is>
          <t>Wallmart $123 (paid by Lohith)</t>
        </is>
      </c>
      <c r="C82" s="232" t="inlineStr">
        <is>
          <t>Expense - Personal</t>
        </is>
      </c>
      <c r="D82" s="232" t="n">
        <v>123</v>
      </c>
      <c r="E82" s="233" t="n"/>
      <c r="F82" s="233">
        <f>IFERROR(F81+D82-E82,0)</f>
        <v/>
      </c>
      <c r="G82" s="232" t="inlineStr">
        <is>
          <t>⏳ Reimburse</t>
        </is>
      </c>
      <c r="H82" s="232" t="inlineStr">
        <is>
          <t>Fronted from own pocket; excluded from till via cash_adjust</t>
        </is>
      </c>
    </row>
    <row r="83">
      <c r="A83" s="430" t="n">
        <v>46273</v>
      </c>
      <c r="B83" s="232" t="inlineStr">
        <is>
          <t>Transfer-to-me (customer payment 08-Sep)</t>
        </is>
      </c>
      <c r="C83" s="232" t="inlineStr">
        <is>
          <t>Transfer Received</t>
        </is>
      </c>
      <c r="D83" s="232" t="n"/>
      <c r="E83" s="233" t="n">
        <v>275</v>
      </c>
      <c r="F83" s="233">
        <f>IFERROR(F82+D83-E83,0)</f>
        <v/>
      </c>
      <c r="G83" s="232" t="inlineStr">
        <is>
          <t>✅ Received</t>
        </is>
      </c>
      <c r="H83" s="232" t="inlineStr">
        <is>
          <t>Customer paid Lohith personal acct</t>
        </is>
      </c>
    </row>
    <row r="84">
      <c r="A84" s="430" t="n">
        <v>46274</v>
      </c>
      <c r="B84" s="232" t="inlineStr">
        <is>
          <t>Transfer-to-me (customer payment 09-Sep)</t>
        </is>
      </c>
      <c r="C84" s="232" t="inlineStr">
        <is>
          <t>Transfer Received</t>
        </is>
      </c>
      <c r="D84" s="232" t="n"/>
      <c r="E84" s="233" t="n">
        <v>250</v>
      </c>
      <c r="F84" s="233">
        <f>IFERROR(F83+D84-E84,0)</f>
        <v/>
      </c>
      <c r="G84" s="232" t="inlineStr">
        <is>
          <t>✅ Received</t>
        </is>
      </c>
      <c r="H84" s="232" t="inlineStr">
        <is>
          <t>Customer paid Lohith personal acct</t>
        </is>
      </c>
    </row>
    <row r="85">
      <c r="A85" s="430" t="n">
        <v>46275</v>
      </c>
      <c r="B85" s="232" t="inlineStr">
        <is>
          <t>Transfer-to-me (customer payment 10-Sep)</t>
        </is>
      </c>
      <c r="C85" s="232" t="inlineStr">
        <is>
          <t>Transfer Received</t>
        </is>
      </c>
      <c r="D85" s="232" t="n"/>
      <c r="E85" s="233" t="n">
        <v>120</v>
      </c>
      <c r="F85" s="233">
        <f>IFERROR(F84+D85-E85,0)</f>
        <v/>
      </c>
      <c r="G85" s="232" t="inlineStr">
        <is>
          <t>✅ Received</t>
        </is>
      </c>
      <c r="H85" s="232" t="inlineStr">
        <is>
          <t>Customer paid Lohith personal acct</t>
        </is>
      </c>
    </row>
    <row r="86">
      <c r="A86" s="430" t="n">
        <v>46276</v>
      </c>
      <c r="B86" s="232" t="inlineStr">
        <is>
          <t>Transfer-to-me (customer payment 11-Sep)</t>
        </is>
      </c>
      <c r="C86" s="232" t="inlineStr">
        <is>
          <t>Transfer Received</t>
        </is>
      </c>
      <c r="D86" s="232" t="n"/>
      <c r="E86" s="233" t="n">
        <v>1010</v>
      </c>
      <c r="F86" s="233">
        <f>IFERROR(F85+D86-E86,0)</f>
        <v/>
      </c>
      <c r="G86" s="232" t="inlineStr">
        <is>
          <t>✅ Received</t>
        </is>
      </c>
      <c r="H86" s="232" t="inlineStr">
        <is>
          <t>Customer paid Lohith personal acct</t>
        </is>
      </c>
    </row>
    <row r="87">
      <c r="A87" s="430" t="n">
        <v>46279</v>
      </c>
      <c r="B87" s="232" t="inlineStr">
        <is>
          <t>Transfer-to-me (customer payment 14-Sep)</t>
        </is>
      </c>
      <c r="C87" s="232" t="inlineStr">
        <is>
          <t>Transfer Received</t>
        </is>
      </c>
      <c r="D87" s="232" t="n"/>
      <c r="E87" s="233" t="n">
        <v>130</v>
      </c>
      <c r="F87" s="233">
        <f>IFERROR(F86+D87-E87,0)</f>
        <v/>
      </c>
      <c r="G87" s="232" t="inlineStr">
        <is>
          <t>✅ Received</t>
        </is>
      </c>
      <c r="H87" s="232" t="inlineStr">
        <is>
          <t>Customer paid Lohith personal acct</t>
        </is>
      </c>
    </row>
    <row r="88">
      <c r="A88" s="430" t="n">
        <v>46282</v>
      </c>
      <c r="B88" s="232" t="inlineStr">
        <is>
          <t>Transfer-to-me (customer payment 17-Sep)</t>
        </is>
      </c>
      <c r="C88" s="232" t="inlineStr">
        <is>
          <t>Transfer Received</t>
        </is>
      </c>
      <c r="D88" s="232" t="n"/>
      <c r="E88" s="233" t="n">
        <v>260</v>
      </c>
      <c r="F88" s="233">
        <f>IFERROR(F87+D88-E88,0)</f>
        <v/>
      </c>
      <c r="G88" s="232" t="inlineStr">
        <is>
          <t>✅ Received</t>
        </is>
      </c>
      <c r="H88" s="232" t="inlineStr">
        <is>
          <t>Customer paid Lohith personal acct</t>
        </is>
      </c>
    </row>
    <row r="89">
      <c r="A89" s="430" t="n">
        <v>46282</v>
      </c>
      <c r="B89" s="232" t="inlineStr">
        <is>
          <t>Pollo $977 (paid by Lohith)</t>
        </is>
      </c>
      <c r="C89" s="232" t="inlineStr">
        <is>
          <t>Expense - Personal</t>
        </is>
      </c>
      <c r="D89" s="232" t="n">
        <v>977</v>
      </c>
      <c r="E89" s="233" t="n"/>
      <c r="F89" s="233">
        <f>IFERROR(F88+D89-E89,0)</f>
        <v/>
      </c>
      <c r="G89" s="232" t="inlineStr">
        <is>
          <t>⏳ Reimburse</t>
        </is>
      </c>
      <c r="H89" s="232" t="inlineStr">
        <is>
          <t>Fronted from own pocket; excluded from till via cash_adjust</t>
        </is>
      </c>
    </row>
    <row r="90">
      <c r="A90" s="430" t="n">
        <v>46282</v>
      </c>
      <c r="B90" s="232" t="inlineStr">
        <is>
          <t>Pollo $183 (paid by Lohith)</t>
        </is>
      </c>
      <c r="C90" s="232" t="inlineStr">
        <is>
          <t>Expense - Personal</t>
        </is>
      </c>
      <c r="D90" s="232" t="n">
        <v>183</v>
      </c>
      <c r="E90" s="233" t="n"/>
      <c r="F90" s="233">
        <f>IFERROR(F89+D90-E90,0)</f>
        <v/>
      </c>
      <c r="G90" s="232" t="inlineStr">
        <is>
          <t>⏳ Reimburse</t>
        </is>
      </c>
      <c r="H90" s="232" t="inlineStr">
        <is>
          <t>Fronted from own pocket; excluded from till via cash_adjust</t>
        </is>
      </c>
    </row>
    <row r="91">
      <c r="A91" s="430" t="n">
        <v>46282</v>
      </c>
      <c r="B91" s="232" t="inlineStr">
        <is>
          <t>Transfer-to-me (customer payment 17-Sep)</t>
        </is>
      </c>
      <c r="C91" s="232" t="inlineStr">
        <is>
          <t>Transfer Received</t>
        </is>
      </c>
      <c r="D91" s="232" t="n"/>
      <c r="E91" s="233" t="n">
        <v>15896</v>
      </c>
      <c r="F91" s="233">
        <f>IFERROR(F90+D91-E91,0)</f>
        <v/>
      </c>
      <c r="G91" s="232" t="inlineStr">
        <is>
          <t>✅ Received</t>
        </is>
      </c>
      <c r="H91" s="232" t="inlineStr">
        <is>
          <t>Customer paid Lohith personal acct</t>
        </is>
      </c>
    </row>
    <row r="92">
      <c r="A92" s="430" t="n">
        <v>46283</v>
      </c>
      <c r="B92" s="232" t="inlineStr">
        <is>
          <t>Internet $349 (paid by Lohith)</t>
        </is>
      </c>
      <c r="C92" s="232" t="inlineStr">
        <is>
          <t>Expense - Personal</t>
        </is>
      </c>
      <c r="D92" s="232" t="n">
        <v>349</v>
      </c>
      <c r="E92" s="233" t="n"/>
      <c r="F92" s="233">
        <f>IFERROR(F91+D92-E92,0)</f>
        <v/>
      </c>
      <c r="G92" s="232" t="inlineStr">
        <is>
          <t>⏳ Reimburse</t>
        </is>
      </c>
      <c r="H92" s="232" t="inlineStr">
        <is>
          <t>Fronted from own pocket; excluded from till via cash_adjust</t>
        </is>
      </c>
    </row>
    <row r="93">
      <c r="A93" s="430" t="n">
        <v>46283</v>
      </c>
      <c r="B93" s="232" t="inlineStr">
        <is>
          <t>Settlement - Lohith returned restaurant money</t>
        </is>
      </c>
      <c r="C93" s="232" t="inlineStr">
        <is>
          <t>Settlement</t>
        </is>
      </c>
      <c r="D93" s="232" t="n">
        <v>12000</v>
      </c>
      <c r="E93" s="233" t="n"/>
      <c r="F93" s="233">
        <f>IFERROR(F92+D93-E93,0)</f>
        <v/>
      </c>
      <c r="G93" s="232" t="inlineStr">
        <is>
          <t>✅ Settled</t>
        </is>
      </c>
      <c r="H93" s="232" t="inlineStr">
        <is>
          <t>Lohith handed back cash he was holding</t>
        </is>
      </c>
    </row>
    <row r="94">
      <c r="A94" s="430" t="n">
        <v>46283</v>
      </c>
      <c r="B94" s="232" t="inlineStr">
        <is>
          <t>Settlement - Lohith returned restaurant money</t>
        </is>
      </c>
      <c r="C94" s="232" t="inlineStr">
        <is>
          <t>Settlement</t>
        </is>
      </c>
      <c r="D94" s="232" t="n">
        <v>2778.53</v>
      </c>
      <c r="E94" s="233" t="n"/>
      <c r="F94" s="233">
        <f>IFERROR(F93+D94-E94,0)</f>
        <v/>
      </c>
      <c r="G94" s="232" t="inlineStr">
        <is>
          <t>✅ Settled</t>
        </is>
      </c>
      <c r="H94" s="232" t="inlineStr">
        <is>
          <t>Lohith handed back cash he was holding</t>
        </is>
      </c>
    </row>
    <row r="95">
      <c r="A95" s="430" t="n">
        <v>46286</v>
      </c>
      <c r="B95" s="232" t="inlineStr">
        <is>
          <t>Pollo $404 (paid by Lohith)</t>
        </is>
      </c>
      <c r="C95" s="232" t="inlineStr">
        <is>
          <t>Expense - Personal</t>
        </is>
      </c>
      <c r="D95" s="232" t="n">
        <v>404</v>
      </c>
      <c r="E95" s="233" t="n"/>
      <c r="F95" s="233">
        <f>IFERROR(F94+D95-E95,0)</f>
        <v/>
      </c>
      <c r="G95" s="232" t="inlineStr">
        <is>
          <t>⏳ Reimburse</t>
        </is>
      </c>
      <c r="H95" s="232" t="inlineStr">
        <is>
          <t>Fronted from own pocket; excluded from till via cash_adjust</t>
        </is>
      </c>
    </row>
    <row r="96">
      <c r="A96" s="430" t="n">
        <v>46286</v>
      </c>
      <c r="B96" s="232" t="inlineStr">
        <is>
          <t>Transfer-to-me (customer payment 21-Sep, corrected from Cash)</t>
        </is>
      </c>
      <c r="C96" s="232" t="inlineStr">
        <is>
          <t>Transfer Received</t>
        </is>
      </c>
      <c r="D96" s="232" t="n"/>
      <c r="E96" s="233" t="n">
        <v>260</v>
      </c>
      <c r="F96" s="233">
        <f>IFERROR(F95+D96-E96,0)</f>
        <v/>
      </c>
      <c r="G96" s="232" t="inlineStr">
        <is>
          <t>✅ Received</t>
        </is>
      </c>
      <c r="H96" s="232" t="inlineStr">
        <is>
          <t>Moved from Cash via tools.py move</t>
        </is>
      </c>
    </row>
    <row r="97">
      <c r="A97" s="430" t="n">
        <v>46288</v>
      </c>
      <c r="B97" s="232" t="inlineStr">
        <is>
          <t>Pollo $879 (paid by Lohith)</t>
        </is>
      </c>
      <c r="C97" s="232" t="inlineStr">
        <is>
          <t>Expense - Personal</t>
        </is>
      </c>
      <c r="D97" s="232" t="n">
        <v>879</v>
      </c>
      <c r="E97" s="233" t="n"/>
      <c r="F97" s="233">
        <f>IFERROR(F96+D97-E97,0)</f>
        <v/>
      </c>
      <c r="G97" s="232" t="inlineStr">
        <is>
          <t>⏳ Reimburse</t>
        </is>
      </c>
      <c r="H97" s="232" t="inlineStr">
        <is>
          <t>Fronted from own pocket; excluded from till via cash_adjust</t>
        </is>
      </c>
    </row>
    <row r="98">
      <c r="A98" s="430" t="inlineStr">
        <is>
          <t>TOTALS &amp; CURRENT BALANCE</t>
        </is>
      </c>
      <c r="B98" s="232" t="n"/>
      <c r="C98" s="232" t="n"/>
      <c r="D98" s="232">
        <f>SUM(D4:D97)</f>
        <v/>
      </c>
      <c r="E98" s="233">
        <f>SUM(E4:E97)</f>
        <v/>
      </c>
      <c r="F98" s="233">
        <f>F97</f>
        <v/>
      </c>
      <c r="G98" s="232">
        <f>IF(F97&gt;0,"Restaurant owes Lohith $"&amp;TEXT(F97,"#,##0"),IF(F97&lt;0,"Lohith holds $"&amp;TEXT(ABS(F97),"#,##0"),"Zero balance"))</f>
        <v/>
      </c>
      <c r="H98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2026-09-25T00:45:45Z</dcterms:modified>
  <cp:lastModifiedBy>LOHITH REDDY</cp:lastModifiedBy>
</cp:coreProperties>
</file>