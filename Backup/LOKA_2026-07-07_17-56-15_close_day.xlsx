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1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39314.81</v>
      </c>
      <c r="E147" s="405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T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85" t="n">
        <v>46205</v>
      </c>
      <c r="C53" s="256" t="inlineStr">
        <is>
          <t>Thu</t>
        </is>
      </c>
      <c r="D53" s="257" t="n">
        <v>1859</v>
      </c>
      <c r="E53" s="49" t="n">
        <v>1249</v>
      </c>
      <c r="F53" s="50">
        <f>IFERROR(D53+E53+G53,0)</f>
        <v/>
      </c>
      <c r="G53" s="258" t="n">
        <v>0</v>
      </c>
      <c r="H53" s="259">
        <f>SUMIFS('💸 Expenses'!$F$8:$F$500,'💸 Expenses'!$B$8:$B$500,"&gt;="&amp;B53,'💸 Expenses'!$B$8:$B$500,"&lt;"&amp;(B53+1))</f>
        <v/>
      </c>
      <c r="I53" s="260">
        <f>IFERROR(F53-H53,0)</f>
        <v/>
      </c>
      <c r="J53" s="261">
        <f>IFERROR(I53/F53,0)</f>
        <v/>
      </c>
      <c r="K53" s="255" t="inlineStr">
        <is>
          <t>incl +$120 additional card income (added 02-Jul)</t>
        </is>
      </c>
      <c r="L53" s="262" t="inlineStr">
        <is>
          <t>Cierre via loka.py</t>
        </is>
      </c>
      <c r="M53" s="21" t="n"/>
      <c r="N53" s="56" t="n"/>
      <c r="O53" s="57" t="n"/>
      <c r="P53" s="58" t="n"/>
      <c r="Q53" s="56" t="n"/>
      <c r="R53" s="410">
        <f>IFERROR(D53*$T$7,0)</f>
        <v/>
      </c>
    </row>
    <row r="54" ht="16.5" customHeight="1" s="278">
      <c r="B54" s="385" t="n">
        <v>46206</v>
      </c>
      <c r="C54" s="386" t="inlineStr">
        <is>
          <t>Fri</t>
        </is>
      </c>
      <c r="D54" s="387" t="n">
        <v>3702</v>
      </c>
      <c r="E54" s="37" t="n">
        <v>2375</v>
      </c>
      <c r="F54" s="38">
        <f>IFERROR(D54+E54+G54,0)</f>
        <v/>
      </c>
      <c r="G54" s="388" t="n">
        <v>0</v>
      </c>
      <c r="H54" s="389">
        <f>SUMIFS('💸 Expenses'!$F$8:$F$500,'💸 Expenses'!$B$8:$B$500,"&gt;="&amp;B54,'💸 Expenses'!$B$8:$B$500,"&lt;"&amp;(B54+1))</f>
        <v/>
      </c>
      <c r="I54" s="390">
        <f>IFERROR(F54-H54,0)</f>
        <v/>
      </c>
      <c r="J54" s="391">
        <f>IFERROR(I54/F54,0)</f>
        <v/>
      </c>
      <c r="K54" s="251" t="inlineStr">
        <is>
          <t>incl +$110 additional cash income (added 04-Jul)</t>
        </is>
      </c>
      <c r="L54" s="392" t="inlineStr">
        <is>
          <t>Cierre via loka.py</t>
        </is>
      </c>
      <c r="M54" s="12" t="n"/>
      <c r="N54" s="44" t="n"/>
      <c r="O54" s="45" t="n"/>
      <c r="P54" s="46" t="n"/>
      <c r="Q54" s="44" t="n"/>
      <c r="R54" s="410">
        <f>IFERROR(D54*$T$7,0)</f>
        <v/>
      </c>
    </row>
    <row r="55" ht="16.5" customHeight="1" s="278">
      <c r="B55" s="385" t="n">
        <v>46207</v>
      </c>
      <c r="C55" s="256" t="inlineStr">
        <is>
          <t>Sat</t>
        </is>
      </c>
      <c r="D55" s="257" t="n">
        <v>1739</v>
      </c>
      <c r="E55" s="49" t="n">
        <v>895</v>
      </c>
      <c r="F55" s="50">
        <f>IFERROR(D55+E55+G55,0)</f>
        <v/>
      </c>
      <c r="G55" s="258" t="n">
        <v>0</v>
      </c>
      <c r="H55" s="259">
        <f>SUMIFS('💸 Expenses'!$F$8:$F$500,'💸 Expenses'!$B$8:$B$500,"&gt;="&amp;B55,'💸 Expenses'!$B$8:$B$500,"&lt;"&amp;(B55+1))</f>
        <v/>
      </c>
      <c r="I55" s="260">
        <f>IFERROR(F55-H55,0)</f>
        <v/>
      </c>
      <c r="J55" s="261">
        <f>IFERROR(I55/F55,0)</f>
        <v/>
      </c>
      <c r="K55" s="255" t="n"/>
      <c r="L55" s="262" t="inlineStr">
        <is>
          <t>Cierre via loka.py</t>
        </is>
      </c>
      <c r="M55" s="21" t="n"/>
      <c r="N55" s="56" t="n"/>
      <c r="O55" s="57" t="n"/>
      <c r="P55" s="58" t="n"/>
      <c r="Q55" s="56" t="n"/>
      <c r="R55" s="410">
        <f>IFERROR(D55*$T$7,0)</f>
        <v/>
      </c>
    </row>
    <row r="56" ht="16.5" customHeight="1" s="278">
      <c r="B56" s="385" t="n">
        <v>46209</v>
      </c>
      <c r="C56" s="386" t="inlineStr">
        <is>
          <t>Mon</t>
        </is>
      </c>
      <c r="D56" s="387" t="n">
        <v>2190</v>
      </c>
      <c r="E56" s="37" t="n">
        <v>1500</v>
      </c>
      <c r="F56" s="38">
        <f>IFERROR(D56+E56+G56,0)</f>
        <v/>
      </c>
      <c r="G56" s="388" t="n">
        <v>0</v>
      </c>
      <c r="H56" s="389">
        <f>SUMIFS('💸 Expenses'!$F$8:$F$500,'💸 Expenses'!$B$8:$B$500,"&gt;="&amp;B56,'💸 Expenses'!$B$8:$B$500,"&lt;"&amp;(B56+1))</f>
        <v/>
      </c>
      <c r="I56" s="390">
        <f>IFERROR(F56-H56,0)</f>
        <v/>
      </c>
      <c r="J56" s="391">
        <f>IFERROR(I56/F56,0)</f>
        <v/>
      </c>
      <c r="K56" s="251" t="n"/>
      <c r="L56" s="392" t="inlineStr">
        <is>
          <t>Cierre via loka.py</t>
        </is>
      </c>
      <c r="M56" s="12" t="n"/>
      <c r="N56" s="44" t="n"/>
      <c r="O56" s="45" t="n"/>
      <c r="P56" s="46" t="n"/>
      <c r="Q56" s="44" t="n"/>
      <c r="R56" s="410">
        <f>IFERROR(D56*$T$7,0)</f>
        <v/>
      </c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382" t="n">
        <v>46206</v>
      </c>
      <c r="C411" s="248" t="inlineStr">
        <is>
          <t>Muslo (pollo) 3.79kg @ $50/kg</t>
        </is>
      </c>
      <c r="D411" s="249" t="inlineStr">
        <is>
          <t>Remision Loka Cafe</t>
        </is>
      </c>
      <c r="E411" s="248" t="inlineStr">
        <is>
          <t>Ingredients - Meat</t>
        </is>
      </c>
      <c r="F411" s="67" t="n">
        <v>190</v>
      </c>
      <c r="G411" s="250" t="inlineStr">
        <is>
          <t>Restaurant</t>
        </is>
      </c>
      <c r="H411" s="250" t="inlineStr">
        <is>
          <t>Cash</t>
        </is>
      </c>
      <c r="I411" s="251" t="inlineStr">
        <is>
          <t>✅ Paid</t>
        </is>
      </c>
      <c r="J411" s="383" t="inlineStr">
        <is>
          <t>Nota remision manuscrita; 3.79x50; efectivo</t>
        </is>
      </c>
    </row>
    <row r="412">
      <c r="B412" s="382" t="n">
        <v>46206</v>
      </c>
      <c r="C412" s="252" t="inlineStr">
        <is>
          <t>Muslo (pollo) 2.30kg @ $50/kg</t>
        </is>
      </c>
      <c r="D412" s="253" t="inlineStr">
        <is>
          <t>Remision</t>
        </is>
      </c>
      <c r="E412" s="252" t="inlineStr">
        <is>
          <t>Ingredients - Meat</t>
        </is>
      </c>
      <c r="F412" s="70" t="n">
        <v>115</v>
      </c>
      <c r="G412" s="254" t="inlineStr">
        <is>
          <t>Restaurant</t>
        </is>
      </c>
      <c r="H412" s="254" t="inlineStr">
        <is>
          <t>Cash</t>
        </is>
      </c>
      <c r="I412" s="255" t="inlineStr">
        <is>
          <t>✅ Paid</t>
        </is>
      </c>
      <c r="J412" s="383" t="inlineStr">
        <is>
          <t>Nota remision manuscrita; 2.30x50=115; efectivo</t>
        </is>
      </c>
    </row>
    <row r="413">
      <c r="B413" s="382" t="n">
        <v>46206</v>
      </c>
      <c r="C413" s="248" t="inlineStr">
        <is>
          <t>Mayo Real x2 + Leche entera (Sam's Club)</t>
        </is>
      </c>
      <c r="D413" s="249" t="inlineStr">
        <is>
          <t>Sam's Club</t>
        </is>
      </c>
      <c r="E413" s="248" t="inlineStr">
        <is>
          <t>Supermarket/General</t>
        </is>
      </c>
      <c r="F413" s="67" t="n">
        <v>810</v>
      </c>
      <c r="G413" s="250" t="inlineStr">
        <is>
          <t>Restaurant</t>
        </is>
      </c>
      <c r="H413" s="250" t="inlineStr">
        <is>
          <t>Card</t>
        </is>
      </c>
      <c r="I413" s="251" t="inlineStr">
        <is>
          <t>✅ Paid</t>
        </is>
      </c>
      <c r="J413" s="383" t="inlineStr">
        <is>
          <t>Debito Mastercard Bancomer AUT 733600; mayo $544.24 + leche $284.39 - desc $18.63 = 810</t>
        </is>
      </c>
    </row>
    <row r="414">
      <c r="B414" s="382" t="n">
        <v>46206</v>
      </c>
      <c r="C414" s="252" t="inlineStr">
        <is>
          <t>Filete mojarra de mar 3.14kg @ $140/kg</t>
        </is>
      </c>
      <c r="D414" s="253" t="inlineStr">
        <is>
          <t>Brisa del Mar</t>
        </is>
      </c>
      <c r="E414" s="252" t="inlineStr">
        <is>
          <t>Ingredients - Meat &amp; Fish</t>
        </is>
      </c>
      <c r="F414" s="70" t="n">
        <v>439.6</v>
      </c>
      <c r="G414" s="254" t="inlineStr">
        <is>
          <t>Restaurant</t>
        </is>
      </c>
      <c r="H414" s="254" t="inlineStr">
        <is>
          <t>Cash</t>
        </is>
      </c>
      <c r="I414" s="255" t="inlineStr">
        <is>
          <t>✅ Paid</t>
        </is>
      </c>
      <c r="J414" s="383" t="inlineStr">
        <is>
          <t>Pescados y mariscos 08:44; metodo no impreso (asumido efectivo)</t>
        </is>
      </c>
    </row>
    <row r="415">
      <c r="B415" s="382" t="n">
        <v>46206</v>
      </c>
      <c r="C415" s="248" t="inlineStr">
        <is>
          <t>Vegetales</t>
        </is>
      </c>
      <c r="D415" s="249" t="inlineStr">
        <is>
          <t>No bill</t>
        </is>
      </c>
      <c r="E415" s="248" t="inlineStr">
        <is>
          <t>Ingredients - Vegetables</t>
        </is>
      </c>
      <c r="F415" s="67" t="n">
        <v>55</v>
      </c>
      <c r="G415" s="250" t="inlineStr">
        <is>
          <t>Restaurant</t>
        </is>
      </c>
      <c r="H415" s="250" t="inlineStr">
        <is>
          <t>Cash</t>
        </is>
      </c>
      <c r="I415" s="251" t="inlineStr">
        <is>
          <t>✅ Paid</t>
        </is>
      </c>
      <c r="J415" s="383" t="inlineStr">
        <is>
          <t>No receipt; cash purchase</t>
        </is>
      </c>
    </row>
    <row r="416">
      <c r="B416" s="382" t="n">
        <v>46206</v>
      </c>
      <c r="C416" s="252" t="inlineStr">
        <is>
          <t>Samu — Ayudante Week 7</t>
        </is>
      </c>
      <c r="D416" s="253" t="inlineStr">
        <is>
          <t>Payroll</t>
        </is>
      </c>
      <c r="E416" s="252" t="inlineStr">
        <is>
          <t>Staff - Salary</t>
        </is>
      </c>
      <c r="F416" s="70" t="n">
        <v>1200</v>
      </c>
      <c r="G416" s="254" t="inlineStr">
        <is>
          <t>Restaurant</t>
        </is>
      </c>
      <c r="H416" s="254" t="inlineStr">
        <is>
          <t>Cash</t>
        </is>
      </c>
      <c r="I416" s="255" t="inlineStr">
        <is>
          <t>✅ Paid</t>
        </is>
      </c>
      <c r="J416" s="383" t="inlineStr">
        <is>
          <t>Week 7 salary, paid Friday 03 Jul ($800 base + $400 mesero top-up)</t>
        </is>
      </c>
    </row>
    <row r="417">
      <c r="B417" s="382" t="n">
        <v>46207</v>
      </c>
      <c r="C417" s="248" t="inlineStr">
        <is>
          <t>Zanahoria 3kg, Limon 3kg, Cebolla 3kg</t>
        </is>
      </c>
      <c r="D417" s="249" t="inlineStr">
        <is>
          <t>Mi Joven</t>
        </is>
      </c>
      <c r="E417" s="248" t="inlineStr">
        <is>
          <t>Ingredients - Vegetables</t>
        </is>
      </c>
      <c r="F417" s="67" t="n">
        <v>147</v>
      </c>
      <c r="G417" s="250" t="inlineStr">
        <is>
          <t>Restaurant</t>
        </is>
      </c>
      <c r="H417" s="250" t="inlineStr">
        <is>
          <t>Cash</t>
        </is>
      </c>
      <c r="I417" s="251" t="inlineStr">
        <is>
          <t>✅ Paid</t>
        </is>
      </c>
      <c r="J417" s="383" t="inlineStr">
        <is>
          <t>Mercado de Abastos folio 21212; efectivo</t>
        </is>
      </c>
    </row>
    <row r="418">
      <c r="B418" s="382" t="n">
        <v>46207</v>
      </c>
      <c r="C418" s="252" t="inlineStr">
        <is>
          <t>Papas 6 x $35</t>
        </is>
      </c>
      <c r="D418" s="253" t="inlineStr">
        <is>
          <t>Papas San Miguel</t>
        </is>
      </c>
      <c r="E418" s="252" t="inlineStr">
        <is>
          <t>Ingredients - Vegetables</t>
        </is>
      </c>
      <c r="F418" s="70" t="n">
        <v>210</v>
      </c>
      <c r="G418" s="254" t="inlineStr">
        <is>
          <t>Restaurant</t>
        </is>
      </c>
      <c r="H418" s="254" t="inlineStr">
        <is>
          <t>Cash</t>
        </is>
      </c>
      <c r="I418" s="255" t="inlineStr">
        <is>
          <t>✅ Paid</t>
        </is>
      </c>
      <c r="J418" s="383" t="inlineStr">
        <is>
          <t>6x35=210; efectivo</t>
        </is>
      </c>
    </row>
    <row r="419">
      <c r="B419" s="382" t="n">
        <v>46207</v>
      </c>
      <c r="C419" s="248" t="inlineStr">
        <is>
          <t>Verduras/hierbas mixtas (col, espinacas, hierbabuena, champinones, betabeles, lechugas, jengibre)</t>
        </is>
      </c>
      <c r="D419" s="249" t="inlineStr">
        <is>
          <t>Hnos. Labra</t>
        </is>
      </c>
      <c r="E419" s="248" t="inlineStr">
        <is>
          <t>Ingredients - Vegetables</t>
        </is>
      </c>
      <c r="F419" s="67" t="n">
        <v>339</v>
      </c>
      <c r="G419" s="250" t="inlineStr">
        <is>
          <t>Restaurant</t>
        </is>
      </c>
      <c r="H419" s="250" t="inlineStr">
        <is>
          <t>Cash</t>
        </is>
      </c>
      <c r="I419" s="251" t="inlineStr">
        <is>
          <t>✅ Paid</t>
        </is>
      </c>
      <c r="J419" s="383" t="inlineStr">
        <is>
          <t>Suma lineas=339; efectivo</t>
        </is>
      </c>
    </row>
    <row r="420">
      <c r="B420" s="382" t="n">
        <v>46207</v>
      </c>
      <c r="C420" s="252" t="inlineStr">
        <is>
          <t>Guayaba (1 primera)</t>
        </is>
      </c>
      <c r="D420" s="253" t="inlineStr">
        <is>
          <t>Guayabas Aviles Hernandez</t>
        </is>
      </c>
      <c r="E420" s="252" t="inlineStr">
        <is>
          <t>Ingredients - Fruit</t>
        </is>
      </c>
      <c r="F420" s="70" t="n">
        <v>150</v>
      </c>
      <c r="G420" s="254" t="inlineStr">
        <is>
          <t>Restaurant</t>
        </is>
      </c>
      <c r="H420" s="254" t="inlineStr">
        <is>
          <t>Cash</t>
        </is>
      </c>
      <c r="I420" s="255" t="inlineStr">
        <is>
          <t>✅ Paid</t>
        </is>
      </c>
      <c r="J420" s="383" t="inlineStr">
        <is>
          <t>Total ~$150; efectivo</t>
        </is>
      </c>
    </row>
    <row r="421">
      <c r="B421" s="382" t="n">
        <v>46207</v>
      </c>
      <c r="C421" s="248" t="inlineStr">
        <is>
          <t>Pepino</t>
        </is>
      </c>
      <c r="D421" s="249" t="inlineStr">
        <is>
          <t>Citricos Sanchez</t>
        </is>
      </c>
      <c r="E421" s="248" t="inlineStr">
        <is>
          <t>Ingredients - Vegetables</t>
        </is>
      </c>
      <c r="F421" s="67" t="n">
        <v>49</v>
      </c>
      <c r="G421" s="250" t="inlineStr">
        <is>
          <t>Restaurant</t>
        </is>
      </c>
      <c r="H421" s="250" t="inlineStr">
        <is>
          <t>Cash</t>
        </is>
      </c>
      <c r="I421" s="251" t="inlineStr">
        <is>
          <t>✅ Paid</t>
        </is>
      </c>
      <c r="J421" s="383" t="inlineStr">
        <is>
          <t>Folio 7244; total $49 (detalle de linea poco legible)</t>
        </is>
      </c>
    </row>
    <row r="422">
      <c r="B422" s="382" t="n">
        <v>46207</v>
      </c>
      <c r="C422" s="252" t="inlineStr">
        <is>
          <t>Cubiertos soperos desechables (tenedor/cuchara/cuchillo)</t>
        </is>
      </c>
      <c r="D422" s="253" t="inlineStr">
        <is>
          <t>Guimar Polietilenos</t>
        </is>
      </c>
      <c r="E422" s="252" t="inlineStr">
        <is>
          <t>Packaging/Disposables</t>
        </is>
      </c>
      <c r="F422" s="70" t="n">
        <v>139.8</v>
      </c>
      <c r="G422" s="254" t="inlineStr">
        <is>
          <t>Restaurant</t>
        </is>
      </c>
      <c r="H422" s="254" t="inlineStr">
        <is>
          <t>Card</t>
        </is>
      </c>
      <c r="I422" s="255" t="inlineStr">
        <is>
          <t>✅ Paid</t>
        </is>
      </c>
      <c r="J422" s="383" t="inlineStr">
        <is>
          <t>Folio AK90544; tarjeta de credito</t>
        </is>
      </c>
    </row>
    <row r="423">
      <c r="B423" s="382" t="n">
        <v>46207</v>
      </c>
      <c r="C423" s="248" t="inlineStr">
        <is>
          <t>Melon</t>
        </is>
      </c>
      <c r="D423" s="249" t="inlineStr">
        <is>
          <t>Frutas de Temporada Jose</t>
        </is>
      </c>
      <c r="E423" s="248" t="inlineStr">
        <is>
          <t>Ingredients - Fruit</t>
        </is>
      </c>
      <c r="F423" s="67" t="n">
        <v>30</v>
      </c>
      <c r="G423" s="250" t="inlineStr">
        <is>
          <t>Restaurant</t>
        </is>
      </c>
      <c r="H423" s="250" t="inlineStr">
        <is>
          <t>Cash</t>
        </is>
      </c>
      <c r="I423" s="251" t="inlineStr">
        <is>
          <t>✅ Paid</t>
        </is>
      </c>
      <c r="J423" s="383" t="inlineStr">
        <is>
          <t>Solo melon $30; sin total impreso</t>
        </is>
      </c>
    </row>
    <row r="424">
      <c r="B424" s="382" t="n">
        <v>46207</v>
      </c>
      <c r="C424" s="252" t="inlineStr">
        <is>
          <t>Morron surtido</t>
        </is>
      </c>
      <c r="D424" s="253" t="inlineStr">
        <is>
          <t>Verduras Selectas Oscar</t>
        </is>
      </c>
      <c r="E424" s="252" t="inlineStr">
        <is>
          <t>Ingredients - Vegetables</t>
        </is>
      </c>
      <c r="F424" s="70" t="n">
        <v>20</v>
      </c>
      <c r="G424" s="254" t="inlineStr">
        <is>
          <t>Restaurant</t>
        </is>
      </c>
      <c r="H424" s="254" t="inlineStr">
        <is>
          <t>Cash</t>
        </is>
      </c>
      <c r="I424" s="255" t="inlineStr">
        <is>
          <t>✅ Paid</t>
        </is>
      </c>
      <c r="J424" s="383" t="inlineStr">
        <is>
          <t>Morron $20; sin total impreso</t>
        </is>
      </c>
    </row>
    <row r="425">
      <c r="B425" s="382" t="n">
        <v>46207</v>
      </c>
      <c r="C425" s="248" t="inlineStr">
        <is>
          <t>Fresa 0.775kg @ $65/kg</t>
        </is>
      </c>
      <c r="D425" s="249" t="inlineStr">
        <is>
          <t>Nota manuscrita</t>
        </is>
      </c>
      <c r="E425" s="248" t="inlineStr">
        <is>
          <t>Ingredients - Fruit</t>
        </is>
      </c>
      <c r="F425" s="67" t="n">
        <v>50</v>
      </c>
      <c r="G425" s="250" t="inlineStr">
        <is>
          <t>Restaurant</t>
        </is>
      </c>
      <c r="H425" s="250" t="inlineStr">
        <is>
          <t>Cash</t>
        </is>
      </c>
      <c r="I425" s="251" t="inlineStr">
        <is>
          <t>✅ Paid</t>
        </is>
      </c>
      <c r="J425" s="383" t="inlineStr">
        <is>
          <t>.775x65=50; efectivo</t>
        </is>
      </c>
    </row>
    <row r="426">
      <c r="B426" s="382" t="n">
        <v>46207</v>
      </c>
      <c r="C426" s="252" t="inlineStr">
        <is>
          <t>Gelatinas, hot cakes, jarabe, verduras congeladas</t>
        </is>
      </c>
      <c r="D426" s="253" t="inlineStr">
        <is>
          <t>Basicos</t>
        </is>
      </c>
      <c r="E426" s="252" t="inlineStr">
        <is>
          <t>Supermarket/General</t>
        </is>
      </c>
      <c r="F426" s="70" t="n">
        <v>354.5</v>
      </c>
      <c r="G426" s="254" t="inlineStr">
        <is>
          <t>Restaurant</t>
        </is>
      </c>
      <c r="H426" s="254" t="inlineStr">
        <is>
          <t>Card</t>
        </is>
      </c>
      <c r="I426" s="255" t="inlineStr">
        <is>
          <t>✅ Paid</t>
        </is>
      </c>
      <c r="J426" s="383" t="inlineStr">
        <is>
          <t>Total $358 - desc $3.50 = $354.50; tarjeta</t>
        </is>
      </c>
    </row>
    <row r="427">
      <c r="B427" s="382" t="n">
        <v>46207</v>
      </c>
      <c r="C427" s="248" t="inlineStr">
        <is>
          <t>Melocoton 2.5kg + Platano</t>
        </is>
      </c>
      <c r="D427" s="249" t="inlineStr">
        <is>
          <t>Remision</t>
        </is>
      </c>
      <c r="E427" s="248" t="inlineStr">
        <is>
          <t>Ingredients - Fruit</t>
        </is>
      </c>
      <c r="F427" s="67" t="n">
        <v>68</v>
      </c>
      <c r="G427" s="250" t="inlineStr">
        <is>
          <t>Restaurant</t>
        </is>
      </c>
      <c r="H427" s="250" t="inlineStr">
        <is>
          <t>Cash</t>
        </is>
      </c>
      <c r="I427" s="251" t="inlineStr">
        <is>
          <t>✅ Paid</t>
        </is>
      </c>
      <c r="J427" s="383" t="inlineStr">
        <is>
          <t>Melocoton $50 + platano $18 = $68; efectivo</t>
        </is>
      </c>
    </row>
    <row r="428">
      <c r="B428" s="382" t="n">
        <v>46207</v>
      </c>
      <c r="C428" s="252" t="inlineStr">
        <is>
          <t>Papaya</t>
        </is>
      </c>
      <c r="D428" s="253" t="inlineStr">
        <is>
          <t>Remision</t>
        </is>
      </c>
      <c r="E428" s="252" t="inlineStr">
        <is>
          <t>Ingredients - Fruit</t>
        </is>
      </c>
      <c r="F428" s="70" t="n">
        <v>36</v>
      </c>
      <c r="G428" s="254" t="inlineStr">
        <is>
          <t>Restaurant</t>
        </is>
      </c>
      <c r="H428" s="254" t="inlineStr">
        <is>
          <t>Cash</t>
        </is>
      </c>
      <c r="I428" s="255" t="inlineStr">
        <is>
          <t>✅ Paid</t>
        </is>
      </c>
      <c r="J428" s="383" t="inlineStr">
        <is>
          <t>Papaya total $36; efectivo</t>
        </is>
      </c>
    </row>
    <row r="429">
      <c r="B429" s="382" t="n">
        <v>46207</v>
      </c>
      <c r="C429" s="248" t="inlineStr">
        <is>
          <t>Granola 400g + Tortillas blancas 4.435kg</t>
        </is>
      </c>
      <c r="D429" s="249" t="inlineStr">
        <is>
          <t>Chedraui Selecto</t>
        </is>
      </c>
      <c r="E429" s="248" t="inlineStr">
        <is>
          <t>Supermarket/General</t>
        </is>
      </c>
      <c r="F429" s="67" t="n">
        <v>108.43</v>
      </c>
      <c r="G429" s="250" t="inlineStr">
        <is>
          <t>Restaurant</t>
        </is>
      </c>
      <c r="H429" s="250" t="inlineStr">
        <is>
          <t>Card</t>
        </is>
      </c>
      <c r="I429" s="251" t="inlineStr">
        <is>
          <t>✅ Paid</t>
        </is>
      </c>
      <c r="J429" s="383" t="inlineStr">
        <is>
          <t>Granola $53 + tortillas $55.43; debito ***0311</t>
        </is>
      </c>
    </row>
    <row r="430">
      <c r="B430" s="382" t="n">
        <v>46207</v>
      </c>
      <c r="C430" s="252" t="inlineStr">
        <is>
          <t>Jitomate 8.3kg + Aguacate Hass</t>
        </is>
      </c>
      <c r="D430" s="253" t="inlineStr">
        <is>
          <t>Frutas Finas Ana Pao</t>
        </is>
      </c>
      <c r="E430" s="252" t="inlineStr">
        <is>
          <t>Ingredients - Vegetables</t>
        </is>
      </c>
      <c r="F430" s="70" t="n">
        <v>126</v>
      </c>
      <c r="G430" s="254" t="inlineStr">
        <is>
          <t>Restaurant</t>
        </is>
      </c>
      <c r="H430" s="254" t="inlineStr">
        <is>
          <t>Cash</t>
        </is>
      </c>
      <c r="I430" s="255" t="inlineStr">
        <is>
          <t>✅ Paid</t>
        </is>
      </c>
      <c r="J430" s="383" t="inlineStr">
        <is>
          <t>Jitomate $100 + hass $26 = $126; sin total impreso</t>
        </is>
      </c>
    </row>
    <row r="431">
      <c r="B431" s="382" t="n">
        <v>46207</v>
      </c>
      <c r="C431" s="248" t="inlineStr">
        <is>
          <t>John — Head Chef Week 7</t>
        </is>
      </c>
      <c r="D431" s="249" t="inlineStr">
        <is>
          <t>Payroll</t>
        </is>
      </c>
      <c r="E431" s="248" t="inlineStr">
        <is>
          <t>Staff - Salary</t>
        </is>
      </c>
      <c r="F431" s="67" t="n">
        <v>3800</v>
      </c>
      <c r="G431" s="250" t="inlineStr">
        <is>
          <t>Restaurant</t>
        </is>
      </c>
      <c r="H431" s="250" t="inlineStr">
        <is>
          <t>Cash</t>
        </is>
      </c>
      <c r="I431" s="251" t="inlineStr">
        <is>
          <t>✅ Paid</t>
        </is>
      </c>
      <c r="J431" s="383" t="inlineStr">
        <is>
          <t>Week 7 salary, paid Saturday 04 Jul (usual $3,750; $50 higher this week)</t>
        </is>
      </c>
    </row>
    <row r="432">
      <c r="B432" s="382" t="n">
        <v>46207</v>
      </c>
      <c r="C432" s="252" t="inlineStr">
        <is>
          <t>Duvi/Debi — Limpieza Week 7 (5 days)</t>
        </is>
      </c>
      <c r="D432" s="253" t="inlineStr">
        <is>
          <t>Payroll</t>
        </is>
      </c>
      <c r="E432" s="252" t="inlineStr">
        <is>
          <t>Staff - Salary</t>
        </is>
      </c>
      <c r="F432" s="70" t="n">
        <v>1250</v>
      </c>
      <c r="G432" s="254" t="inlineStr">
        <is>
          <t>Restaurant</t>
        </is>
      </c>
      <c r="H432" s="254" t="inlineStr">
        <is>
          <t>Cash</t>
        </is>
      </c>
      <c r="I432" s="255" t="inlineStr">
        <is>
          <t>✅ Paid</t>
        </is>
      </c>
      <c r="J432" s="383" t="inlineStr">
        <is>
          <t>Week 7, worked 5 days @ $250/day = $1,250, paid Saturday 04 Jul</t>
        </is>
      </c>
    </row>
    <row r="433">
      <c r="B433" s="382" t="n">
        <v>46208</v>
      </c>
      <c r="C433" s="248" t="inlineStr">
        <is>
          <t>Renta mensual (pagada con capital)</t>
        </is>
      </c>
      <c r="D433" s="249" t="inlineStr">
        <is>
          <t>Arrendador</t>
        </is>
      </c>
      <c r="E433" s="248" t="inlineStr">
        <is>
          <t>Rent</t>
        </is>
      </c>
      <c r="F433" s="67" t="n">
        <v>20000</v>
      </c>
      <c r="G433" s="250" t="inlineStr">
        <is>
          <t>Capital</t>
        </is>
      </c>
      <c r="H433" s="250" t="inlineStr">
        <is>
          <t>Transfer</t>
        </is>
      </c>
      <c r="I433" s="251" t="inlineStr">
        <is>
          <t>✅ Paid</t>
        </is>
      </c>
      <c r="J433" s="383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382" t="n">
        <v>46209</v>
      </c>
      <c r="C434" s="252" t="inlineStr">
        <is>
          <t>Miscelanea LC remision (lineas ilegibles)</t>
        </is>
      </c>
      <c r="D434" s="253" t="inlineStr">
        <is>
          <t>Miscelanea LC La Cruz</t>
        </is>
      </c>
      <c r="E434" s="252" t="inlineStr">
        <is>
          <t>Ingredients - Meat</t>
        </is>
      </c>
      <c r="F434" s="70" t="n">
        <v>974</v>
      </c>
      <c r="G434" s="254" t="inlineStr">
        <is>
          <t>Restaurant</t>
        </is>
      </c>
      <c r="H434" s="254" t="inlineStr">
        <is>
          <t>Card</t>
        </is>
      </c>
      <c r="I434" s="255" t="inlineStr">
        <is>
          <t>✅ Paid</t>
        </is>
      </c>
      <c r="J434" s="383" t="inlineStr">
        <is>
          <t>Getnet $974 autoritativo (Aut 6B6666, 15:52); carniceria/meat shop; lineas manuscritas ilegibles</t>
        </is>
      </c>
    </row>
    <row r="435">
      <c r="B435" s="382" t="n">
        <v>46209</v>
      </c>
      <c r="C435" s="248" t="inlineStr">
        <is>
          <t>Miscelanea LC remision (lineas ilegibles)</t>
        </is>
      </c>
      <c r="D435" s="249" t="inlineStr">
        <is>
          <t>Miscelanea LC La Cruz</t>
        </is>
      </c>
      <c r="E435" s="248" t="inlineStr">
        <is>
          <t>Ingredients - Meat</t>
        </is>
      </c>
      <c r="F435" s="67" t="n">
        <v>289</v>
      </c>
      <c r="G435" s="250" t="inlineStr">
        <is>
          <t>Restaurant</t>
        </is>
      </c>
      <c r="H435" s="250" t="inlineStr">
        <is>
          <t>Card</t>
        </is>
      </c>
      <c r="I435" s="251" t="inlineStr">
        <is>
          <t>✅ Paid</t>
        </is>
      </c>
      <c r="J435" s="383" t="inlineStr">
        <is>
          <t>Getnet $289 autoritativo (Aut 722687, 09:45); carniceria/meat shop; lineas manuscritas ilegibles</t>
        </is>
      </c>
    </row>
    <row r="436">
      <c r="B436" s="382" t="n">
        <v>46209</v>
      </c>
      <c r="C436" s="252" t="inlineStr">
        <is>
          <t>Pasta seca (codo, caracol, spaguetti, estrella)</t>
        </is>
      </c>
      <c r="D436" s="253" t="inlineStr">
        <is>
          <t>Tres B</t>
        </is>
      </c>
      <c r="E436" s="252" t="inlineStr">
        <is>
          <t>Ingredients - Pantry</t>
        </is>
      </c>
      <c r="F436" s="70" t="n">
        <v>245</v>
      </c>
      <c r="G436" s="254" t="inlineStr">
        <is>
          <t>Restaurant</t>
        </is>
      </c>
      <c r="H436" s="254" t="inlineStr">
        <is>
          <t>Card</t>
        </is>
      </c>
      <c r="I436" s="255" t="inlineStr">
        <is>
          <t>✅ Paid</t>
        </is>
      </c>
      <c r="J436" s="383" t="inlineStr">
        <is>
          <t>Ticket 31 08:50; tarjeta ML ***3982</t>
        </is>
      </c>
    </row>
    <row r="437">
      <c r="B437" s="382" t="n">
        <v>46209</v>
      </c>
      <c r="C437" s="248" t="inlineStr">
        <is>
          <t>Coca-Cola 600ml x2 + Crema acida x2</t>
        </is>
      </c>
      <c r="D437" s="249" t="inlineStr">
        <is>
          <t>Sam's Club</t>
        </is>
      </c>
      <c r="E437" s="248" t="inlineStr">
        <is>
          <t>Supermarket/General</t>
        </is>
      </c>
      <c r="F437" s="67" t="n">
        <v>1420</v>
      </c>
      <c r="G437" s="250" t="inlineStr">
        <is>
          <t>Restaurant</t>
        </is>
      </c>
      <c r="H437" s="250" t="inlineStr">
        <is>
          <t>Card</t>
        </is>
      </c>
      <c r="I437" s="251" t="inlineStr">
        <is>
          <t>✅ Paid</t>
        </is>
      </c>
      <c r="J437" s="383" t="inlineStr">
        <is>
          <t>Coca 2x485.92 + crema 2x240.40 - desc 32.64; debito ***82; 11:01</t>
        </is>
      </c>
    </row>
    <row r="438">
      <c r="B438" s="382" t="n">
        <v>46209</v>
      </c>
      <c r="C438" s="252" t="inlineStr">
        <is>
          <t>Queso x2</t>
        </is>
      </c>
      <c r="D438" s="253" t="inlineStr">
        <is>
          <t>Walmart</t>
        </is>
      </c>
      <c r="E438" s="252" t="inlineStr">
        <is>
          <t>Ingredients - Dairy</t>
        </is>
      </c>
      <c r="F438" s="70" t="n">
        <v>74</v>
      </c>
      <c r="G438" s="254" t="inlineStr">
        <is>
          <t>Restaurant</t>
        </is>
      </c>
      <c r="H438" s="254" t="inlineStr">
        <is>
          <t>Card</t>
        </is>
      </c>
      <c r="I438" s="255" t="inlineStr">
        <is>
          <t>✅ Paid</t>
        </is>
      </c>
      <c r="J438" s="383" t="inlineStr">
        <is>
          <t>GV QSO 37x2; debito ***82; 11:17</t>
        </is>
      </c>
    </row>
    <row r="439">
      <c r="B439" s="382" t="n">
        <v>46209</v>
      </c>
      <c r="C439" s="248" t="inlineStr">
        <is>
          <t>Milanesa 1.53kg + Muslo 10.18kg + Pechuga 3.69kg</t>
        </is>
      </c>
      <c r="D439" s="249" t="inlineStr">
        <is>
          <t>Remision Loka Cafe</t>
        </is>
      </c>
      <c r="E439" s="248" t="inlineStr">
        <is>
          <t>Ingredients - Meat</t>
        </is>
      </c>
      <c r="F439" s="67" t="n">
        <v>1133</v>
      </c>
      <c r="G439" s="250" t="inlineStr">
        <is>
          <t>Restaurant</t>
        </is>
      </c>
      <c r="H439" s="250" t="inlineStr">
        <is>
          <t>Cash</t>
        </is>
      </c>
      <c r="I439" s="251" t="inlineStr">
        <is>
          <t>✅ Paid</t>
        </is>
      </c>
      <c r="J439" s="383" t="inlineStr">
        <is>
          <t>Milanesa $199 + muslo $509 + pechuga $425 = $1133; efectivo</t>
        </is>
      </c>
    </row>
    <row r="440">
      <c r="B440" s="382" t="n">
        <v>46209</v>
      </c>
      <c r="C440" s="252" t="inlineStr">
        <is>
          <t>Cilantro</t>
        </is>
      </c>
      <c r="D440" s="253" t="inlineStr">
        <is>
          <t>No bill</t>
        </is>
      </c>
      <c r="E440" s="252" t="inlineStr">
        <is>
          <t>Ingredients - Vegetables</t>
        </is>
      </c>
      <c r="F440" s="70" t="n">
        <v>5</v>
      </c>
      <c r="G440" s="254" t="inlineStr">
        <is>
          <t>Restaurant</t>
        </is>
      </c>
      <c r="H440" s="254" t="inlineStr">
        <is>
          <t>Cash</t>
        </is>
      </c>
      <c r="I440" s="255" t="inlineStr">
        <is>
          <t>✅ Paid</t>
        </is>
      </c>
      <c r="J440" s="383" t="inlineStr">
        <is>
          <t>No receipt; cash</t>
        </is>
      </c>
    </row>
    <row r="441">
      <c r="B441" s="382" t="n">
        <v>46209</v>
      </c>
      <c r="C441" s="248" t="inlineStr">
        <is>
          <t>Agua natural</t>
        </is>
      </c>
      <c r="D441" s="249" t="inlineStr">
        <is>
          <t>No bill</t>
        </is>
      </c>
      <c r="E441" s="248" t="inlineStr">
        <is>
          <t>Ingredients - Beverages</t>
        </is>
      </c>
      <c r="F441" s="67" t="n">
        <v>60</v>
      </c>
      <c r="G441" s="250" t="inlineStr">
        <is>
          <t>Restaurant</t>
        </is>
      </c>
      <c r="H441" s="250" t="inlineStr">
        <is>
          <t>Cash</t>
        </is>
      </c>
      <c r="I441" s="251" t="inlineStr">
        <is>
          <t>✅ Paid</t>
        </is>
      </c>
      <c r="J441" s="383" t="inlineStr">
        <is>
          <t>No receipt; cash</t>
        </is>
      </c>
    </row>
    <row r="442">
      <c r="B442" s="382" t="n">
        <v>46210</v>
      </c>
      <c r="C442" s="252" t="inlineStr">
        <is>
          <t>Tortillas</t>
        </is>
      </c>
      <c r="D442" s="253" t="inlineStr">
        <is>
          <t>No bill</t>
        </is>
      </c>
      <c r="E442" s="252" t="inlineStr">
        <is>
          <t>Ingredients - Bread</t>
        </is>
      </c>
      <c r="F442" s="70" t="n">
        <v>49</v>
      </c>
      <c r="G442" s="254" t="inlineStr">
        <is>
          <t>Restaurant</t>
        </is>
      </c>
      <c r="H442" s="254" t="inlineStr">
        <is>
          <t>Cash</t>
        </is>
      </c>
      <c r="I442" s="255" t="inlineStr">
        <is>
          <t>✅ Paid</t>
        </is>
      </c>
      <c r="J442" s="383" t="inlineStr">
        <is>
          <t>No receipt; cash</t>
        </is>
      </c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8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Rent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Staff - Salary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Ingredients - Meat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Supermarket/General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Utilities / Gas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Software / Subscription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Staff - Advance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Utilities / Internet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Packaging / Disposables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Desserts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Packaging/Disposables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Staff - Propinas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80" t="inlineStr">
        <is>
          <t>Office Supplies</t>
        </is>
      </c>
      <c r="B42" s="378">
        <f>SUMIFS('💸 Expenses'!$F$8:$F$500,'💸 Expenses'!$E$8:$E$500,$A42,'💸 Expenses'!$B$8:$B$500,"&gt;="&amp;DATE(2026,5,1),'💸 Expenses'!$B$8:$B$500,"&lt;"&amp;DATE(2026,6,1))</f>
        <v/>
      </c>
      <c r="C42" s="378">
        <f>SUMIFS('💸 Expenses'!$F$8:$F$500,'💸 Expenses'!$E$8:$E$500,$A42,'💸 Expenses'!$B$8:$B$500,"&gt;="&amp;DATE(2026,6,1),'💸 Expenses'!$B$8:$B$500,"&lt;"&amp;DATE(2026,7,1))</f>
        <v/>
      </c>
      <c r="D42" s="378">
        <f>SUMIFS('💸 Expenses'!$F$8:$F$500,'💸 Expenses'!$E$8:$E$500,$A42,'💸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80" t="inlineStr">
        <is>
          <t>Ingredients - Produce</t>
        </is>
      </c>
      <c r="B43" s="378">
        <f>SUMIFS('💸 Expenses'!$F$8:$F$500,'💸 Expenses'!$E$8:$E$500,$A43,'💸 Expenses'!$B$8:$B$500,"&gt;="&amp;DATE(2026,5,1),'💸 Expenses'!$B$8:$B$500,"&lt;"&amp;DATE(2026,6,1))</f>
        <v/>
      </c>
      <c r="C43" s="378">
        <f>SUMIFS('💸 Expenses'!$F$8:$F$500,'💸 Expenses'!$E$8:$E$500,$A43,'💸 Expenses'!$B$8:$B$500,"&gt;="&amp;DATE(2026,6,1),'💸 Expenses'!$B$8:$B$500,"&lt;"&amp;DATE(2026,7,1))</f>
        <v/>
      </c>
      <c r="D43" s="378">
        <f>SUMIFS('💸 Expenses'!$F$8:$F$500,'💸 Expenses'!$E$8:$E$500,$A43,'💸 Expenses'!$B$8:$B$500,"&gt;="&amp;DATE(2026,7,1),'💸 Expenses'!$B$8:$B$500,"&lt;"&amp;DATE(2026,8,1))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7" t="inlineStr">
        <is>
          <t>TOTAL EXPENSES</t>
        </is>
      </c>
      <c r="B44" s="379">
        <f>SUMIFS('💸 Expenses'!$F$8:$F$500,'💸 Expenses'!$B$8:$B$500,"&gt;="&amp;DATE(2026,5,1),'💸 Expenses'!$B$8:$B$500,"&lt;"&amp;DATE(2026,6,1))</f>
        <v/>
      </c>
      <c r="C44" s="379">
        <f>SUMIFS('💸 Expenses'!$F$8:$F$500,'💸 Expenses'!$B$8:$B$500,"&gt;="&amp;DATE(2026,6,1),'💸 Expenses'!$B$8:$B$500,"&lt;"&amp;DATE(2026,7,1))</f>
        <v/>
      </c>
      <c r="D44" s="379">
        <f>SUMIFS('💸 Expenses'!$F$8:$F$500,'💸 Expenses'!$B$8:$B$500,"&gt;="&amp;DATE(2026,7,1),'💸 Expenses'!$B$8:$B$500,"&lt;"&amp;DATE(2026,8,1))</f>
        <v/>
      </c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7" t="inlineStr">
        <is>
          <t>NET PROFIT / LOSS</t>
        </is>
      </c>
      <c r="B45" s="379">
        <f>B4-B44</f>
        <v/>
      </c>
      <c r="C45" s="379">
        <f>C4-C44</f>
        <v/>
      </c>
      <c r="D45" s="379">
        <f>D4-D44</f>
        <v/>
      </c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2026-07-07T23:56:14Z</dcterms:modified>
  <cp:lastModifiedBy>LOHITH REDDY</cp:lastModifiedBy>
</cp:coreProperties>
</file>