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1 Jul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3411.85</v>
      </c>
      <c r="E147" s="286" t="inlineStr">
        <is>
          <t>Operating costs funded from partner capital, net of repayments. Funded: 20,000 (rent Jul) + 17,200.04 (rent Aug) + 8,789 (luz Aug) + 19,314.81 (liquidacion ledger) = 65,303.85. Repaid from operating cash: 20,000 (21-Jul) + 2,587 (22-Jul) + 10,301 (05-Aug) = 32,888. Still owed by Operations: 32,415.85.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-61892</v>
      </c>
      <c r="E149" t="inlineStr">
        <is>
          <t>Cumulative repaid from operating cash (latest 31-Aug-2026 $10,000.00).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Cash still WITH Lohith (Section J)</t>
        </is>
      </c>
      <c r="C162" s="320">
        <f>D140</f>
        <v/>
      </c>
      <c r="E162" t="inlineStr">
        <is>
          <t>Undeployed capital physically in Lohith’s hands</t>
        </is>
      </c>
    </row>
    <row r="163">
      <c r="B163" s="319" t="inlineStr">
        <is>
          <t xml:space="preserve">   Kashigoud still to TRANSFER IN</t>
        </is>
      </c>
      <c r="C163" s="320">
        <f>F100</f>
        <v/>
      </c>
      <c r="E163" t="inlineStr">
        <is>
          <t>Committed $180k not yet fully sent</t>
        </is>
      </c>
    </row>
    <row r="164">
      <c r="B164" s="319" t="inlineStr">
        <is>
          <t xml:space="preserve">   Shashirekha still to TRANSFER IN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With Lohith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319" t="n"/>
      <c r="C168" s="320" t="n"/>
    </row>
    <row r="169">
      <c r="B169" s="319" t="n"/>
      <c r="C169" s="320" t="n"/>
    </row>
    <row r="170">
      <c r="B170" s="319" t="n"/>
      <c r="C170" s="320" t="n"/>
    </row>
    <row r="171">
      <c r="B171" s="317" t="n"/>
      <c r="C171" s="318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</f>
        <v>3755.0</v>
      </c>
      <c r="G6" s="31">
        <f>SUMIFS($G$8:$G$5000,$B$8:$B$5000,TODAY())</f>
        <v>130.0</v>
      </c>
      <c r="H6" s="28">
        <f>SUMIFS($H$8:$H$5000,$B$8:$B$5000,TODAY())</f>
        <v>1438.0</v>
      </c>
      <c r="I6" s="32">
        <f>F6-H6</f>
        <v>2317.0</v>
      </c>
      <c r="J6">
        <f>IFERROR(I6/F6,0)</f>
        <v>0.617044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>3755.0</v>
      </c>
      <c r="N6" s="33">
        <f>SUMPRODUCT((ISNUMBER($B$8:$B$5000))*($B$8:$B$5000&gt;=TODAY()-MOD(TODAY()-2,7))*($B$8:$B$5000&lt;TODAY()-MOD(TODAY()-2,7)+7)*IF(ISNUMBER($F$8:$F$5000),$F$8:$F$5000,0))</f>
        <v>3755.0</v>
      </c>
      <c r="O6" s="33">
        <f>SUMPRODUCT((ISNUMBER($B$8:$B$5000))*(MONTH($B$8:$B$5000)=MONTH(TODAY()))*(YEAR($B$8:$B$5000)=YEAR(TODAY()))*IF(ISNUMBER($F$8:$F$5000),$F$8:$F$5000,0))</f>
        <v>105258.0</v>
      </c>
      <c r="P6">
        <f>SUMPRODUCT((ISNUMBER($B$8:$B$5000))*($B$8:$B$5000&gt;=TODAY()-MOD(TODAY()-2,7))*($B$8:$B$5000&lt;TODAY()-MOD(TODAY()-2,7)+7)*IF(ISNUMBER($H$8:$H$5000),$H$8:$H$5000,0))</f>
        <v>1438.0</v>
      </c>
      <c r="Q6">
        <f>M6-P6</f>
        <v>2317.0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427" t="n">
        <v>46260</v>
      </c>
      <c r="C100" s="270" t="inlineStr">
        <is>
          <t>Wed</t>
        </is>
      </c>
      <c r="D100" s="271" t="n">
        <v>2910</v>
      </c>
      <c r="E100" s="37" t="n">
        <v>2765</v>
      </c>
      <c r="F100" s="38">
        <f>IFERROR(D100+E100+G100+U100+Y100,0)</f>
        <v>5675.0</v>
      </c>
      <c r="G100" s="272" t="n">
        <v>0</v>
      </c>
      <c r="H100" s="273">
        <f>SUMIFS('💸 Expenses'!$F$8:$F$5000,'💸 Expenses'!$B$8:$B$5000,"&gt;="&amp;B100,'💸 Expenses'!$B$8:$B$5000,"&lt;"&amp;(B100+1))</f>
        <v>0.0</v>
      </c>
      <c r="I100" s="274">
        <f>IFERROR(F100-H100,0)</f>
        <v>5675.0</v>
      </c>
      <c r="J100" s="275">
        <f>IFERROR(I100/F100,0)</f>
        <v>1.0</v>
      </c>
      <c r="K100" s="250" t="n"/>
      <c r="L100" s="276" t="inlineStr">
        <is>
          <t>Cierre via loka.py</t>
        </is>
      </c>
      <c r="M100" s="323" t="n"/>
      <c r="N100" s="324" t="n"/>
      <c r="O100" s="325" t="n"/>
      <c r="P100" s="326" t="n"/>
      <c r="Q100" s="324" t="n"/>
      <c r="R100" s="428">
        <f>IFERROR(D100*$T$7,0)</f>
        <v>118.15</v>
      </c>
      <c r="S100" s="324" t="n"/>
      <c r="T100" s="324" t="n"/>
      <c r="U100" s="428" t="n">
        <v>0</v>
      </c>
      <c r="V100" s="428" t="n">
        <v>0</v>
      </c>
      <c r="W100" s="324" t="n"/>
      <c r="X100" s="324" t="n"/>
      <c r="Y100" s="428" t="n">
        <v>0</v>
      </c>
      <c r="Z100" s="428" t="n">
        <v>0</v>
      </c>
      <c r="AA100" s="324" t="n"/>
      <c r="AB100" s="324" t="n"/>
    </row>
    <row r="101" ht="16.5" customHeight="1" s="331">
      <c r="B101" s="427" t="n">
        <v>46261</v>
      </c>
      <c r="C101" s="255" t="inlineStr">
        <is>
          <t>Thu</t>
        </is>
      </c>
      <c r="D101" s="256" t="n">
        <v>835</v>
      </c>
      <c r="E101" s="49" t="n">
        <v>2815</v>
      </c>
      <c r="F101" s="50">
        <f>IFERROR(D101+E101+G101+U101+Y101,0)</f>
        <v>3910.0</v>
      </c>
      <c r="G101" s="257" t="n">
        <v>260</v>
      </c>
      <c r="H101" s="258">
        <f>SUMIFS('💸 Expenses'!$F$8:$F$5000,'💸 Expenses'!$B$8:$B$5000,"&gt;="&amp;B101,'💸 Expenses'!$B$8:$B$5000,"&lt;"&amp;(B101+1))</f>
        <v>565.0</v>
      </c>
      <c r="I101" s="259">
        <f>IFERROR(F101-H101,0)</f>
        <v>3345.0</v>
      </c>
      <c r="J101" s="260">
        <f>IFERROR(I101/F101,0)</f>
        <v>0.855499</v>
      </c>
      <c r="K101" s="254" t="n"/>
      <c r="L101" s="261" t="inlineStr">
        <is>
          <t>Cierre via loka.py</t>
        </is>
      </c>
      <c r="M101" s="291" t="n"/>
      <c r="N101" s="292" t="n"/>
      <c r="O101" s="293" t="n"/>
      <c r="P101" s="294" t="n"/>
      <c r="Q101" s="292" t="n"/>
      <c r="R101" s="443">
        <f>IFERROR(D101*$T$7,0)</f>
        <v>33.9</v>
      </c>
      <c r="S101" s="292" t="n"/>
      <c r="T101" s="292" t="n"/>
      <c r="U101" s="443" t="n">
        <v>0</v>
      </c>
      <c r="V101" s="443" t="n">
        <v>0</v>
      </c>
      <c r="W101" s="292" t="n"/>
      <c r="X101" s="292" t="n"/>
      <c r="Y101" s="443" t="n">
        <v>0</v>
      </c>
      <c r="Z101" s="443" t="n">
        <v>0</v>
      </c>
      <c r="AA101" s="292" t="n"/>
      <c r="AB101" s="292" t="n"/>
    </row>
    <row r="102" ht="16.5" customHeight="1" s="331">
      <c r="B102" s="427" t="n">
        <v>46262</v>
      </c>
      <c r="C102" s="270" t="inlineStr">
        <is>
          <t>Fri</t>
        </is>
      </c>
      <c r="D102" s="271" t="n">
        <v>1110</v>
      </c>
      <c r="E102" s="37" t="n">
        <v>590</v>
      </c>
      <c r="F102" s="38">
        <f>IFERROR(D102+E102+G102+U102+Y102,0)</f>
        <v>1935.0</v>
      </c>
      <c r="G102" s="272" t="n">
        <v>235</v>
      </c>
      <c r="H102" s="273">
        <f>SUMIFS('💸 Expenses'!$F$8:$F$5000,'💸 Expenses'!$B$8:$B$5000,"&gt;="&amp;B102,'💸 Expenses'!$B$8:$B$5000,"&lt;"&amp;(B102+1))</f>
        <v>2071.0</v>
      </c>
      <c r="I102" s="274">
        <f>IFERROR(F102-H102,0)</f>
        <v>-136.0</v>
      </c>
      <c r="J102" s="275">
        <f>IFERROR(I102/F102,0)</f>
        <v>-0.070284</v>
      </c>
      <c r="K102" s="250" t="n"/>
      <c r="L102" s="276" t="inlineStr">
        <is>
          <t>Cierre via loka.py</t>
        </is>
      </c>
      <c r="M102" s="323" t="n"/>
      <c r="N102" s="324" t="n"/>
      <c r="O102" s="325" t="n"/>
      <c r="P102" s="326" t="n"/>
      <c r="Q102" s="324" t="n"/>
      <c r="R102" s="428">
        <f>IFERROR(D102*$T$7,0)</f>
        <v>45.07</v>
      </c>
      <c r="S102" s="324" t="n"/>
      <c r="T102" s="324" t="n"/>
      <c r="U102" s="428" t="n">
        <v>0</v>
      </c>
      <c r="V102" s="428" t="n">
        <v>0</v>
      </c>
      <c r="W102" s="324" t="n"/>
      <c r="X102" s="324" t="n"/>
      <c r="Y102" s="428" t="n">
        <v>0</v>
      </c>
      <c r="Z102" s="428" t="n">
        <v>0</v>
      </c>
      <c r="AA102" s="324" t="n"/>
      <c r="AB102" s="324" t="n"/>
    </row>
    <row r="103" ht="16.5" customHeight="1" s="331">
      <c r="B103" s="427" t="n">
        <v>46263</v>
      </c>
      <c r="C103" s="255" t="inlineStr">
        <is>
          <t>Sat</t>
        </is>
      </c>
      <c r="D103" s="256" t="n">
        <v>110</v>
      </c>
      <c r="E103" s="49" t="n">
        <v>980</v>
      </c>
      <c r="F103" s="50">
        <f>IFERROR(D103+E103+G103+U103+Y103,0)</f>
        <v>2160.0</v>
      </c>
      <c r="G103" s="257" t="n">
        <v>0</v>
      </c>
      <c r="H103" s="258">
        <f>SUMIFS('💸 Expenses'!$F$8:$F$5000,'💸 Expenses'!$B$8:$B$5000,"&gt;="&amp;B103,'💸 Expenses'!$B$8:$B$5000,"&lt;"&amp;(B103+1))</f>
        <v>6970.0</v>
      </c>
      <c r="I103" s="259">
        <f>IFERROR(F103-H103,0)</f>
        <v>-4810.0</v>
      </c>
      <c r="J103" s="260">
        <f>IFERROR(I103/F103,0)</f>
        <v>-2.226852</v>
      </c>
      <c r="K103" s="254" t="n"/>
      <c r="L103" s="261" t="inlineStr">
        <is>
          <t>Cierre via loka.py</t>
        </is>
      </c>
      <c r="M103" s="291" t="n"/>
      <c r="N103" s="292" t="n"/>
      <c r="O103" s="293" t="n"/>
      <c r="P103" s="294" t="n"/>
      <c r="Q103" s="292" t="n"/>
      <c r="R103" s="443">
        <f>IFERROR(D103*$T$7,0)</f>
        <v>4.47</v>
      </c>
      <c r="S103" s="292" t="n"/>
      <c r="T103" s="292" t="n"/>
      <c r="U103" s="443" t="n">
        <v>0</v>
      </c>
      <c r="V103" s="443" t="n">
        <v>0</v>
      </c>
      <c r="W103" s="292" t="n"/>
      <c r="X103" s="292" t="n"/>
      <c r="Y103" s="443" t="n">
        <v>1070</v>
      </c>
      <c r="Z103" s="443" t="n">
        <v>20.33</v>
      </c>
      <c r="AA103" s="292" t="n"/>
      <c r="AB103" s="292" t="n"/>
    </row>
    <row r="104" ht="16.5" customHeight="1" s="331">
      <c r="B104" s="427" t="n">
        <v>46265</v>
      </c>
      <c r="C104" s="270" t="inlineStr">
        <is>
          <t>Mon</t>
        </is>
      </c>
      <c r="D104" s="271" t="n">
        <v>875</v>
      </c>
      <c r="E104" s="37" t="n">
        <v>1260</v>
      </c>
      <c r="F104" s="38">
        <f>IFERROR(D104+E104+G104+U104+Y104,0)</f>
        <v>3755.0</v>
      </c>
      <c r="G104" s="272" t="n">
        <v>130</v>
      </c>
      <c r="H104" s="273">
        <f>SUMIFS('💸 Expenses'!$F$8:$F$5000,'💸 Expenses'!$B$8:$B$5000,"&gt;="&amp;B104,'💸 Expenses'!$B$8:$B$5000,"&lt;"&amp;(B104+1))</f>
        <v>1438.0</v>
      </c>
      <c r="I104" s="274">
        <f>IFERROR(F104-H104,0)</f>
        <v>2317.0</v>
      </c>
      <c r="J104" s="275">
        <f>IFERROR(I104/F104,0)</f>
        <v>0.617044</v>
      </c>
      <c r="K104" s="250" t="n"/>
      <c r="L104" s="276" t="inlineStr">
        <is>
          <t>Cierre via loka.py</t>
        </is>
      </c>
      <c r="M104" s="323" t="n"/>
      <c r="N104" s="324" t="n"/>
      <c r="O104" s="325" t="n"/>
      <c r="P104" s="326" t="n"/>
      <c r="Q104" s="324" t="n"/>
      <c r="R104" s="428">
        <f>IFERROR(D104*$T$7,0)</f>
        <v>35.52</v>
      </c>
      <c r="S104" s="324" t="n"/>
      <c r="T104" s="324" t="n"/>
      <c r="U104" s="428" t="n">
        <v>0</v>
      </c>
      <c r="V104" s="428" t="n">
        <v>0</v>
      </c>
      <c r="W104" s="324" t="n"/>
      <c r="X104" s="324" t="n"/>
      <c r="Y104" s="428" t="n">
        <v>1490</v>
      </c>
      <c r="Z104" s="428" t="n">
        <v>28.31</v>
      </c>
      <c r="AA104" s="324" t="n"/>
      <c r="AB104" s="324" t="n"/>
    </row>
    <row r="105" ht="16.5" customHeight="1" s="331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31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31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31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31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31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31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31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31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31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31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31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31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31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31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31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31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3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3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706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  <row r="691">
      <c r="B691" s="429" t="n">
        <v>46261</v>
      </c>
      <c r="C691" s="297" t="inlineStr">
        <is>
          <t>Carne</t>
        </is>
      </c>
      <c r="D691" s="298" t="inlineStr">
        <is>
          <t>No bill</t>
        </is>
      </c>
      <c r="E691" s="297" t="inlineStr">
        <is>
          <t>Ingredients - Meat</t>
        </is>
      </c>
      <c r="F691" s="299" t="n">
        <v>439</v>
      </c>
      <c r="G691" s="300" t="inlineStr">
        <is>
          <t>Restaurant</t>
        </is>
      </c>
      <c r="H691" s="300" t="inlineStr">
        <is>
          <t>Cash</t>
        </is>
      </c>
      <c r="I691" s="301" t="inlineStr">
        <is>
          <t>✅ Paid</t>
        </is>
      </c>
      <c r="J691" s="423" t="inlineStr">
        <is>
          <t>No receipt; cash</t>
        </is>
      </c>
    </row>
    <row r="692">
      <c r="B692" s="429" t="n">
        <v>46261</v>
      </c>
      <c r="C692" s="297" t="inlineStr">
        <is>
          <t>Chedraui</t>
        </is>
      </c>
      <c r="D692" s="298" t="inlineStr">
        <is>
          <t>Chedraui</t>
        </is>
      </c>
      <c r="E692" s="297" t="inlineStr">
        <is>
          <t>Supermarket/General</t>
        </is>
      </c>
      <c r="F692" s="299" t="n">
        <v>126</v>
      </c>
      <c r="G692" s="300" t="inlineStr">
        <is>
          <t>Restaurant</t>
        </is>
      </c>
      <c r="H692" s="300" t="inlineStr">
        <is>
          <t>Cash</t>
        </is>
      </c>
      <c r="I692" s="301" t="inlineStr">
        <is>
          <t>✅ Paid</t>
        </is>
      </c>
      <c r="J692" s="423" t="inlineStr">
        <is>
          <t>No receipt; cash</t>
        </is>
      </c>
    </row>
    <row r="693">
      <c r="B693" s="429" t="n">
        <v>46262</v>
      </c>
      <c r="C693" s="297" t="inlineStr">
        <is>
          <t>Vegetables</t>
        </is>
      </c>
      <c r="D693" s="298" t="inlineStr">
        <is>
          <t>No bill</t>
        </is>
      </c>
      <c r="E693" s="297" t="inlineStr">
        <is>
          <t>Ingredients - Vegetables</t>
        </is>
      </c>
      <c r="F693" s="299" t="n">
        <v>93</v>
      </c>
      <c r="G693" s="300" t="inlineStr">
        <is>
          <t>Restaurant</t>
        </is>
      </c>
      <c r="H693" s="300" t="inlineStr">
        <is>
          <t>Cash</t>
        </is>
      </c>
      <c r="I693" s="301" t="inlineStr">
        <is>
          <t>✅ Paid</t>
        </is>
      </c>
      <c r="J693" s="423" t="inlineStr">
        <is>
          <t>No receipt; cash</t>
        </is>
      </c>
    </row>
    <row r="694">
      <c r="B694" s="429" t="n">
        <v>46262</v>
      </c>
      <c r="C694" s="297" t="inlineStr">
        <is>
          <t>Pan Molido</t>
        </is>
      </c>
      <c r="D694" s="298" t="inlineStr">
        <is>
          <t>No bill</t>
        </is>
      </c>
      <c r="E694" s="297" t="inlineStr">
        <is>
          <t>Ingredients - Bread</t>
        </is>
      </c>
      <c r="F694" s="299" t="n">
        <v>72</v>
      </c>
      <c r="G694" s="300" t="inlineStr">
        <is>
          <t>Restaurant</t>
        </is>
      </c>
      <c r="H694" s="300" t="inlineStr">
        <is>
          <t>Cash</t>
        </is>
      </c>
      <c r="I694" s="301" t="inlineStr">
        <is>
          <t>✅ Paid</t>
        </is>
      </c>
      <c r="J694" s="423" t="inlineStr">
        <is>
          <t>No receipt; cash</t>
        </is>
      </c>
    </row>
    <row r="695">
      <c r="B695" s="429" t="n">
        <v>46262</v>
      </c>
      <c r="C695" s="297" t="inlineStr">
        <is>
          <t>Oxxo Aceite</t>
        </is>
      </c>
      <c r="D695" s="298" t="inlineStr">
        <is>
          <t>OXXO</t>
        </is>
      </c>
      <c r="E695" s="297" t="inlineStr">
        <is>
          <t>Ingredients - Pantry</t>
        </is>
      </c>
      <c r="F695" s="299" t="n">
        <v>56</v>
      </c>
      <c r="G695" s="300" t="inlineStr">
        <is>
          <t>Restaurant</t>
        </is>
      </c>
      <c r="H695" s="300" t="inlineStr">
        <is>
          <t>Cash</t>
        </is>
      </c>
      <c r="I695" s="301" t="inlineStr">
        <is>
          <t>✅ Paid</t>
        </is>
      </c>
      <c r="J695" s="423" t="inlineStr">
        <is>
          <t>No receipt; cash</t>
        </is>
      </c>
    </row>
    <row r="696">
      <c r="B696" s="429" t="n">
        <v>46262</v>
      </c>
      <c r="C696" s="297" t="inlineStr">
        <is>
          <t>Armando - salary</t>
        </is>
      </c>
      <c r="D696" s="298" t="inlineStr">
        <is>
          <t>Payroll</t>
        </is>
      </c>
      <c r="E696" s="297" t="inlineStr">
        <is>
          <t>Staff - Salary</t>
        </is>
      </c>
      <c r="F696" s="299" t="n">
        <v>1850</v>
      </c>
      <c r="G696" s="300" t="inlineStr">
        <is>
          <t>Restaurant</t>
        </is>
      </c>
      <c r="H696" s="300" t="inlineStr">
        <is>
          <t>Cash</t>
        </is>
      </c>
      <c r="I696" s="301" t="inlineStr">
        <is>
          <t>✅ Paid</t>
        </is>
      </c>
      <c r="J696" s="423" t="inlineStr">
        <is>
          <t>Weekly salary</t>
        </is>
      </c>
    </row>
    <row r="697">
      <c r="B697" s="429" t="n">
        <v>46263</v>
      </c>
      <c r="C697" s="297" t="inlineStr">
        <is>
          <t>Vegetables</t>
        </is>
      </c>
      <c r="D697" s="298" t="inlineStr">
        <is>
          <t>No bill</t>
        </is>
      </c>
      <c r="E697" s="297" t="inlineStr">
        <is>
          <t>Ingredients - Vegetables</t>
        </is>
      </c>
      <c r="F697" s="299" t="n">
        <v>1210</v>
      </c>
      <c r="G697" s="300" t="inlineStr">
        <is>
          <t>Restaurant</t>
        </is>
      </c>
      <c r="H697" s="300" t="inlineStr">
        <is>
          <t>Cash</t>
        </is>
      </c>
      <c r="I697" s="301" t="inlineStr">
        <is>
          <t>✅ Paid</t>
        </is>
      </c>
      <c r="J697" s="423" t="inlineStr">
        <is>
          <t>No receipt; cash</t>
        </is>
      </c>
    </row>
    <row r="698">
      <c r="B698" s="429" t="n">
        <v>46263</v>
      </c>
      <c r="C698" s="297" t="inlineStr">
        <is>
          <t>Soft app license</t>
        </is>
      </c>
      <c r="D698" s="298" t="inlineStr">
        <is>
          <t>No bill</t>
        </is>
      </c>
      <c r="E698" s="297" t="inlineStr">
        <is>
          <t>Software/Subscription</t>
        </is>
      </c>
      <c r="F698" s="299" t="n">
        <v>810</v>
      </c>
      <c r="G698" s="300" t="inlineStr">
        <is>
          <t>Restaurant</t>
        </is>
      </c>
      <c r="H698" s="300" t="inlineStr">
        <is>
          <t>Cash</t>
        </is>
      </c>
      <c r="I698" s="301" t="inlineStr">
        <is>
          <t>✅ Paid</t>
        </is>
      </c>
      <c r="J698" s="423" t="inlineStr">
        <is>
          <t>No receipt; cash</t>
        </is>
      </c>
    </row>
    <row r="699">
      <c r="B699" s="429" t="n">
        <v>46263</v>
      </c>
      <c r="C699" s="297" t="inlineStr">
        <is>
          <t>Duvi - salary</t>
        </is>
      </c>
      <c r="D699" s="298" t="inlineStr">
        <is>
          <t>Payroll</t>
        </is>
      </c>
      <c r="E699" s="297" t="inlineStr">
        <is>
          <t>Staff - Salary</t>
        </is>
      </c>
      <c r="F699" s="299" t="n">
        <v>1200</v>
      </c>
      <c r="G699" s="300" t="inlineStr">
        <is>
          <t>Restaurant</t>
        </is>
      </c>
      <c r="H699" s="300" t="inlineStr">
        <is>
          <t>Cash</t>
        </is>
      </c>
      <c r="I699" s="301" t="inlineStr">
        <is>
          <t>✅ Paid</t>
        </is>
      </c>
      <c r="J699" s="423" t="inlineStr">
        <is>
          <t>Weekly salary</t>
        </is>
      </c>
    </row>
    <row r="700">
      <c r="B700" s="429" t="n">
        <v>46263</v>
      </c>
      <c r="C700" s="297" t="inlineStr">
        <is>
          <t>Jhon - salary</t>
        </is>
      </c>
      <c r="D700" s="298" t="inlineStr">
        <is>
          <t>Payroll</t>
        </is>
      </c>
      <c r="E700" s="297" t="inlineStr">
        <is>
          <t>Staff - Salary</t>
        </is>
      </c>
      <c r="F700" s="299" t="n">
        <v>3750</v>
      </c>
      <c r="G700" s="300" t="inlineStr">
        <is>
          <t>Restaurant</t>
        </is>
      </c>
      <c r="H700" s="300" t="inlineStr">
        <is>
          <t>Cash</t>
        </is>
      </c>
      <c r="I700" s="301" t="inlineStr">
        <is>
          <t>✅ Paid</t>
        </is>
      </c>
      <c r="J700" s="423" t="inlineStr">
        <is>
          <t>Weekly salary</t>
        </is>
      </c>
    </row>
    <row r="701">
      <c r="B701" s="429" t="n">
        <v>46265</v>
      </c>
      <c r="C701" s="297" t="inlineStr">
        <is>
          <t>Carne</t>
        </is>
      </c>
      <c r="D701" s="298" t="inlineStr">
        <is>
          <t>No bill</t>
        </is>
      </c>
      <c r="E701" s="297" t="inlineStr">
        <is>
          <t>Ingredients - Meat</t>
        </is>
      </c>
      <c r="F701" s="299" t="n">
        <v>276</v>
      </c>
      <c r="G701" s="300" t="inlineStr">
        <is>
          <t>Restaurant</t>
        </is>
      </c>
      <c r="H701" s="300" t="inlineStr">
        <is>
          <t>Cash</t>
        </is>
      </c>
      <c r="I701" s="301" t="inlineStr">
        <is>
          <t>✅ Paid</t>
        </is>
      </c>
      <c r="J701" s="423" t="inlineStr">
        <is>
          <t>No receipt; cash</t>
        </is>
      </c>
    </row>
    <row r="702">
      <c r="B702" s="429" t="n">
        <v>46265</v>
      </c>
      <c r="C702" s="297" t="inlineStr">
        <is>
          <t>Carne</t>
        </is>
      </c>
      <c r="D702" s="298" t="inlineStr">
        <is>
          <t>No bill</t>
        </is>
      </c>
      <c r="E702" s="297" t="inlineStr">
        <is>
          <t>Ingredients - Meat</t>
        </is>
      </c>
      <c r="F702" s="299" t="n">
        <v>293</v>
      </c>
      <c r="G702" s="300" t="inlineStr">
        <is>
          <t>Restaurant</t>
        </is>
      </c>
      <c r="H702" s="300" t="inlineStr">
        <is>
          <t>Cash</t>
        </is>
      </c>
      <c r="I702" s="301" t="inlineStr">
        <is>
          <t>✅ Paid</t>
        </is>
      </c>
      <c r="J702" s="423" t="inlineStr">
        <is>
          <t>No receipt; cash</t>
        </is>
      </c>
    </row>
    <row r="703">
      <c r="B703" s="429" t="n">
        <v>46265</v>
      </c>
      <c r="C703" s="297" t="inlineStr">
        <is>
          <t>Oxxo Aceite</t>
        </is>
      </c>
      <c r="D703" s="298" t="inlineStr">
        <is>
          <t>OXXO</t>
        </is>
      </c>
      <c r="E703" s="297" t="inlineStr">
        <is>
          <t>Ingredients - Pantry</t>
        </is>
      </c>
      <c r="F703" s="299" t="n">
        <v>112</v>
      </c>
      <c r="G703" s="300" t="inlineStr">
        <is>
          <t>Restaurant</t>
        </is>
      </c>
      <c r="H703" s="300" t="inlineStr">
        <is>
          <t>Cash</t>
        </is>
      </c>
      <c r="I703" s="301" t="inlineStr">
        <is>
          <t>✅ Paid</t>
        </is>
      </c>
      <c r="J703" s="423" t="inlineStr">
        <is>
          <t>No receipt; cash</t>
        </is>
      </c>
    </row>
    <row r="704">
      <c r="B704" s="429" t="n">
        <v>46265</v>
      </c>
      <c r="C704" s="297" t="inlineStr">
        <is>
          <t>Agua Natural</t>
        </is>
      </c>
      <c r="D704" s="298" t="inlineStr">
        <is>
          <t>No bill</t>
        </is>
      </c>
      <c r="E704" s="297" t="inlineStr">
        <is>
          <t>Ingredients - Beverages</t>
        </is>
      </c>
      <c r="F704" s="299" t="n">
        <v>75</v>
      </c>
      <c r="G704" s="300" t="inlineStr">
        <is>
          <t>Restaurant</t>
        </is>
      </c>
      <c r="H704" s="300" t="inlineStr">
        <is>
          <t>Cash</t>
        </is>
      </c>
      <c r="I704" s="301" t="inlineStr">
        <is>
          <t>✅ Paid</t>
        </is>
      </c>
      <c r="J704" s="423" t="inlineStr">
        <is>
          <t>No receipt; cash</t>
        </is>
      </c>
    </row>
    <row r="705">
      <c r="B705" s="429" t="n">
        <v>46265</v>
      </c>
      <c r="C705" s="297" t="inlineStr">
        <is>
          <t>Chedraui</t>
        </is>
      </c>
      <c r="D705" s="298" t="inlineStr">
        <is>
          <t>Chedraui</t>
        </is>
      </c>
      <c r="E705" s="297" t="inlineStr">
        <is>
          <t>Supermarket/General</t>
        </is>
      </c>
      <c r="F705" s="299" t="n">
        <v>92</v>
      </c>
      <c r="G705" s="300" t="inlineStr">
        <is>
          <t>Restaurant</t>
        </is>
      </c>
      <c r="H705" s="300" t="inlineStr">
        <is>
          <t>Cash</t>
        </is>
      </c>
      <c r="I705" s="301" t="inlineStr">
        <is>
          <t>✅ Paid</t>
        </is>
      </c>
      <c r="J705" s="423" t="inlineStr">
        <is>
          <t>No receipt; cash</t>
        </is>
      </c>
    </row>
    <row r="706">
      <c r="B706" s="429" t="n">
        <v>46265</v>
      </c>
      <c r="C706" s="297" t="inlineStr">
        <is>
          <t>Queso Panela</t>
        </is>
      </c>
      <c r="D706" s="298" t="inlineStr">
        <is>
          <t>No bill</t>
        </is>
      </c>
      <c r="E706" s="297" t="inlineStr">
        <is>
          <t>Ingredients - Dairy</t>
        </is>
      </c>
      <c r="F706" s="299" t="n">
        <v>590</v>
      </c>
      <c r="G706" s="300" t="inlineStr">
        <is>
          <t>Restaurant</t>
        </is>
      </c>
      <c r="H706" s="300" t="inlineStr">
        <is>
          <t>Cash</t>
        </is>
      </c>
      <c r="I706" s="301" t="inlineStr">
        <is>
          <t>✅ Paid</t>
        </is>
      </c>
      <c r="J706" s="423" t="inlineStr">
        <is>
          <t>No receipt; cash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1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370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Armando — Ayudante Salary</t>
        </is>
      </c>
      <c r="B37" s="199" t="n">
        <v>1850</v>
      </c>
      <c r="C37" s="220" t="n">
        <v>7400</v>
      </c>
      <c r="D37" s="221" t="inlineStr">
        <is>
          <t>$370/day · 5 days Mon–Fri · Sat not available · started 13 Aug 2026 (first payment $740 = 2 days on 14 Aug). Replaces Samu.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Debi + Armando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Samu left Aug 2026 — replaced by Armando ($1,850/wk vs $1,200/wk)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9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3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3" t="n"/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3" t="n"/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3" t="n"/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3" t="n"/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33" t="n"/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3" t="n"/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3" t="n"/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</t>
        </is>
      </c>
      <c r="B11" s="437">
        <f>SUMIFS('📅 Daily Log'!$D$8:$D$5000,'📅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</f>
        <v/>
      </c>
      <c r="F11" s="433" t="n"/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3" t="n"/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3" t="n"/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3" t="n"/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3" t="n"/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3" t="n"/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3" t="n"/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3" t="n"/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Ingredients - Vegetables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3" t="n"/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Supermarket/General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3" t="n"/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Ingredients - Pantry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3" t="n"/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Dairy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3" t="n"/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Beverages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3" t="n"/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Ingredients - Bread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3" t="n"/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Utilities/Electricity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3" t="n"/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Supplies/Other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3" t="n"/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Ingredients - Meat &amp; Fish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3" t="n"/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Maintenance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3" t="n"/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Packaging/Disposables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3" t="n"/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Utilities/Gas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3" t="n"/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Ingredients - Fruit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3" t="n"/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Kitchen Supplies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3" t="n"/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Utilities/Internet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3" t="n"/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Software/Subscription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3" t="n"/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Office Supplies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3" t="n"/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Ingredients - Other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3" t="n"/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Staff - Advance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3" t="n"/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Ingredients - Eggs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3" t="n"/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Ingredients - Desserts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3" t="n"/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Staff - Propinas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3" t="n"/>
      <c r="G41" s="433" t="n"/>
      <c r="H41" s="433" t="n"/>
      <c r="I41" s="433" t="n"/>
      <c r="J41" s="433" t="n"/>
      <c r="K41" s="433" t="n"/>
      <c r="L41" s="433" t="n"/>
    </row>
    <row r="42">
      <c r="A42" s="436" t="inlineStr">
        <is>
          <t>TOTAL EXPENSES</t>
        </is>
      </c>
      <c r="B42" s="438">
        <f>SUMIFS('💸 Expenses'!$F$8:$F$5000,'💸 Expenses'!$B$8:$B$5000,"&gt;="&amp;DATE(2026,5,1),'💸 Expenses'!$B$8:$B$5000,"&lt;"&amp;DATE(2026,6,1))</f>
        <v/>
      </c>
      <c r="C42" s="438">
        <f>SUMIFS('💸 Expenses'!$F$8:$F$5000,'💸 Expenses'!$B$8:$B$5000,"&gt;="&amp;DATE(2026,6,1),'💸 Expenses'!$B$8:$B$5000,"&lt;"&amp;DATE(2026,7,1))</f>
        <v/>
      </c>
      <c r="D42" s="438">
        <f>SUMIFS('💸 Expenses'!$F$8:$F$5000,'💸 Expenses'!$B$8:$B$5000,"&gt;="&amp;DATE(2026,7,1),'💸 Expenses'!$B$8:$B$5000,"&lt;"&amp;DATE(2026,8,1))</f>
        <v/>
      </c>
      <c r="E42" s="438">
        <f>SUMIFS('💸 Expenses'!$F$8:$F$5000,'💸 Expenses'!$B$8:$B$5000,"&gt;="&amp;DATE(2026,8,1),'💸 Expenses'!$B$8:$B$5000,"&lt;"&amp;DATE(2026,9,1))</f>
        <v/>
      </c>
      <c r="F42" s="433" t="n"/>
      <c r="G42" s="433" t="n"/>
      <c r="H42" s="433" t="n"/>
      <c r="I42" s="433" t="n"/>
      <c r="J42" s="433" t="n"/>
      <c r="K42" s="433" t="n"/>
      <c r="L42" s="433" t="n"/>
    </row>
    <row r="43">
      <c r="A43" s="436" t="inlineStr">
        <is>
          <t>NET PROFIT / LOSS</t>
        </is>
      </c>
      <c r="B43" s="438">
        <f>B4-B42</f>
        <v/>
      </c>
      <c r="C43" s="438">
        <f>C4-C42</f>
        <v/>
      </c>
      <c r="D43" s="438">
        <f>D4-D42</f>
        <v/>
      </c>
      <c r="E43" s="438">
        <f>E4-E42</f>
        <v/>
      </c>
      <c r="F43" s="433" t="n"/>
      <c r="G43" s="433" t="n"/>
      <c r="H43" s="433" t="n"/>
      <c r="I43" s="433" t="n"/>
      <c r="J43" s="433" t="n"/>
      <c r="K43" s="433" t="n"/>
      <c r="L43" s="433" t="n"/>
    </row>
    <row r="44">
      <c r="A44" s="433" t="n"/>
      <c r="B44" s="433" t="n"/>
      <c r="C44" s="433" t="n"/>
      <c r="D44" s="433" t="n"/>
      <c r="E44" s="433" t="n"/>
      <c r="F44" s="433" t="n"/>
      <c r="G44" s="433" t="n"/>
      <c r="H44" s="433" t="n"/>
      <c r="I44" s="433" t="n"/>
      <c r="J44" s="433" t="n"/>
      <c r="K44" s="433" t="n"/>
      <c r="L44" s="433" t="n"/>
    </row>
    <row r="45">
      <c r="A45" s="433" t="n"/>
      <c r="B45" s="433" t="n"/>
      <c r="C45" s="433" t="n"/>
      <c r="D45" s="433" t="n"/>
      <c r="E45" s="433" t="n"/>
      <c r="F45" s="433" t="n"/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E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Transfer Received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Received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n">
        <v>46261</v>
      </c>
      <c r="B78" s="232" t="inlineStr">
        <is>
          <t>Transfer-to-me (customer payment 27-Aug)</t>
        </is>
      </c>
      <c r="C78" s="232" t="inlineStr">
        <is>
          <t>Transfer Received</t>
        </is>
      </c>
      <c r="D78" s="232" t="n"/>
      <c r="E78" s="233" t="n">
        <v>260</v>
      </c>
      <c r="F78" s="233">
        <f>IFERROR(F77+D78-E78,0)</f>
        <v/>
      </c>
      <c r="G78" s="232" t="inlineStr">
        <is>
          <t>✅ Received</t>
        </is>
      </c>
      <c r="H78" s="232" t="inlineStr">
        <is>
          <t>Customer paid Lohith personal acct</t>
        </is>
      </c>
    </row>
    <row r="79">
      <c r="A79" s="430" t="n">
        <v>46262</v>
      </c>
      <c r="B79" s="232" t="inlineStr">
        <is>
          <t>Transfer-to-me (customer payment 28-Aug)</t>
        </is>
      </c>
      <c r="C79" s="232" t="inlineStr">
        <is>
          <t>Transfer Received</t>
        </is>
      </c>
      <c r="D79" s="232" t="n"/>
      <c r="E79" s="233" t="n">
        <v>235</v>
      </c>
      <c r="F79" s="233">
        <f>IFERROR(F78+D79-E79,0)</f>
        <v/>
      </c>
      <c r="G79" s="232" t="inlineStr">
        <is>
          <t>✅ Received</t>
        </is>
      </c>
      <c r="H79" s="232" t="inlineStr">
        <is>
          <t>Customer paid Lohith personal acct</t>
        </is>
      </c>
    </row>
    <row r="80">
      <c r="A80" s="430" t="n">
        <v>46265</v>
      </c>
      <c r="B80" s="232" t="inlineStr">
        <is>
          <t>Transfer-to-me (customer payment 31-Aug)</t>
        </is>
      </c>
      <c r="C80" s="232" t="inlineStr">
        <is>
          <t>Transfer Received</t>
        </is>
      </c>
      <c r="D80" s="232" t="n"/>
      <c r="E80" s="233" t="n">
        <v>130</v>
      </c>
      <c r="F80" s="233">
        <f>IFERROR(F79+D80-E80,0)</f>
        <v/>
      </c>
      <c r="G80" s="232" t="inlineStr">
        <is>
          <t>✅ Received</t>
        </is>
      </c>
      <c r="H80" s="232" t="inlineStr">
        <is>
          <t>Customer paid Lohith personal acct</t>
        </is>
      </c>
    </row>
    <row r="81">
      <c r="A81" s="430" t="inlineStr">
        <is>
          <t>TOTALS &amp; CURRENT BALANCE</t>
        </is>
      </c>
      <c r="B81" s="232" t="n"/>
      <c r="C81" s="232" t="n"/>
      <c r="D81" s="232">
        <f>SUM(D4:D80)</f>
        <v/>
      </c>
      <c r="E81" s="233">
        <f>SUM(E4:E80)</f>
        <v/>
      </c>
      <c r="F81" s="233">
        <f>F80</f>
        <v/>
      </c>
      <c r="G81" s="232">
        <f>IF(F80&gt;0,"Restaurant owes Lohith $"&amp;TEXT(F80,"#,##0"),IF(F80&lt;0,"Lohith holds $"&amp;TEXT(ABS(F80),"#,##0"),"Zero balance"))</f>
        <v/>
      </c>
      <c r="H81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2026-09-01T00:12:36Z</dcterms:modified>
  <cp:lastModifiedBy>LOHITH REDDY</cp:lastModifiedBy>
</cp:coreProperties>
</file>