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267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4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25 May 2026  |  Blue = hardcoded inputs   Yellow = add new expenses here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D47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D34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D59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$164,500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s="17" t="inlineStr">
        <is>
          <t>Balance Remaining</t>
        </is>
      </c>
      <c r="C22" s="18" t="n"/>
      <c r="D22" s="19">
        <f>D13-SUM(D14:D21)</f>
        <v/>
      </c>
      <c r="E22" s="17" t="inlineStr">
        <is>
          <t>—</t>
        </is>
      </c>
      <c r="F22" s="17" t="inlineStr">
        <is>
          <t>⏳ PENDING</t>
        </is>
      </c>
      <c r="G22" s="17" t="inlineStr">
        <is>
          <t>$390,000 total − $225,500 paid = $164,500 remaining</t>
        </is>
      </c>
    </row>
    <row r="24" ht="25.95" customHeight="1" s="186">
      <c r="B24" s="183" t="inlineStr">
        <is>
          <t xml:space="preserve">  PAYMENT BREAKDOWN  —  How the $390,000 will be funded</t>
        </is>
      </c>
    </row>
    <row r="25" ht="22.05" customHeight="1" s="186">
      <c r="B25" s="229" t="inlineStr">
        <is>
          <t>Source</t>
        </is>
      </c>
      <c r="C25" s="229" t="inlineStr">
        <is>
          <t>From</t>
        </is>
      </c>
      <c r="D25" s="229" t="inlineStr">
        <is>
          <t>Amount ($)</t>
        </is>
      </c>
      <c r="E25" s="229" t="inlineStr">
        <is>
          <t>Toward %</t>
        </is>
      </c>
      <c r="F25" s="229" t="inlineStr">
        <is>
          <t>Cumulative</t>
        </is>
      </c>
      <c r="G25" s="229" t="inlineStr">
        <is>
          <t>Notes</t>
        </is>
      </c>
    </row>
    <row r="26" ht="19.95" customHeight="1" s="186">
      <c r="B26" s="2" t="inlineStr">
        <is>
          <t>Kashigoud Transfer to Lohith</t>
        </is>
      </c>
      <c r="C26" s="2" t="inlineStr">
        <is>
          <t>Kashigoud Patil</t>
        </is>
      </c>
      <c r="D26" s="4" t="n">
        <v>125000</v>
      </c>
      <c r="E26" s="3">
        <f>D19/390000</f>
        <v/>
      </c>
      <c r="F26" s="20">
        <f>D19</f>
        <v/>
      </c>
      <c r="G26" s="2" t="inlineStr">
        <is>
          <t>Full Kashi transfer</t>
        </is>
      </c>
    </row>
    <row r="27" ht="19.95" customHeight="1" s="186">
      <c r="B27" s="6" t="inlineStr">
        <is>
          <t>Shashirekha Transfer to Lohith</t>
        </is>
      </c>
      <c r="C27" s="6" t="inlineStr">
        <is>
          <t>Shashirekha B.</t>
        </is>
      </c>
      <c r="D27" s="8" t="n">
        <v>100000</v>
      </c>
      <c r="E27" s="7">
        <f>D20/390000</f>
        <v/>
      </c>
      <c r="F27" s="21">
        <f>D19+D20</f>
        <v/>
      </c>
      <c r="G27" s="6" t="inlineStr">
        <is>
          <t>Full Shashi transfer</t>
        </is>
      </c>
    </row>
    <row r="28" ht="19.95" customHeight="1" s="186">
      <c r="B28" s="2" t="inlineStr">
        <is>
          <t>Lohith Reddy (own funds)</t>
        </is>
      </c>
      <c r="C28" s="2" t="inlineStr">
        <is>
          <t>Lohith Reddy</t>
        </is>
      </c>
      <c r="D28" s="20">
        <f>390000-D19-D20</f>
        <v/>
      </c>
      <c r="E28" s="3">
        <f>D21/390000</f>
        <v/>
      </c>
      <c r="F28" s="20">
        <f>D20+D21</f>
        <v/>
      </c>
      <c r="G28" s="2" t="inlineStr">
        <is>
          <t>Balance from Lohith</t>
        </is>
      </c>
    </row>
    <row r="29" ht="19.95" customHeight="1" s="186">
      <c r="B29" s="6" t="inlineStr">
        <is>
          <t>Advance Already Paid</t>
        </is>
      </c>
      <c r="C29" s="6" t="inlineStr">
        <is>
          <t>Lohith Reddy</t>
        </is>
      </c>
      <c r="D29" s="8" t="n">
        <v>5000</v>
      </c>
      <c r="E29" s="7">
        <f>D22/390000</f>
        <v/>
      </c>
      <c r="F29" s="22" t="inlineStr">
        <is>
          <t>Paid ✅</t>
        </is>
      </c>
      <c r="G29" s="6" t="inlineStr">
        <is>
          <t>Already paid</t>
        </is>
      </c>
    </row>
    <row r="30" ht="19.95" customHeight="1" s="186"/>
    <row r="31" ht="19.95" customHeight="1" s="186">
      <c r="B31" s="192" t="inlineStr">
        <is>
          <t xml:space="preserve">  C.  PRE-OPENING EXPENSES — KASHIGOUD PATIL</t>
        </is>
      </c>
    </row>
    <row r="32" ht="19.95" customHeight="1" s="186">
      <c r="B32" s="229" t="inlineStr">
        <is>
          <t>Description</t>
        </is>
      </c>
      <c r="C32" s="229" t="inlineStr">
        <is>
          <t>Date</t>
        </is>
      </c>
      <c r="D32" s="229" t="inlineStr">
        <is>
          <t>Amount ($)</t>
        </is>
      </c>
      <c r="E32" s="229" t="inlineStr">
        <is>
          <t>Paid To</t>
        </is>
      </c>
      <c r="F32" s="229" t="inlineStr">
        <is>
          <t>Category</t>
        </is>
      </c>
      <c r="G32" s="229" t="inlineStr">
        <is>
          <t>Notes</t>
        </is>
      </c>
    </row>
    <row r="33" ht="19.95" customHeight="1" s="186">
      <c r="B33" s="2" t="inlineStr">
        <is>
          <t>Transfer to Lohith Reddy (capital allocation)</t>
        </is>
      </c>
      <c r="C33" s="13" t="n"/>
      <c r="D33" s="4" t="n">
        <v>125000</v>
      </c>
      <c r="E33" s="2" t="inlineStr">
        <is>
          <t>Bank → Lohith</t>
        </is>
      </c>
      <c r="F33" s="2" t="inlineStr">
        <is>
          <t>Internal Transfer</t>
        </is>
      </c>
      <c r="G33" s="2" t="inlineStr">
        <is>
          <t>For acquisition &amp; expenses</t>
        </is>
      </c>
    </row>
    <row r="34" ht="22.05" customHeight="1" s="186">
      <c r="B34" s="6" t="inlineStr">
        <is>
          <t>Soft Restaurant License &amp; Tools</t>
        </is>
      </c>
      <c r="C34" s="22" t="n"/>
      <c r="D34" s="8" t="n">
        <v>15195</v>
      </c>
      <c r="E34" s="6" t="inlineStr">
        <is>
          <t>Soft App</t>
        </is>
      </c>
      <c r="F34" s="6" t="inlineStr">
        <is>
          <t>Software / License</t>
        </is>
      </c>
      <c r="G34" s="6" t="inlineStr">
        <is>
          <t>POS + mgmt tools</t>
        </is>
      </c>
    </row>
    <row r="35">
      <c r="B35" s="2" t="inlineStr">
        <is>
          <t>Mercado Pago Terminal</t>
        </is>
      </c>
      <c r="C35" s="13" t="n"/>
      <c r="D35" s="4" t="n">
        <v>500</v>
      </c>
      <c r="E35" s="2" t="inlineStr">
        <is>
          <t>Mercado Pago</t>
        </is>
      </c>
      <c r="F35" s="2" t="inlineStr">
        <is>
          <t>Equipment / POS</t>
        </is>
      </c>
      <c r="G35" s="2" t="inlineStr">
        <is>
          <t>POS terminal for payments</t>
        </is>
      </c>
    </row>
    <row r="36" ht="25.95" customHeight="1" s="186">
      <c r="B36" s="23" t="n"/>
      <c r="C36" s="196" t="n"/>
      <c r="D36" s="196" t="n"/>
      <c r="E36" s="196" t="n"/>
      <c r="F36" s="196" t="n"/>
      <c r="G36" s="196" t="n"/>
      <c r="H36" s="197" t="n"/>
    </row>
    <row r="37" ht="22.05" customHeight="1" s="186">
      <c r="B37" s="23" t="n"/>
      <c r="C37" s="24" t="n"/>
      <c r="D37" s="25" t="n"/>
      <c r="E37" s="23" t="n"/>
      <c r="F37" s="23" t="n"/>
      <c r="G37" s="23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195" t="inlineStr">
        <is>
          <t>KASHIGOUD TOTAL</t>
        </is>
      </c>
      <c r="C41" s="229" t="n"/>
      <c r="D41" s="198">
        <f>SUM(D26:D33)</f>
        <v/>
      </c>
      <c r="E41" s="229" t="n"/>
      <c r="F41" s="229" t="n"/>
      <c r="G41" s="229" t="n"/>
    </row>
    <row r="42" ht="19.95" customHeight="1" s="186"/>
    <row r="43" ht="19.95" customHeight="1" s="186">
      <c r="B43" s="192" t="inlineStr">
        <is>
          <t xml:space="preserve">  D.  PRE-OPENING EXPENSES — LOHITH REDDY</t>
        </is>
      </c>
    </row>
    <row r="44" ht="19.95" customHeight="1" s="186">
      <c r="B44" s="229" t="inlineStr">
        <is>
          <t>Description</t>
        </is>
      </c>
      <c r="C44" s="229" t="inlineStr">
        <is>
          <t>Date</t>
        </is>
      </c>
      <c r="D44" s="229" t="inlineStr">
        <is>
          <t>Amount ($)</t>
        </is>
      </c>
      <c r="E44" s="229" t="inlineStr">
        <is>
          <t>Paid To</t>
        </is>
      </c>
      <c r="F44" s="229" t="inlineStr">
        <is>
          <t>Category</t>
        </is>
      </c>
      <c r="G44" s="229" t="inlineStr">
        <is>
          <t>Notes</t>
        </is>
      </c>
    </row>
    <row r="45" ht="19.95" customHeight="1" s="186">
      <c r="B45" s="2" t="inlineStr">
        <is>
          <t>Advance Payment to Previous Owners</t>
        </is>
      </c>
      <c r="C45" s="13" t="n"/>
      <c r="D45" s="4" t="n">
        <v>5000</v>
      </c>
      <c r="E45" s="2" t="inlineStr">
        <is>
          <t>Previous Owners</t>
        </is>
      </c>
      <c r="F45" s="2" t="inlineStr">
        <is>
          <t>Acquisition</t>
        </is>
      </c>
      <c r="G45" s="2" t="inlineStr">
        <is>
          <t>5k advance on 390k purchase</t>
        </is>
      </c>
    </row>
    <row r="46" ht="19.95" customHeight="1" s="186">
      <c r="B46" s="6" t="inlineStr">
        <is>
          <t>Notary Fees</t>
        </is>
      </c>
      <c r="C46" s="22" t="n"/>
      <c r="D46" s="8" t="n">
        <v>15797</v>
      </c>
      <c r="E46" s="6" t="inlineStr">
        <is>
          <t>Notary Office</t>
        </is>
      </c>
      <c r="F46" s="6" t="inlineStr">
        <is>
          <t>Legal</t>
        </is>
      </c>
      <c r="G46" s="6" t="inlineStr">
        <is>
          <t>Legal fees for restaurant acquisition</t>
        </is>
      </c>
    </row>
    <row r="47" ht="22.05" customHeight="1" s="186">
      <c r="B47" s="2" t="inlineStr">
        <is>
          <t>Poliza Juridica (Legal Policy)</t>
        </is>
      </c>
      <c r="C47" s="13" t="n"/>
      <c r="D47" s="4" t="n">
        <v>5150</v>
      </c>
      <c r="E47" s="2" t="inlineStr">
        <is>
          <t>Legal / Insurance</t>
        </is>
      </c>
      <c r="F47" s="2" t="inlineStr">
        <is>
          <t>Legal</t>
        </is>
      </c>
      <c r="G47" s="2" t="inlineStr">
        <is>
          <t>Poliza Juridica — legal insurance policy</t>
        </is>
      </c>
    </row>
    <row r="48">
      <c r="B48" s="6" t="inlineStr">
        <is>
          <t>Alejandra — Documentation Asst.</t>
        </is>
      </c>
      <c r="C48" s="22" t="n"/>
      <c r="D48" s="8" t="n">
        <v>3000</v>
      </c>
      <c r="E48" s="6" t="inlineStr">
        <is>
          <t>Alejandra</t>
        </is>
      </c>
      <c r="F48" s="6" t="inlineStr">
        <is>
          <t>Professional Services</t>
        </is>
      </c>
      <c r="G48" s="6" t="inlineStr">
        <is>
          <t>Paperwork &amp; documentation</t>
        </is>
      </c>
    </row>
    <row r="49" ht="25.95" customHeight="1" s="186">
      <c r="B49" s="23" t="n"/>
      <c r="C49" s="196" t="n"/>
      <c r="D49" s="196" t="n"/>
      <c r="E49" s="196" t="n"/>
      <c r="F49" s="196" t="n"/>
      <c r="G49" s="196" t="n"/>
      <c r="H49" s="197" t="n"/>
    </row>
    <row r="50" ht="22.05" customHeight="1" s="186">
      <c r="B50" s="23" t="n"/>
      <c r="C50" s="24" t="n"/>
      <c r="D50" s="25" t="n"/>
      <c r="E50" s="23" t="n"/>
      <c r="F50" s="23" t="n"/>
      <c r="G50" s="23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195" t="inlineStr">
        <is>
          <t>LOHITH TOTAL</t>
        </is>
      </c>
      <c r="C54" s="229" t="n"/>
      <c r="D54" s="198">
        <f>SUM(D38:D46)</f>
        <v/>
      </c>
      <c r="E54" s="229" t="n"/>
      <c r="F54" s="229" t="n"/>
      <c r="G54" s="229" t="n"/>
    </row>
    <row r="55" ht="19.95" customHeight="1" s="186"/>
    <row r="56" ht="19.95" customHeight="1" s="186">
      <c r="B56" s="192" t="inlineStr">
        <is>
          <t xml:space="preserve">  E.  PRE-OPENING EXPENSES — SHASHIREKHA BASAVARAJU</t>
        </is>
      </c>
    </row>
    <row r="57" ht="19.95" customHeight="1" s="186">
      <c r="B57" s="229" t="inlineStr">
        <is>
          <t>Description</t>
        </is>
      </c>
      <c r="C57" s="229" t="inlineStr">
        <is>
          <t>Date</t>
        </is>
      </c>
      <c r="D57" s="229" t="inlineStr">
        <is>
          <t>Amount ($)</t>
        </is>
      </c>
      <c r="E57" s="229" t="inlineStr">
        <is>
          <t>Paid To</t>
        </is>
      </c>
      <c r="F57" s="229" t="inlineStr">
        <is>
          <t>Category</t>
        </is>
      </c>
      <c r="G57" s="229" t="inlineStr">
        <is>
          <t>Notes</t>
        </is>
      </c>
    </row>
    <row r="58" ht="19.95" customHeight="1" s="186">
      <c r="B58" s="2" t="inlineStr">
        <is>
          <t>Transfer to Lohith Reddy (capital allocation)</t>
        </is>
      </c>
      <c r="C58" s="13" t="n"/>
      <c r="D58" s="4" t="n">
        <v>100000</v>
      </c>
      <c r="E58" s="2" t="inlineStr">
        <is>
          <t>Bank → Lohith</t>
        </is>
      </c>
      <c r="F58" s="2" t="inlineStr">
        <is>
          <t>Internal Transfer</t>
        </is>
      </c>
      <c r="G58" s="2" t="inlineStr">
        <is>
          <t>For acquisition &amp; expenses</t>
        </is>
      </c>
    </row>
    <row r="59" ht="22.05" customHeight="1" s="186">
      <c r="B59" s="23" t="inlineStr">
        <is>
          <t>Temu items</t>
        </is>
      </c>
      <c r="C59" s="24" t="n"/>
      <c r="D59" s="25" t="n">
        <v>2646</v>
      </c>
      <c r="E59" s="23" t="inlineStr">
        <is>
          <t>Temu</t>
        </is>
      </c>
      <c r="F59" s="23" t="inlineStr">
        <is>
          <t>Equipment / Supplies</t>
        </is>
      </c>
      <c r="G59" s="23" t="inlineStr">
        <is>
          <t>Temu items — restaurant supplies &amp; equipment</t>
        </is>
      </c>
    </row>
    <row r="60">
      <c r="B60" s="23" t="inlineStr">
        <is>
          <t>Board games for restaurant ambiance</t>
        </is>
      </c>
      <c r="C60" s="24" t="n"/>
      <c r="D60" s="25" t="n">
        <v>745</v>
      </c>
      <c r="E60" s="23" t="inlineStr">
        <is>
          <t>Supplier</t>
        </is>
      </c>
      <c r="F60" s="23" t="inlineStr">
        <is>
          <t>Equipment / Supplies</t>
        </is>
      </c>
      <c r="G60" s="23" t="inlineStr">
        <is>
          <t>Board games for restaurant ambiance</t>
        </is>
      </c>
    </row>
    <row r="61" ht="25.95" customHeight="1" s="186">
      <c r="B61" s="23" t="inlineStr">
        <is>
          <t>Special menu board</t>
        </is>
      </c>
      <c r="C61" s="196" t="n"/>
      <c r="D61" s="196" t="n"/>
      <c r="E61" s="196" t="n"/>
      <c r="F61" s="196" t="n"/>
      <c r="G61" s="196" t="n"/>
      <c r="H61" s="197" t="n"/>
    </row>
    <row r="62" ht="22.05" customHeight="1" s="186">
      <c r="B62" s="23" t="inlineStr">
        <is>
          <t>Logo and sticker printing</t>
        </is>
      </c>
      <c r="C62" s="24" t="n"/>
      <c r="D62" s="25" t="n">
        <v>845</v>
      </c>
      <c r="E62" s="23" t="inlineStr">
        <is>
          <t>Print Shop</t>
        </is>
      </c>
      <c r="F62" s="23" t="inlineStr">
        <is>
          <t>Branding / Signage</t>
        </is>
      </c>
      <c r="G62" s="23" t="inlineStr">
        <is>
          <t>Logo and sticker printing</t>
        </is>
      </c>
    </row>
    <row r="63" ht="19.95" customHeight="1" s="186">
      <c r="B63" s="23" t="inlineStr">
        <is>
          <t>Sign boards, stationary, other decor</t>
        </is>
      </c>
      <c r="C63" s="24" t="n"/>
      <c r="D63" s="25" t="n">
        <v>1555</v>
      </c>
      <c r="E63" s="23" t="inlineStr">
        <is>
          <t>China Shop</t>
        </is>
      </c>
      <c r="F63" s="23" t="inlineStr">
        <is>
          <t>Decor / Signage</t>
        </is>
      </c>
      <c r="G63" s="23" t="inlineStr">
        <is>
          <t>Sign boards, stationary, other decor</t>
        </is>
      </c>
    </row>
    <row r="64" ht="19.95" customHeight="1" s="186">
      <c r="B64" s="23" t="n"/>
      <c r="C64" s="24" t="n"/>
      <c r="D64" s="25" t="n"/>
      <c r="E64" s="23" t="n"/>
      <c r="F64" s="23" t="n"/>
      <c r="G64" s="23" t="n"/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t="inlineStr">
        <is>
          <t>Logo Box Repair / Fix</t>
        </is>
      </c>
      <c r="C66" s="184" t="n">
        <v>46176</v>
      </c>
      <c r="D66" t="n">
        <v>900</v>
      </c>
      <c r="E66" t="inlineStr">
        <is>
          <t>Supplier</t>
        </is>
      </c>
      <c r="F66" t="inlineStr">
        <is>
          <t>Branding / Signage</t>
        </is>
      </c>
      <c r="G66" t="inlineStr">
        <is>
          <t>Logo box repair — paid by Shashirekha</t>
        </is>
      </c>
    </row>
    <row r="67" ht="19.95" customHeight="1" s="186">
      <c r="B67" s="195" t="inlineStr">
        <is>
          <t>SHASHIREKHA TOTAL</t>
        </is>
      </c>
      <c r="C67" s="196" t="n"/>
      <c r="D67" s="196" t="n"/>
      <c r="E67" s="196" t="n"/>
      <c r="F67" s="196" t="n"/>
      <c r="G67" s="196" t="n"/>
      <c r="H67" s="197" t="n"/>
    </row>
    <row r="68" ht="19.95" customHeight="1" s="186"/>
    <row r="69" ht="19.95" customHeight="1" s="186">
      <c r="B69" s="192" t="inlineStr">
        <is>
          <t xml:space="preserve">  F.  GRAND SUMMARY — CAPITAL DEPLOYMENT</t>
        </is>
      </c>
    </row>
    <row r="70" ht="19.95" customHeight="1" s="186">
      <c r="B70" s="229" t="inlineStr">
        <is>
          <t>Line Item</t>
        </is>
      </c>
      <c r="C70" s="229" t="n"/>
      <c r="D70" s="229" t="n"/>
      <c r="E70" s="229" t="n"/>
      <c r="F70" s="229" t="n"/>
      <c r="G70" s="229" t="n"/>
    </row>
    <row r="71" ht="19.95" customHeight="1" s="186">
      <c r="B71" s="228" t="inlineStr">
        <is>
          <t>Total Budget (All Partners)</t>
        </is>
      </c>
      <c r="C71" s="223">
        <f>SUM(D6:D8)</f>
        <v/>
      </c>
      <c r="D71" s="215">
        <f>C63/$C$63</f>
        <v/>
      </c>
      <c r="E71" s="228" t="inlineStr">
        <is>
          <t>100% of committed capital</t>
        </is>
      </c>
    </row>
    <row r="72" ht="19.95" customHeight="1" s="186">
      <c r="B72" s="230" t="inlineStr">
        <is>
          <t>Restaurant Acquisition — Full Price</t>
        </is>
      </c>
      <c r="C72" s="246">
        <f>D13</f>
        <v/>
      </c>
      <c r="D72" s="231">
        <f>C64/$C$63</f>
        <v/>
      </c>
      <c r="E72" s="230" t="inlineStr">
        <is>
          <t>To be paid to previous owners</t>
        </is>
      </c>
    </row>
    <row r="73" ht="19.95" customHeight="1" s="186">
      <c r="B73" s="228" t="inlineStr">
        <is>
          <t xml:space="preserve">  → Advance Paid (by Lohith)</t>
        </is>
      </c>
      <c r="C73" s="223">
        <f>D14</f>
        <v/>
      </c>
      <c r="D73" s="215">
        <f>C65/$C$63</f>
        <v/>
      </c>
      <c r="E73" s="228" t="inlineStr">
        <is>
          <t>✅ Already paid</t>
        </is>
      </c>
    </row>
    <row r="74">
      <c r="B74" s="230" t="inlineStr">
        <is>
          <t xml:space="preserve">  → Balance Remaining</t>
        </is>
      </c>
      <c r="C74" s="246">
        <f>D15</f>
        <v/>
      </c>
      <c r="D74" s="231">
        <f>C66/$C$63</f>
        <v/>
      </c>
      <c r="E74" s="230" t="inlineStr">
        <is>
          <t>⏳ Pending — funded by transfers</t>
        </is>
      </c>
    </row>
    <row r="75">
      <c r="B75" s="228" t="inlineStr">
        <is>
          <t>Kashigoud — Ops Expenses (excl. transfer)</t>
        </is>
      </c>
      <c r="C75" s="223">
        <f>D27+D28</f>
        <v/>
      </c>
      <c r="D75" s="215">
        <f>C67/$C$63</f>
        <v/>
      </c>
      <c r="E75" s="228" t="inlineStr">
        <is>
          <t>Soft license + terminal</t>
        </is>
      </c>
    </row>
    <row r="76">
      <c r="B76" s="230" t="inlineStr">
        <is>
          <t>Kashigoud → Lohith Transfer</t>
        </is>
      </c>
      <c r="C76" s="246" t="n">
        <v>125000</v>
      </c>
      <c r="D76" s="231" t="n"/>
      <c r="E76" s="230" t="n"/>
    </row>
    <row r="77">
      <c r="B77" s="228" t="inlineStr">
        <is>
          <t>Lohith — All Pre-Opening Expenses</t>
        </is>
      </c>
      <c r="C77" s="223">
        <f>D47</f>
        <v/>
      </c>
      <c r="D77" s="215">
        <f>C69/$C$63</f>
        <v/>
      </c>
      <c r="E77" s="228" t="inlineStr">
        <is>
          <t>Advance + Notary + Poliza + Alejandra</t>
        </is>
      </c>
    </row>
    <row r="78">
      <c r="B78" s="230" t="inlineStr">
        <is>
          <t>Shashirekha → Lohith Transfer</t>
        </is>
      </c>
      <c r="C78" s="246" t="n">
        <v>100000</v>
      </c>
      <c r="D78" s="231" t="n"/>
      <c r="E78" s="230" t="n"/>
    </row>
    <row r="79">
      <c r="B79" s="228" t="inlineStr">
        <is>
          <t>Shashirekha — Other Expenses</t>
        </is>
      </c>
      <c r="C79" s="223">
        <f>SUM(D52:D58)</f>
        <v/>
      </c>
      <c r="D79" s="215">
        <f>C71/$C$63</f>
        <v/>
      </c>
      <c r="E79" s="228" t="inlineStr">
        <is>
          <t>Yellow rows above</t>
        </is>
      </c>
    </row>
    <row r="80">
      <c r="B80" s="195" t="inlineStr">
        <is>
          <t>TOTAL CASH OUT (excl. internal transfers)</t>
        </is>
      </c>
      <c r="C80" s="198">
        <f>C64+C67+C69+C71</f>
        <v/>
      </c>
      <c r="D80" s="213">
        <f>C72/$C$63</f>
        <v/>
      </c>
      <c r="E80" s="195" t="inlineStr">
        <is>
          <t>Actual cash leaving the partnership</t>
        </is>
      </c>
    </row>
    <row r="81">
      <c r="B81" s="195" t="inlineStr">
        <is>
          <t>REMAINING UNALLOCATED BUDGET</t>
        </is>
      </c>
      <c r="C81" s="198" t="n"/>
      <c r="D81" s="213" t="n"/>
      <c r="E81" s="195" t="n"/>
    </row>
    <row r="83">
      <c r="B83" t="inlineStr">
        <is>
          <t xml:space="preserve">  G.  REMAINING TRANSFERS DUE TO LOHITH REDDY</t>
        </is>
      </c>
      <c r="C83" t="inlineStr">
        <is>
          <t xml:space="preserve">  G.  REMAINING TRANSFERS DUE TO LOHITH REDDY</t>
        </is>
      </c>
      <c r="D83" t="inlineStr">
        <is>
          <t xml:space="preserve">  G.  REMAINING TRANSFERS DUE TO LOHITH REDDY</t>
        </is>
      </c>
      <c r="E83" t="inlineStr">
        <is>
          <t xml:space="preserve">  G.  REMAINING TRANSFERS DUE TO LOHITH REDDY</t>
        </is>
      </c>
      <c r="F83" t="inlineStr">
        <is>
          <t xml:space="preserve">  G.  REMAINING TRANSFERS DUE TO LOHITH REDDY</t>
        </is>
      </c>
      <c r="G83" t="inlineStr">
        <is>
          <t xml:space="preserve">  G.  REMAINING TRANSFERS DUE TO LOHITH REDDY</t>
        </is>
      </c>
    </row>
    <row r="84">
      <c r="B84" t="inlineStr">
        <is>
          <t>Partner</t>
        </is>
      </c>
      <c r="C84" t="inlineStr">
        <is>
          <t>Total Budget ($)</t>
        </is>
      </c>
      <c r="D84" t="inlineStr">
        <is>
          <t>Already Transferred ($)</t>
        </is>
      </c>
      <c r="E84" t="inlineStr">
        <is>
          <t>Direct Expenses ($)</t>
        </is>
      </c>
      <c r="F84" t="inlineStr">
        <is>
          <t>Still Owed to Lohith ($)</t>
        </is>
      </c>
      <c r="G84" t="inlineStr">
        <is>
          <t>Status</t>
        </is>
      </c>
    </row>
    <row r="85">
      <c r="B85" t="inlineStr">
        <is>
          <t>Kashigoud Patil</t>
        </is>
      </c>
      <c r="C85">
        <f>'Capital &amp; Ownership'!D7</f>
        <v/>
      </c>
      <c r="D85">
        <f>'Capital &amp; Ownership'!D26</f>
        <v/>
      </c>
      <c r="E85">
        <f>'Capital &amp; Ownership'!D27+'Capital &amp; Ownership'!D28</f>
        <v/>
      </c>
      <c r="F85">
        <f>'Capital &amp; Ownership'!C77-'Capital &amp; Ownership'!D77-'Capital &amp; Ownership'!E77</f>
        <v/>
      </c>
      <c r="G85" t="inlineStr">
        <is>
          <t>⏳ PENDING</t>
        </is>
      </c>
    </row>
    <row r="86">
      <c r="B86" t="inlineStr">
        <is>
          <t>Shashirekha Basavaraju</t>
        </is>
      </c>
      <c r="C86">
        <f>'Capital &amp; Ownership'!D8</f>
        <v/>
      </c>
      <c r="D86">
        <f>'Capital &amp; Ownership'!D51</f>
        <v/>
      </c>
      <c r="E86">
        <f>SUM('Capital &amp; Ownership'!D52:'Capital &amp; Ownership'!D58)</f>
        <v/>
      </c>
      <c r="F86">
        <f>'Capital &amp; Ownership'!C78-'Capital &amp; Ownership'!D78-'Capital &amp; Ownership'!E78</f>
        <v/>
      </c>
      <c r="G86" t="inlineStr">
        <is>
          <t>⏳ PENDING</t>
        </is>
      </c>
    </row>
    <row r="87">
      <c r="B87" t="inlineStr">
        <is>
          <t>TOTAL</t>
        </is>
      </c>
      <c r="C87">
        <f>C77+C78</f>
        <v/>
      </c>
      <c r="D87">
        <f>D77+D78</f>
        <v/>
      </c>
      <c r="E87">
        <f>E77+E78</f>
        <v/>
      </c>
      <c r="F87">
        <f>F77+F78</f>
        <v/>
      </c>
    </row>
    <row r="89">
      <c r="B89" t="inlineStr">
        <is>
          <t xml:space="preserve">  H.  ACQUISITION PAYMENT — SPLIT BY OWNERSHIP SHARE  ($385,000 BALANCE DUE)</t>
        </is>
      </c>
      <c r="C89" t="inlineStr">
        <is>
          <t xml:space="preserve">  H.  ACQUISITION PAYMENT — SPLIT BY OWNERSHIP SHARE  ($385,000 BALANCE DUE)</t>
        </is>
      </c>
      <c r="D89" t="inlineStr">
        <is>
          <t xml:space="preserve">  H.  ACQUISITION PAYMENT — SPLIT BY OWNERSHIP SHARE  ($385,000 BALANCE DUE)</t>
        </is>
      </c>
      <c r="E89" t="inlineStr">
        <is>
          <t xml:space="preserve">  H.  ACQUISITION PAYMENT — SPLIT BY OWNERSHIP SHARE  ($385,000 BALANCE DUE)</t>
        </is>
      </c>
      <c r="F89" t="inlineStr">
        <is>
          <t xml:space="preserve">  H.  ACQUISITION PAYMENT — SPLIT BY OWNERSHIP SHARE  ($385,000 BALANCE DUE)</t>
        </is>
      </c>
      <c r="G89" t="inlineStr">
        <is>
          <t xml:space="preserve">  H.  ACQUISITION PAYMENT — SPLIT BY OWNERSHIP SHARE  ($385,000 BALANCE DUE)</t>
        </is>
      </c>
    </row>
    <row r="90">
      <c r="B90" t="inlineStr">
        <is>
          <t>Partner</t>
        </is>
      </c>
      <c r="C90" t="inlineStr">
        <is>
          <t>Share %</t>
        </is>
      </c>
      <c r="D90" t="inlineStr">
        <is>
          <t>Share of $390k Total ($)</t>
        </is>
      </c>
      <c r="E90" t="inlineStr">
        <is>
          <t>Advance Credited ($)</t>
        </is>
      </c>
      <c r="F90" t="inlineStr">
        <is>
          <t>Balance Owed to Prev. Owners ($)</t>
        </is>
      </c>
      <c r="G90" t="inlineStr">
        <is>
          <t>Status</t>
        </is>
      </c>
    </row>
    <row r="91">
      <c r="B91" t="inlineStr">
        <is>
          <t>Lohith Reddy</t>
        </is>
      </c>
      <c r="C91" t="n">
        <v>0.5</v>
      </c>
      <c r="D91">
        <f>'Capital &amp; Ownership'!C6</f>
        <v/>
      </c>
      <c r="E91">
        <f>D83*'Capital &amp; Ownership'!D13</f>
        <v/>
      </c>
      <c r="F91">
        <f>'Capital &amp; Ownership'!D14</f>
        <v/>
      </c>
      <c r="G91">
        <f>E83-F83</f>
        <v/>
      </c>
    </row>
    <row r="92">
      <c r="B92" t="inlineStr">
        <is>
          <t>Kashigoud Patil</t>
        </is>
      </c>
      <c r="C92" t="n">
        <v>0.3</v>
      </c>
      <c r="D92">
        <f>'Capital &amp; Ownership'!C7</f>
        <v/>
      </c>
      <c r="E92">
        <f>D84*'Capital &amp; Ownership'!D13</f>
        <v/>
      </c>
      <c r="F92" t="n">
        <v>0</v>
      </c>
      <c r="G92">
        <f>E84-F84</f>
        <v/>
      </c>
    </row>
    <row r="93">
      <c r="B93" t="inlineStr">
        <is>
          <t>Shashirekha Basavaraju</t>
        </is>
      </c>
      <c r="C93" t="n">
        <v>0.2</v>
      </c>
      <c r="D93">
        <f>'Capital &amp; Ownership'!C8</f>
        <v/>
      </c>
      <c r="E93">
        <f>D85*'Capital &amp; Ownership'!D13</f>
        <v/>
      </c>
      <c r="F93" t="n">
        <v>0</v>
      </c>
      <c r="G93">
        <f>E85-F85</f>
        <v/>
      </c>
    </row>
    <row r="94">
      <c r="B94" t="inlineStr">
        <is>
          <t>TOTAL</t>
        </is>
      </c>
      <c r="C94" t="n">
        <v>1</v>
      </c>
      <c r="D94">
        <f>D83+D84+D85</f>
        <v/>
      </c>
      <c r="E94">
        <f>E83+E84+E85</f>
        <v/>
      </c>
      <c r="F94">
        <f>F83+F84+F85</f>
        <v/>
      </c>
      <c r="G94">
        <f>G83+G84+G85</f>
        <v/>
      </c>
    </row>
  </sheetData>
  <mergeCells count="9">
    <mergeCell ref="B36:H36"/>
    <mergeCell ref="B17:H17"/>
    <mergeCell ref="B1:H1"/>
    <mergeCell ref="B49:H49"/>
    <mergeCell ref="B4:H4"/>
    <mergeCell ref="B24:H24"/>
    <mergeCell ref="B2:H2"/>
    <mergeCell ref="B11:H11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n"/>
      <c r="C26" s="62" t="n"/>
      <c r="D26" s="63" t="n"/>
      <c r="E26" s="64" t="n"/>
      <c r="F26" s="65" t="n"/>
      <c r="G26" s="66" t="n"/>
      <c r="H26" s="67" t="n"/>
      <c r="I26" s="68" t="n"/>
      <c r="J26" s="69" t="n"/>
      <c r="K26" s="70" t="n"/>
      <c r="L26" s="36" t="n"/>
      <c r="M26" s="39" t="n"/>
      <c r="N26" s="71" t="n"/>
      <c r="O26" s="72" t="n"/>
      <c r="P26" s="73" t="n"/>
      <c r="Q26" s="71" t="n"/>
    </row>
    <row r="27" ht="16.5" customHeight="1" s="186">
      <c r="B27" s="61" t="n"/>
      <c r="C27" s="74" t="n"/>
      <c r="D27" s="75" t="n"/>
      <c r="E27" s="76" t="n"/>
      <c r="F27" s="77" t="n"/>
      <c r="G27" s="78" t="n"/>
      <c r="H27" s="79" t="n"/>
      <c r="I27" s="80" t="n"/>
      <c r="J27" s="81" t="n"/>
      <c r="K27" s="82" t="n"/>
      <c r="L27" s="45" t="n"/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/>
      <c r="C188" s="92" t="n"/>
      <c r="D188" s="93" t="n"/>
      <c r="E188" s="92" t="n"/>
      <c r="F188" s="94" t="n"/>
      <c r="G188" s="41" t="n"/>
      <c r="H188" s="41" t="n"/>
      <c r="I188" s="70" t="n"/>
    </row>
    <row r="189">
      <c r="B189" s="91" t="n"/>
      <c r="C189" s="96" t="n"/>
      <c r="D189" s="95" t="n"/>
      <c r="E189" s="96" t="n"/>
      <c r="F189" s="97" t="n"/>
      <c r="G189" s="50" t="n"/>
      <c r="H189" s="50" t="n"/>
      <c r="I189" s="82" t="n"/>
    </row>
    <row r="190">
      <c r="B190" s="91" t="n"/>
      <c r="C190" s="92" t="n"/>
      <c r="D190" s="93" t="n"/>
      <c r="E190" s="92" t="n"/>
      <c r="F190" s="94" t="n"/>
      <c r="G190" s="41" t="n"/>
      <c r="H190" s="41" t="n"/>
      <c r="I190" s="70" t="n"/>
    </row>
    <row r="191">
      <c r="B191" s="91" t="n"/>
      <c r="C191" s="96" t="n"/>
      <c r="D191" s="95" t="n"/>
      <c r="E191" s="96" t="n"/>
      <c r="F191" s="97" t="n"/>
      <c r="G191" s="50" t="n"/>
      <c r="H191" s="50" t="n"/>
      <c r="I191" s="82" t="n"/>
    </row>
    <row r="192">
      <c r="B192" s="91" t="n"/>
      <c r="C192" s="92" t="n"/>
      <c r="D192" s="93" t="n"/>
      <c r="E192" s="92" t="n"/>
      <c r="F192" s="94" t="n"/>
      <c r="G192" s="41" t="n"/>
      <c r="H192" s="41" t="n"/>
      <c r="I192" s="70" t="n"/>
    </row>
    <row r="193">
      <c r="B193" s="91" t="n"/>
      <c r="C193" s="96" t="n"/>
      <c r="D193" s="95" t="n"/>
      <c r="E193" s="96" t="n"/>
      <c r="F193" s="97" t="n"/>
      <c r="G193" s="50" t="n"/>
      <c r="H193" s="50" t="n"/>
      <c r="I193" s="82" t="n"/>
    </row>
    <row r="194">
      <c r="B194" s="91" t="n"/>
      <c r="C194" s="92" t="n"/>
      <c r="D194" s="93" t="n"/>
      <c r="E194" s="92" t="n"/>
      <c r="F194" s="94" t="n"/>
      <c r="G194" s="41" t="n"/>
      <c r="H194" s="41" t="n"/>
      <c r="I194" s="70" t="n"/>
    </row>
    <row r="195">
      <c r="B195" s="91" t="n"/>
      <c r="C195" s="96" t="n"/>
      <c r="D195" s="95" t="n"/>
      <c r="E195" s="96" t="n"/>
      <c r="F195" s="97" t="n"/>
      <c r="G195" s="50" t="n"/>
      <c r="H195" s="50" t="n"/>
      <c r="I195" s="82" t="n"/>
    </row>
    <row r="196">
      <c r="B196" s="91" t="n"/>
      <c r="C196" s="92" t="n"/>
      <c r="D196" s="93" t="n"/>
      <c r="E196" s="92" t="n"/>
      <c r="F196" s="94" t="n"/>
      <c r="G196" s="41" t="n"/>
      <c r="H196" s="41" t="n"/>
      <c r="I196" s="70" t="n"/>
    </row>
    <row r="197">
      <c r="B197" s="91" t="n"/>
      <c r="C197" s="96" t="n"/>
      <c r="D197" s="95" t="n"/>
      <c r="E197" s="96" t="n"/>
      <c r="F197" s="97" t="n"/>
      <c r="G197" s="50" t="n"/>
      <c r="H197" s="50" t="n"/>
      <c r="I197" s="82" t="n"/>
    </row>
    <row r="198">
      <c r="B198" s="91" t="n"/>
      <c r="C198" s="92" t="n"/>
      <c r="D198" s="93" t="n"/>
      <c r="E198" s="92" t="n"/>
      <c r="F198" s="94" t="n"/>
      <c r="G198" s="41" t="n"/>
      <c r="H198" s="41" t="n"/>
      <c r="I198" s="70" t="n"/>
    </row>
    <row r="199">
      <c r="B199" s="91" t="n"/>
      <c r="C199" s="96" t="n"/>
      <c r="D199" s="95" t="n"/>
      <c r="E199" s="96" t="n"/>
      <c r="F199" s="97" t="n"/>
      <c r="G199" s="50" t="n"/>
      <c r="H199" s="50" t="n"/>
      <c r="I199" s="82" t="n"/>
    </row>
    <row r="200">
      <c r="B200" s="91" t="n"/>
      <c r="C200" s="92" t="n"/>
      <c r="D200" s="93" t="n"/>
      <c r="E200" s="92" t="n"/>
      <c r="F200" s="94" t="n"/>
      <c r="G200" s="41" t="n"/>
      <c r="H200" s="41" t="n"/>
      <c r="I200" s="70" t="n"/>
    </row>
    <row r="201">
      <c r="B201" s="91" t="n"/>
      <c r="C201" s="96" t="n"/>
      <c r="D201" s="95" t="n"/>
      <c r="E201" s="96" t="n"/>
      <c r="F201" s="97" t="n"/>
      <c r="G201" s="50" t="n"/>
      <c r="H201" s="50" t="n"/>
      <c r="I201" s="82" t="n"/>
    </row>
    <row r="202">
      <c r="B202" s="91" t="n"/>
      <c r="C202" s="92" t="n"/>
      <c r="D202" s="93" t="n"/>
      <c r="E202" s="92" t="n"/>
      <c r="F202" s="94" t="n"/>
      <c r="G202" s="41" t="n"/>
      <c r="H202" s="41" t="n"/>
      <c r="I202" s="70" t="n"/>
    </row>
    <row r="203">
      <c r="B203" s="91" t="n"/>
      <c r="C203" s="96" t="n"/>
      <c r="D203" s="95" t="n"/>
      <c r="E203" s="96" t="n"/>
      <c r="F203" s="97" t="n"/>
      <c r="G203" s="50" t="n"/>
      <c r="H203" s="50" t="n"/>
      <c r="I203" s="82" t="n"/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2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inlineStr">
        <is>
          <t>TBD — confirm weekly rate</t>
        </is>
      </c>
      <c r="E11" s="266" t="n">
        <v>46174</v>
      </c>
      <c r="F11" t="inlineStr">
        <is>
          <t>✅ Active</t>
        </is>
      </c>
      <c r="G11" t="inlineStr">
        <is>
          <t>Started Mon 1 Jun 2026 — absent Wed 3 Jun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130" t="n"/>
      <c r="D16" s="131" t="n"/>
      <c r="E16" s="132" t="n"/>
      <c r="F16" s="132" t="n"/>
      <c r="G16" s="132" t="n"/>
      <c r="H16" s="132" t="n"/>
      <c r="I16" s="132" t="n"/>
      <c r="J16" s="132" t="n"/>
      <c r="K16" s="132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2" t="inlineStr">
        <is>
          <t>Cleaner</t>
        </is>
      </c>
      <c r="D29" s="144">
        <f>M15</f>
        <v/>
      </c>
      <c r="E29" s="145" t="n">
        <v>4</v>
      </c>
      <c r="F29" s="146">
        <f>D28*E28</f>
        <v/>
      </c>
      <c r="G29" s="147" t="n">
        <v>0.08</v>
      </c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1"/>
    <row r="32"/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0"/>
    <row r="41">
      <c r="B41" t="inlineStr">
        <is>
          <t>── WITH MESERO / WAITER — ✅ JUDITH HIRED (1 Jun 2026) ──</t>
        </is>
      </c>
    </row>
    <row r="42">
      <c r="B42" t="inlineStr">
        <is>
          <t>Mesero — Waiter Salary (est.)</t>
        </is>
      </c>
      <c r="C42" t="inlineStr">
        <is>
          <t>2,000–2,500</t>
        </is>
      </c>
      <c r="E42" t="inlineStr">
        <is>
          <t>Approx range when position filled</t>
        </is>
      </c>
    </row>
    <row r="43">
      <c r="B43" t="inlineStr">
        <is>
          <t>TOTAL FIXED COSTS (with Mesero)</t>
        </is>
      </c>
      <c r="C43" t="inlineStr">
        <is>
          <t>TBD — confirm salary</t>
        </is>
      </c>
      <c r="E43" t="inlineStr">
        <is>
          <t>Judith salary TBD — update break-even once confirmed</t>
        </is>
      </c>
    </row>
    <row r="44"/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0"/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6"/>
    <row r="57"/>
    <row r="58"/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t="inlineStr">
        <is>
          <t>TOTALS &amp; CURRENT BALANCE</t>
        </is>
      </c>
      <c r="E67">
        <f>SUM(E59:E62)</f>
        <v/>
      </c>
      <c r="F67">
        <f>SUM(F59:F62)</f>
        <v/>
      </c>
      <c r="G67">
        <f>G64</f>
        <v/>
      </c>
      <c r="H67">
        <f>IF(G62&gt;0,"⏳ Restaurant owes Lohith",IF(G62&lt;0,"💵 Lohith holds restaurant funds","✅ Zero balance"))</f>
        <v/>
      </c>
    </row>
    <row r="68"/>
    <row r="69">
      <c r="B69" t="inlineStr">
        <is>
          <t>HOW TO USE:</t>
        </is>
      </c>
    </row>
    <row r="70">
      <c r="B70" t="inlineStr">
        <is>
          <t>Add new rows above TOTALS. Spent by Lohith = restaurant expenses he paid personally.</t>
        </is>
      </c>
    </row>
    <row r="71">
      <c r="B71" t="inlineStr">
        <is>
          <t>Transferred to Lohith = customer bank transfers received in his personal account.</t>
        </is>
      </c>
    </row>
    <row r="72">
      <c r="B72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2026-06-05T18:41:57Z</dcterms:modified>
  <cp:lastModifiedBy>LOHITH REDDY</cp:lastModifiedBy>
</cp:coreProperties>
</file>