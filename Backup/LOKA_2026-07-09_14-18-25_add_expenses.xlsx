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2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5" fontId="0" fillId="0" borderId="19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inlineStr">
        <is>
          <t>Reimbursement to Shashirekha (over-budget expenses)</t>
        </is>
      </c>
      <c r="C61" s="411" t="n">
        <v>46210</v>
      </c>
      <c r="D61" s="412" t="n">
        <v>1034</v>
      </c>
      <c r="E61" s="413" t="inlineStr">
        <is>
          <t>Shashirekha B.</t>
        </is>
      </c>
      <c r="F61" s="413" t="inlineStr">
        <is>
          <t>Partner Settlement</t>
        </is>
      </c>
      <c r="G61" s="414" t="inlineStr">
        <is>
          <t>Reimbursed Shashi for spending $1,034 over her $120k budget (menu + syrup) — 7 Jul 2026</t>
        </is>
      </c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X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  <c r="U7" s="407" t="inlineStr">
        <is>
          <t>Soft Rest Card $</t>
        </is>
      </c>
      <c r="V7" s="407" t="inlineStr">
        <is>
          <t>Soft Comm $</t>
        </is>
      </c>
      <c r="W7" s="408" t="inlineStr">
        <is>
          <t>Soft Rate</t>
        </is>
      </c>
      <c r="X7" s="409" t="n">
        <v>0.0205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85" t="n">
        <v>46211</v>
      </c>
      <c r="C58" s="256" t="inlineStr">
        <is>
          <t>Wed</t>
        </is>
      </c>
      <c r="D58" s="257" t="n">
        <v>360</v>
      </c>
      <c r="E58" s="49" t="n">
        <v>2055</v>
      </c>
      <c r="F58" s="50">
        <f>IFERROR(D58+E58+G58+U58,0)</f>
        <v/>
      </c>
      <c r="G58" s="258" t="n">
        <v>195</v>
      </c>
      <c r="H58" s="259">
        <f>SUMIFS('💸 Expenses'!$F$8:$F$500,'💸 Expenses'!$B$8:$B$500,"&gt;="&amp;B58,'💸 Expenses'!$B$8:$B$500,"&lt;"&amp;(B58+1))</f>
        <v/>
      </c>
      <c r="I58" s="260">
        <f>IFERROR(F58-H58,0)</f>
        <v/>
      </c>
      <c r="J58" s="261">
        <f>IFERROR(I58/F58,0)</f>
        <v/>
      </c>
      <c r="K58" s="255" t="n"/>
      <c r="L58" s="262" t="inlineStr">
        <is>
          <t>EOD close (dual card: MP + Soft Restaurant)</t>
        </is>
      </c>
      <c r="M58" s="415" t="n"/>
      <c r="N58" s="416" t="n"/>
      <c r="O58" s="417" t="n"/>
      <c r="P58" s="418" t="n"/>
      <c r="Q58" s="416" t="n"/>
      <c r="R58" s="419">
        <f>IFERROR(D58*$T$7,0)</f>
        <v/>
      </c>
      <c r="S58" s="383" t="n"/>
      <c r="T58" s="383" t="n"/>
      <c r="U58" s="419" t="n">
        <v>1078</v>
      </c>
      <c r="V58" s="419">
        <f>IFERROR(U58*$X$7,0)</f>
        <v/>
      </c>
      <c r="W58" s="383" t="n"/>
      <c r="X58" s="383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382" t="n">
        <v>46211</v>
      </c>
      <c r="C443" s="248" t="inlineStr">
        <is>
          <t>Tortillas blancas x2 + Rosca de nuez</t>
        </is>
      </c>
      <c r="D443" s="249" t="inlineStr">
        <is>
          <t>Chedraui Paseo</t>
        </is>
      </c>
      <c r="E443" s="248" t="inlineStr">
        <is>
          <t>Ingredients - Bread</t>
        </is>
      </c>
      <c r="F443" s="67" t="n">
        <v>139.43</v>
      </c>
      <c r="G443" s="250" t="inlineStr">
        <is>
          <t>Restaurant</t>
        </is>
      </c>
      <c r="H443" s="250" t="inlineStr">
        <is>
          <t>Card</t>
        </is>
      </c>
      <c r="I443" s="251" t="inlineStr">
        <is>
          <t>✅ Paid</t>
        </is>
      </c>
      <c r="J443" s="383" t="inlineStr">
        <is>
          <t>Debito BBVA ***3982 09:31; tortillas $50.43 + rosca nuez $89</t>
        </is>
      </c>
    </row>
    <row r="444">
      <c r="B444" s="382" t="n">
        <v>46211</v>
      </c>
      <c r="C444" s="252" t="inlineStr">
        <is>
          <t>Terminal rolls (rollos POS)</t>
        </is>
      </c>
      <c r="D444" s="253" t="inlineStr">
        <is>
          <t>No bill</t>
        </is>
      </c>
      <c r="E444" s="252" t="inlineStr">
        <is>
          <t>Office Supplies</t>
        </is>
      </c>
      <c r="F444" s="70" t="n">
        <v>1076</v>
      </c>
      <c r="G444" s="254" t="inlineStr">
        <is>
          <t>Restaurant</t>
        </is>
      </c>
      <c r="H444" s="254" t="inlineStr">
        <is>
          <t>Cash</t>
        </is>
      </c>
      <c r="I444" s="255" t="inlineStr">
        <is>
          <t>✅ Paid</t>
        </is>
      </c>
      <c r="J444" s="383" t="inlineStr">
        <is>
          <t>No receipt; cash; amount confirmed by owner</t>
        </is>
      </c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Office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Software / Subscription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Staff - Advance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Utilities / Internet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Packaging / Disposables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Desserts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Eggs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Packaging/Disposables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Staff - Propinas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397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397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397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397" t="inlineStr">
        <is>
          <t>TOTALS &amp; CURRENT BALANCE</t>
        </is>
      </c>
      <c r="B35" s="232" t="n"/>
      <c r="C35" s="232" t="n"/>
      <c r="D35" s="232">
        <f>SUM(D4:D34)</f>
        <v/>
      </c>
      <c r="E35" s="233">
        <f>SUM(E4:E34)</f>
        <v/>
      </c>
      <c r="F35" s="233">
        <f>F34</f>
        <v/>
      </c>
      <c r="G35" s="232">
        <f>IF(F34&gt;0,"Restaurant owes Lohith $"&amp;TEXT(F34,"#,##0"),IF(F34&lt;0,"Lohith holds $"&amp;TEXT(ABS(F34),"#,##0"),"Zero balance"))</f>
        <v/>
      </c>
      <c r="H3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2026-07-09T20:18:24Z</dcterms:modified>
  <cp:lastModifiedBy>LOHITH REDDY</cp:lastModifiedBy>
</cp:coreProperties>
</file>