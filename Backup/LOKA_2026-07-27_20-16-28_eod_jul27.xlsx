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>6613.0</v>
      </c>
      <c r="I6" s="32">
        <f>F6-H6</f>
        <v>-5388.0</v>
      </c>
      <c r="J6">
        <f>IFERROR(I6/F6,0)</f>
        <v>-4.398367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/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/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/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45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Supermarket/General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Vegetables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Supplies/Other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Packaging/Disposables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Utilities/Internet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Utilities/Gas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Ingredients - Other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Office Supplies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Software/Subscription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Ingredients - Desserts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Eggs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Staff - Propinas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2" t="inlineStr">
        <is>
          <t>TOTAL EXPENSES</t>
        </is>
      </c>
      <c r="B41" s="414">
        <f>SUMIFS('💸 Expenses'!$F$8:$F$5000,'💸 Expenses'!$B$8:$B$5000,"&gt;="&amp;DATE(2026,5,1),'💸 Expenses'!$B$8:$B$5000,"&lt;"&amp;DATE(2026,6,1))</f>
        <v/>
      </c>
      <c r="C41" s="414">
        <f>SUMIFS('💸 Expenses'!$F$8:$F$5000,'💸 Expenses'!$B$8:$B$5000,"&gt;="&amp;DATE(2026,6,1),'💸 Expenses'!$B$8:$B$5000,"&lt;"&amp;DATE(2026,7,1))</f>
        <v/>
      </c>
      <c r="D41" s="414">
        <f>SUMIFS('💸 Expenses'!$F$8:$F$5000,'💸 Expenses'!$B$8:$B$5000,"&gt;="&amp;DATE(2026,7,1),'💸 Expenses'!$B$8:$B$5000,"&lt;"&amp;DATE(2026,8,1))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2" t="inlineStr">
        <is>
          <t>NET PROFIT / LOSS</t>
        </is>
      </c>
      <c r="B42" s="414">
        <f>B4-B41</f>
        <v/>
      </c>
      <c r="C42" s="414">
        <f>C4-C41</f>
        <v/>
      </c>
      <c r="D42" s="414">
        <f>D4-D41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2026-07-27T14:11:21Z</dcterms:modified>
  <cp:lastModifiedBy>LOHITH REDDY</cp:lastModifiedBy>
</cp:coreProperties>
</file>