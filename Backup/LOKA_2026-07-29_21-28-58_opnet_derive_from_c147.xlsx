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4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  <xf numFmtId="0" fontId="97" fillId="0" borderId="0" pivotButton="0" quotePrefix="0" xfId="0"/>
    <xf numFmtId="175" fontId="97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5" fontId="46" fillId="19" borderId="15" applyAlignment="1" pivotButton="0" quotePrefix="0" xfId="0">
      <alignment horizontal="center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16727.81</v>
      </c>
      <c r="E147" s="286" t="inlineStr">
        <is>
          <t>Advance from capital-funded operating costs; repaid from operating cash: $20,000 (21-Jul) + $2,587 (22-Jul). Net advance still owed = $16,727.81.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>
      <c r="B149" s="432" t="inlineStr">
        <is>
          <t xml:space="preserve">  &gt;&gt; Repaid to Capital from operating cash</t>
        </is>
      </c>
      <c r="C149" s="433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>4120.0</v>
      </c>
      <c r="G6" s="31">
        <f>SUMIFS($G$8:$G$5000,$B$8:$B$5000,TODAY())</f>
        <v>205.0</v>
      </c>
      <c r="H6" s="28">
        <f>SUMIFS($H$8:$H$5000,$B$8:$B$5000,TODAY())</f>
        <v>1495.0</v>
      </c>
      <c r="I6" s="32">
        <f>F6-H6</f>
        <v>2625.0</v>
      </c>
      <c r="J6">
        <f>IFERROR(I6/F6,0)</f>
        <v>0.637136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12550.0</v>
      </c>
      <c r="N6" s="33">
        <f>SUMPRODUCT((ISNUMBER($B$8:$B$5000))*($B$8:$B$5000&gt;=TODAY()-MOD(TODAY()-2,7))*($B$8:$B$5000&lt;TODAY()-MOD(TODAY()-2,7)+7)*IF(ISNUMBER($F$8:$F$5000),$F$8:$F$5000,0))</f>
        <v>12550.0</v>
      </c>
      <c r="O6" s="33">
        <f>SUMPRODUCT((ISNUMBER($B$8:$B$5000))*(MONTH($B$8:$B$5000)=MONTH(TODAY()))*(YEAR($B$8:$B$5000)=YEAR(TODAY()))*IF(ISNUMBER($F$8:$F$5000),$F$8:$F$5000,0))</f>
        <v>110366.0</v>
      </c>
      <c r="P6">
        <f>SUMPRODUCT((ISNUMBER($B$8:$B$5000))*($B$8:$B$5000&gt;=TODAY()-MOD(TODAY()-2,7))*($B$8:$B$5000&lt;TODAY()-MOD(TODAY()-2,7)+7)*IF(ISNUMBER($H$8:$H$5000),$H$8:$H$5000,0))</f>
        <v>3927.0</v>
      </c>
      <c r="Q6">
        <f>M6-P6</f>
        <v>8623.0</v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>0.0</v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>0.0</v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>0.0</v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>0.0</v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>0.0</v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>0.0</v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420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421">
        <f>IFERROR(D69*$T$7,0)</f>
        <v>0.0</v>
      </c>
      <c r="S69" s="292" t="n"/>
      <c r="T69" s="292" t="n"/>
      <c r="U69" s="421" t="n">
        <v>0</v>
      </c>
      <c r="V69" s="421" t="n">
        <v>0</v>
      </c>
      <c r="W69" s="292" t="n"/>
      <c r="X69" s="292" t="n"/>
      <c r="Y69" s="421" t="n">
        <v>2010</v>
      </c>
      <c r="Z69" s="421" t="n">
        <v>38.19</v>
      </c>
      <c r="AA69" s="292" t="n"/>
      <c r="AB69" s="292" t="n"/>
    </row>
    <row r="70" ht="16.5" customHeight="1" s="313">
      <c r="B70" s="420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421">
        <f>IFERROR(D70*$T$7,0)</f>
        <v>93.79</v>
      </c>
      <c r="S70" s="292" t="n"/>
      <c r="T70" s="292" t="n"/>
      <c r="U70" s="421" t="n">
        <v>0</v>
      </c>
      <c r="V70" s="421" t="n">
        <v>0</v>
      </c>
      <c r="W70" s="292" t="n"/>
      <c r="X70" s="292" t="n"/>
      <c r="Y70" s="421" t="n">
        <v>810</v>
      </c>
      <c r="Z70" s="421" t="n">
        <v>15.39</v>
      </c>
      <c r="AA70" s="292" t="n"/>
      <c r="AB70" s="292" t="n"/>
    </row>
    <row r="71" ht="16.5" customHeight="1" s="313">
      <c r="B71" s="420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421">
        <f>IFERROR(D71*$T$7,0)</f>
        <v>68.82</v>
      </c>
      <c r="S71" s="292" t="n"/>
      <c r="T71" s="292" t="n"/>
      <c r="U71" s="421" t="n">
        <v>0</v>
      </c>
      <c r="V71" s="421" t="n">
        <v>0</v>
      </c>
      <c r="W71" s="292" t="n"/>
      <c r="X71" s="292" t="n"/>
      <c r="Y71" s="421" t="n">
        <v>0</v>
      </c>
      <c r="Z71" s="421" t="n">
        <v>0</v>
      </c>
      <c r="AA71" s="292" t="n"/>
      <c r="AB71" s="292" t="n"/>
    </row>
    <row r="72" ht="16.5" customHeight="1" s="313">
      <c r="B72" s="420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421">
        <f>IFERROR(D72*$T$7,0)</f>
        <v>99.67</v>
      </c>
      <c r="S72" s="292" t="n"/>
      <c r="T72" s="292" t="n"/>
      <c r="U72" s="421" t="n">
        <v>0</v>
      </c>
      <c r="V72" s="421" t="n">
        <v>0</v>
      </c>
      <c r="W72" s="292" t="n"/>
      <c r="X72" s="292" t="n"/>
      <c r="Y72" s="421" t="n">
        <v>0</v>
      </c>
      <c r="Z72" s="421" t="n">
        <v>0</v>
      </c>
      <c r="AA72" s="292" t="n"/>
      <c r="AB72" s="292" t="n"/>
    </row>
    <row r="73" ht="16.5" customHeight="1" s="313">
      <c r="B73" s="420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421">
        <f>IFERROR(D73*$T$7,0)</f>
        <v>6.29</v>
      </c>
      <c r="S73" s="292" t="n"/>
      <c r="T73" s="292" t="n"/>
      <c r="U73" s="421" t="n">
        <v>0</v>
      </c>
      <c r="V73" s="421" t="n">
        <v>0</v>
      </c>
      <c r="W73" s="292" t="n"/>
      <c r="X73" s="292" t="n"/>
      <c r="Y73" s="421" t="n">
        <v>0</v>
      </c>
      <c r="Z73" s="421" t="n">
        <v>0</v>
      </c>
      <c r="AA73" s="292" t="n"/>
      <c r="AB73" s="292" t="n"/>
    </row>
    <row r="74" ht="16.5" customHeight="1" s="313">
      <c r="B74" s="420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434" t="n"/>
      <c r="N74" s="435" t="n"/>
      <c r="O74" s="436" t="n"/>
      <c r="P74" s="437" t="n"/>
      <c r="Q74" s="435" t="n"/>
      <c r="R74" s="438">
        <f>IFERROR(D74*$T$7,0)</f>
        <v>44.66</v>
      </c>
      <c r="S74" s="435" t="n"/>
      <c r="T74" s="435" t="n"/>
      <c r="U74" s="438" t="n">
        <v>0</v>
      </c>
      <c r="V74" s="438" t="n">
        <v>0</v>
      </c>
      <c r="W74" s="435" t="n"/>
      <c r="X74" s="435" t="n"/>
      <c r="Y74" s="438" t="n">
        <v>0</v>
      </c>
      <c r="Z74" s="438" t="n">
        <v>0</v>
      </c>
      <c r="AA74" s="435" t="n"/>
      <c r="AB74" s="435" t="n"/>
    </row>
    <row r="75" ht="16.5" customHeight="1" s="313">
      <c r="B75" s="420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421">
        <f>IFERROR(D75*$T$7,0)</f>
        <v>130.12</v>
      </c>
      <c r="S75" s="292" t="n"/>
      <c r="T75" s="292" t="n"/>
      <c r="U75" s="421" t="n">
        <v>0</v>
      </c>
      <c r="V75" s="421" t="n">
        <v>0</v>
      </c>
      <c r="W75" s="292" t="n"/>
      <c r="X75" s="292" t="n"/>
      <c r="Y75" s="421" t="n">
        <v>350</v>
      </c>
      <c r="Z75" s="421" t="n">
        <v>6.65</v>
      </c>
      <c r="AA75" s="292" t="n"/>
      <c r="AB75" s="292" t="n"/>
    </row>
    <row r="76" ht="16.5" customHeight="1" s="313">
      <c r="B76" s="420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434" t="n"/>
      <c r="N76" s="435" t="n"/>
      <c r="O76" s="436" t="n"/>
      <c r="P76" s="437" t="n"/>
      <c r="Q76" s="435" t="n"/>
      <c r="R76" s="438">
        <f>IFERROR(D76*$T$7,0)</f>
        <v>99.67</v>
      </c>
      <c r="S76" s="435" t="n"/>
      <c r="T76" s="435" t="n"/>
      <c r="U76" s="438" t="n">
        <v>0</v>
      </c>
      <c r="V76" s="438" t="n">
        <v>0</v>
      </c>
      <c r="W76" s="435" t="n"/>
      <c r="X76" s="435" t="n"/>
      <c r="Y76" s="438" t="n">
        <v>0</v>
      </c>
      <c r="Z76" s="438" t="n">
        <v>0</v>
      </c>
      <c r="AA76" s="435" t="n"/>
      <c r="AB76" s="435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58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  <row r="511">
      <c r="B511" s="422" t="n">
        <v>46224</v>
      </c>
      <c r="C511" s="305" t="inlineStr">
        <is>
          <t>Jamon</t>
        </is>
      </c>
      <c r="D511" s="306" t="inlineStr">
        <is>
          <t>No bill</t>
        </is>
      </c>
      <c r="E511" s="305" t="inlineStr">
        <is>
          <t>Ingredients - Meat</t>
        </is>
      </c>
      <c r="F511" s="307" t="n">
        <v>174</v>
      </c>
      <c r="G511" s="308" t="inlineStr">
        <is>
          <t>Restaurant</t>
        </is>
      </c>
      <c r="H511" s="308" t="inlineStr">
        <is>
          <t>Cash</t>
        </is>
      </c>
      <c r="I511" s="309" t="inlineStr">
        <is>
          <t>✅ Paid</t>
        </is>
      </c>
      <c r="J511" s="418" t="inlineStr">
        <is>
          <t>No receipt; cash</t>
        </is>
      </c>
    </row>
    <row r="512">
      <c r="B512" s="422" t="n">
        <v>46224</v>
      </c>
      <c r="C512" s="305" t="inlineStr">
        <is>
          <t>Carnes</t>
        </is>
      </c>
      <c r="D512" s="306" t="inlineStr">
        <is>
          <t>No bill</t>
        </is>
      </c>
      <c r="E512" s="305" t="inlineStr">
        <is>
          <t>Ingredients - Meat</t>
        </is>
      </c>
      <c r="F512" s="307" t="n">
        <v>562</v>
      </c>
      <c r="G512" s="308" t="inlineStr">
        <is>
          <t>Restaurant</t>
        </is>
      </c>
      <c r="H512" s="308" t="inlineStr">
        <is>
          <t>Cash</t>
        </is>
      </c>
      <c r="I512" s="309" t="inlineStr">
        <is>
          <t>✅ Paid</t>
        </is>
      </c>
      <c r="J512" s="418" t="inlineStr">
        <is>
          <t>No receipt; cash</t>
        </is>
      </c>
    </row>
    <row r="513">
      <c r="B513" s="422" t="n">
        <v>46224</v>
      </c>
      <c r="C513" s="305" t="inlineStr">
        <is>
          <t>Carne de hamburguesa</t>
        </is>
      </c>
      <c r="D513" s="306" t="inlineStr">
        <is>
          <t>No bill</t>
        </is>
      </c>
      <c r="E513" s="305" t="inlineStr">
        <is>
          <t>Ingredients - Meat</t>
        </is>
      </c>
      <c r="F513" s="307" t="n">
        <v>380</v>
      </c>
      <c r="G513" s="308" t="inlineStr">
        <is>
          <t>Restaurant</t>
        </is>
      </c>
      <c r="H513" s="308" t="inlineStr">
        <is>
          <t>Cash</t>
        </is>
      </c>
      <c r="I513" s="309" t="inlineStr">
        <is>
          <t>✅ Paid</t>
        </is>
      </c>
      <c r="J513" s="418" t="inlineStr">
        <is>
          <t>No receipt; cash</t>
        </is>
      </c>
    </row>
    <row r="514">
      <c r="B514" s="422" t="n">
        <v>46224</v>
      </c>
      <c r="C514" s="305" t="inlineStr">
        <is>
          <t>Arroz (Oxxo)</t>
        </is>
      </c>
      <c r="D514" s="306" t="inlineStr">
        <is>
          <t>OXXO</t>
        </is>
      </c>
      <c r="E514" s="305" t="inlineStr">
        <is>
          <t>Ingredients - Pantry</t>
        </is>
      </c>
      <c r="F514" s="307" t="n">
        <v>26</v>
      </c>
      <c r="G514" s="308" t="inlineStr">
        <is>
          <t>Restaurant</t>
        </is>
      </c>
      <c r="H514" s="308" t="inlineStr">
        <is>
          <t>Cash</t>
        </is>
      </c>
      <c r="I514" s="309" t="inlineStr">
        <is>
          <t>✅ Paid</t>
        </is>
      </c>
      <c r="J514" s="418" t="inlineStr">
        <is>
          <t>No receipt; cash</t>
        </is>
      </c>
    </row>
    <row r="515">
      <c r="B515" s="422" t="n">
        <v>46224</v>
      </c>
      <c r="C515" s="305" t="inlineStr">
        <is>
          <t>Chedraui (varios)</t>
        </is>
      </c>
      <c r="D515" s="306" t="inlineStr">
        <is>
          <t>Chedraui</t>
        </is>
      </c>
      <c r="E515" s="305" t="inlineStr">
        <is>
          <t>Supermarket/General</t>
        </is>
      </c>
      <c r="F515" s="307" t="n">
        <v>116</v>
      </c>
      <c r="G515" s="308" t="inlineStr">
        <is>
          <t>Restaurant</t>
        </is>
      </c>
      <c r="H515" s="308" t="inlineStr">
        <is>
          <t>Cash</t>
        </is>
      </c>
      <c r="I515" s="309" t="inlineStr">
        <is>
          <t>✅ Paid</t>
        </is>
      </c>
      <c r="J515" s="418" t="inlineStr">
        <is>
          <t>No receipt provided; cash</t>
        </is>
      </c>
    </row>
    <row r="516">
      <c r="B516" s="422" t="n">
        <v>46224</v>
      </c>
      <c r="C516" s="305" t="inlineStr">
        <is>
          <t>Pollo</t>
        </is>
      </c>
      <c r="D516" s="306" t="inlineStr">
        <is>
          <t>No bill</t>
        </is>
      </c>
      <c r="E516" s="305" t="inlineStr">
        <is>
          <t>Ingredients - Meat</t>
        </is>
      </c>
      <c r="F516" s="307" t="n">
        <v>939</v>
      </c>
      <c r="G516" s="308" t="inlineStr">
        <is>
          <t>Restaurant</t>
        </is>
      </c>
      <c r="H516" s="308" t="inlineStr">
        <is>
          <t>Cash</t>
        </is>
      </c>
      <c r="I516" s="309" t="inlineStr">
        <is>
          <t>✅ Paid</t>
        </is>
      </c>
      <c r="J516" s="418" t="inlineStr">
        <is>
          <t>No receipt; cash</t>
        </is>
      </c>
    </row>
    <row r="517">
      <c r="B517" s="422" t="n">
        <v>46225</v>
      </c>
      <c r="C517" s="305" t="inlineStr">
        <is>
          <t>Avia Reca (bebidas)</t>
        </is>
      </c>
      <c r="D517" s="306" t="inlineStr">
        <is>
          <t>Reca</t>
        </is>
      </c>
      <c r="E517" s="305" t="inlineStr">
        <is>
          <t>Ingredients - Beverages</t>
        </is>
      </c>
      <c r="F517" s="307" t="n">
        <v>300</v>
      </c>
      <c r="G517" s="308" t="inlineStr">
        <is>
          <t>Restaurant</t>
        </is>
      </c>
      <c r="H517" s="308" t="inlineStr">
        <is>
          <t>Cash</t>
        </is>
      </c>
      <c r="I517" s="309" t="inlineStr">
        <is>
          <t>✅ Paid</t>
        </is>
      </c>
      <c r="J517" s="418" t="inlineStr">
        <is>
          <t>Marca de bebidas; gasto operativo recurrente de inventario de bebidas.</t>
        </is>
      </c>
    </row>
    <row r="518">
      <c r="B518" s="422" t="n">
        <v>46225</v>
      </c>
      <c r="C518" s="305" t="inlineStr">
        <is>
          <t>Carnes</t>
        </is>
      </c>
      <c r="D518" s="306" t="inlineStr">
        <is>
          <t>No bill</t>
        </is>
      </c>
      <c r="E518" s="305" t="inlineStr">
        <is>
          <t>Ingredients - Meat</t>
        </is>
      </c>
      <c r="F518" s="307" t="n">
        <v>833</v>
      </c>
      <c r="G518" s="308" t="inlineStr">
        <is>
          <t>Restaurant</t>
        </is>
      </c>
      <c r="H518" s="308" t="inlineStr">
        <is>
          <t>Cash</t>
        </is>
      </c>
      <c r="I518" s="309" t="inlineStr">
        <is>
          <t>✅ Paid</t>
        </is>
      </c>
      <c r="J518" s="418" t="inlineStr">
        <is>
          <t>No receipt; cash</t>
        </is>
      </c>
    </row>
    <row r="519">
      <c r="B519" s="422" t="n">
        <v>46225</v>
      </c>
      <c r="C519" s="305" t="inlineStr">
        <is>
          <t>Elote (Oxxo)</t>
        </is>
      </c>
      <c r="D519" s="306" t="inlineStr">
        <is>
          <t>OXXO</t>
        </is>
      </c>
      <c r="E519" s="305" t="inlineStr">
        <is>
          <t>Ingredients - Vegetables</t>
        </is>
      </c>
      <c r="F519" s="307" t="n">
        <v>20</v>
      </c>
      <c r="G519" s="308" t="inlineStr">
        <is>
          <t>Restaurant</t>
        </is>
      </c>
      <c r="H519" s="308" t="inlineStr">
        <is>
          <t>Cash</t>
        </is>
      </c>
      <c r="I519" s="309" t="inlineStr">
        <is>
          <t>✅ Paid</t>
        </is>
      </c>
      <c r="J519" s="418" t="inlineStr">
        <is>
          <t>No receipt; cash</t>
        </is>
      </c>
    </row>
    <row r="520">
      <c r="B520" s="422" t="n">
        <v>46225</v>
      </c>
      <c r="C520" s="305" t="inlineStr">
        <is>
          <t>Tilapia</t>
        </is>
      </c>
      <c r="D520" s="306" t="inlineStr">
        <is>
          <t>Brisa del Mar</t>
        </is>
      </c>
      <c r="E520" s="305" t="inlineStr">
        <is>
          <t>Ingredients - Meat &amp; Fish</t>
        </is>
      </c>
      <c r="F520" s="307" t="n">
        <v>366</v>
      </c>
      <c r="G520" s="308" t="inlineStr">
        <is>
          <t>Restaurant</t>
        </is>
      </c>
      <c r="H520" s="308" t="inlineStr">
        <is>
          <t>Cash</t>
        </is>
      </c>
      <c r="I520" s="309" t="inlineStr">
        <is>
          <t>✅ Paid</t>
        </is>
      </c>
      <c r="J520" s="418" t="inlineStr">
        <is>
          <t>No receipt; cash; pescado</t>
        </is>
      </c>
    </row>
    <row r="521">
      <c r="B521" s="422" t="n">
        <v>46225</v>
      </c>
      <c r="C521" s="305" t="inlineStr">
        <is>
          <t>Pollo</t>
        </is>
      </c>
      <c r="D521" s="306" t="inlineStr">
        <is>
          <t>No bill</t>
        </is>
      </c>
      <c r="E521" s="305" t="inlineStr">
        <is>
          <t>Ingredients - Meat</t>
        </is>
      </c>
      <c r="F521" s="307" t="n">
        <v>234</v>
      </c>
      <c r="G521" s="308" t="inlineStr">
        <is>
          <t>Lohith</t>
        </is>
      </c>
      <c r="H521" s="308" t="inlineStr">
        <is>
          <t>Cash</t>
        </is>
      </c>
      <c r="I521" s="309" t="inlineStr">
        <is>
          <t>✅ Paid</t>
        </is>
      </c>
      <c r="J521" s="418" t="inlineStr">
        <is>
          <t>Pagado por Lohith (bolsillo); reembolsable via Owner Ledger; no de la caja</t>
        </is>
      </c>
    </row>
    <row r="522">
      <c r="B522" s="422" t="n">
        <v>46225</v>
      </c>
      <c r="C522" s="305" t="inlineStr">
        <is>
          <t>Soft Restaurant app subscription</t>
        </is>
      </c>
      <c r="D522" s="306" t="inlineStr">
        <is>
          <t>Soft Restaurant</t>
        </is>
      </c>
      <c r="E522" s="305" t="inlineStr">
        <is>
          <t>Utilities/Internet</t>
        </is>
      </c>
      <c r="F522" s="307" t="n">
        <v>810</v>
      </c>
      <c r="G522" s="308" t="inlineStr">
        <is>
          <t>Restaurant</t>
        </is>
      </c>
      <c r="H522" s="308" t="inlineStr">
        <is>
          <t>Cash</t>
        </is>
      </c>
      <c r="I522" s="309" t="inlineStr">
        <is>
          <t>✅ Paid</t>
        </is>
      </c>
      <c r="J522" s="418" t="inlineStr">
        <is>
          <t>Suscripcion MENSUAL recurrente del software POS Soft Restaurant. Gasto OPERATIVO (no capital) - se repite cada mes.</t>
        </is>
      </c>
    </row>
    <row r="523">
      <c r="B523" s="422" t="n">
        <v>46225</v>
      </c>
      <c r="C523" s="305" t="inlineStr">
        <is>
          <t>Groceries (Tres B)</t>
        </is>
      </c>
      <c r="D523" s="306" t="inlineStr">
        <is>
          <t>Tres B</t>
        </is>
      </c>
      <c r="E523" s="305" t="inlineStr">
        <is>
          <t>Supermarket/General</t>
        </is>
      </c>
      <c r="F523" s="307" t="n">
        <v>1186</v>
      </c>
      <c r="G523" s="308" t="inlineStr">
        <is>
          <t>Restaurant</t>
        </is>
      </c>
      <c r="H523" s="308" t="inlineStr">
        <is>
          <t>Cash</t>
        </is>
      </c>
      <c r="I523" s="309" t="inlineStr">
        <is>
          <t>✅ Paid</t>
        </is>
      </c>
      <c r="J523" s="418" t="inlineStr">
        <is>
          <t>No receipt provided; cash; abarrotes</t>
        </is>
      </c>
    </row>
    <row r="524">
      <c r="B524" s="422" t="n">
        <v>46225</v>
      </c>
      <c r="C524" s="305" t="inlineStr">
        <is>
          <t>Agua natural</t>
        </is>
      </c>
      <c r="D524" s="306" t="inlineStr">
        <is>
          <t>No bill</t>
        </is>
      </c>
      <c r="E524" s="305" t="inlineStr">
        <is>
          <t>Ingredients - Beverages</t>
        </is>
      </c>
      <c r="F524" s="307" t="n">
        <v>70</v>
      </c>
      <c r="G524" s="308" t="inlineStr">
        <is>
          <t>Restaurant</t>
        </is>
      </c>
      <c r="H524" s="308" t="inlineStr">
        <is>
          <t>Cash</t>
        </is>
      </c>
      <c r="I524" s="309" t="inlineStr">
        <is>
          <t>✅ Paid</t>
        </is>
      </c>
      <c r="J524" s="418" t="inlineStr">
        <is>
          <t>No receipt; cash</t>
        </is>
      </c>
    </row>
    <row r="525">
      <c r="B525" s="422" t="n">
        <v>46226</v>
      </c>
      <c r="C525" s="305" t="inlineStr">
        <is>
          <t>Vegetables</t>
        </is>
      </c>
      <c r="D525" s="306" t="inlineStr">
        <is>
          <t>No bill</t>
        </is>
      </c>
      <c r="E525" s="305" t="inlineStr">
        <is>
          <t>Ingredients - Vegetables</t>
        </is>
      </c>
      <c r="F525" s="307" t="n">
        <v>105</v>
      </c>
      <c r="G525" s="308" t="inlineStr">
        <is>
          <t>Restaurant</t>
        </is>
      </c>
      <c r="H525" s="308" t="inlineStr">
        <is>
          <t>Cash</t>
        </is>
      </c>
      <c r="I525" s="309" t="inlineStr">
        <is>
          <t>✅ Paid</t>
        </is>
      </c>
      <c r="J525" s="418" t="inlineStr">
        <is>
          <t>No receipt; cash</t>
        </is>
      </c>
    </row>
    <row r="526">
      <c r="B526" s="422" t="n">
        <v>46226</v>
      </c>
      <c r="C526" s="305" t="inlineStr">
        <is>
          <t>Carnes</t>
        </is>
      </c>
      <c r="D526" s="306" t="inlineStr">
        <is>
          <t>No bill</t>
        </is>
      </c>
      <c r="E526" s="305" t="inlineStr">
        <is>
          <t>Ingredients - Meat</t>
        </is>
      </c>
      <c r="F526" s="307" t="n">
        <v>600</v>
      </c>
      <c r="G526" s="308" t="inlineStr">
        <is>
          <t>Restaurant</t>
        </is>
      </c>
      <c r="H526" s="308" t="inlineStr">
        <is>
          <t>Cash</t>
        </is>
      </c>
      <c r="I526" s="309" t="inlineStr">
        <is>
          <t>✅ Paid</t>
        </is>
      </c>
      <c r="J526" s="418" t="inlineStr">
        <is>
          <t>No receipt; cash</t>
        </is>
      </c>
    </row>
    <row r="527">
      <c r="B527" s="422" t="n">
        <v>46226</v>
      </c>
      <c r="C527" s="305" t="inlineStr">
        <is>
          <t>Pollo</t>
        </is>
      </c>
      <c r="D527" s="306" t="inlineStr">
        <is>
          <t>No bill</t>
        </is>
      </c>
      <c r="E527" s="305" t="inlineStr">
        <is>
          <t>Ingredients - Meat</t>
        </is>
      </c>
      <c r="F527" s="307" t="n">
        <v>220</v>
      </c>
      <c r="G527" s="308" t="inlineStr">
        <is>
          <t>Restaurant</t>
        </is>
      </c>
      <c r="H527" s="308" t="inlineStr">
        <is>
          <t>Cash</t>
        </is>
      </c>
      <c r="I527" s="309" t="inlineStr">
        <is>
          <t>✅ Paid</t>
        </is>
      </c>
      <c r="J527" s="418" t="inlineStr">
        <is>
          <t>No receipt; cash</t>
        </is>
      </c>
    </row>
    <row r="528">
      <c r="B528" s="422" t="n">
        <v>46226</v>
      </c>
      <c r="C528" s="305" t="inlineStr">
        <is>
          <t>Vasos plast. 12 + Reyma tapas + bolsa negra + stretch film</t>
        </is>
      </c>
      <c r="D528" s="306" t="inlineStr">
        <is>
          <t>Guimar Polietilenos</t>
        </is>
      </c>
      <c r="E528" s="305" t="inlineStr">
        <is>
          <t>Packaging/Disposables</t>
        </is>
      </c>
      <c r="F528" s="307" t="n">
        <v>1544.98</v>
      </c>
      <c r="G528" s="308" t="inlineStr">
        <is>
          <t>Restaurant</t>
        </is>
      </c>
      <c r="H528" s="308" t="inlineStr">
        <is>
          <t>Card</t>
        </is>
      </c>
      <c r="I528" s="309" t="inlineStr">
        <is>
          <t>✅ Paid</t>
        </is>
      </c>
      <c r="J528" s="418" t="inlineStr">
        <is>
          <t>Folio AK93904 10:48. Pagado con tarjeta de Lohith pero YA reembolsado con dinero del restaurante -&gt; gasto del restaurante, sin entrada en Owner Ledger.</t>
        </is>
      </c>
    </row>
    <row r="529">
      <c r="B529" s="422" t="n">
        <v>46226</v>
      </c>
      <c r="C529" s="305" t="inlineStr">
        <is>
          <t>Elote Herdez, agua mineral, detergente 5kg, tortillas, bolillo, rosca de nuez</t>
        </is>
      </c>
      <c r="D529" s="306" t="inlineStr">
        <is>
          <t>Chedraui Selecto</t>
        </is>
      </c>
      <c r="E529" s="305" t="inlineStr">
        <is>
          <t>Supermarket/General</t>
        </is>
      </c>
      <c r="F529" s="307" t="n">
        <v>515.4</v>
      </c>
      <c r="G529" s="308" t="inlineStr">
        <is>
          <t>Restaurant</t>
        </is>
      </c>
      <c r="H529" s="308" t="inlineStr">
        <is>
          <t>Card</t>
        </is>
      </c>
      <c r="I529" s="309" t="inlineStr">
        <is>
          <t>✅ Paid</t>
        </is>
      </c>
      <c r="J529" s="418" t="inlineStr">
        <is>
          <t>Debito BBVA ***3982 AUT 006060; 23-Jul 11:34; 16 articulos</t>
        </is>
      </c>
    </row>
    <row r="530">
      <c r="B530" s="422" t="n">
        <v>46226</v>
      </c>
      <c r="C530" s="305" t="inlineStr">
        <is>
          <t>Contenedor termico 8x8D + papel alimenticio + bolsa poliseda + bolsa en rollo</t>
        </is>
      </c>
      <c r="D530" s="306" t="inlineStr">
        <is>
          <t>Guimar Polietilenos</t>
        </is>
      </c>
      <c r="E530" s="305" t="inlineStr">
        <is>
          <t>Packaging/Disposables</t>
        </is>
      </c>
      <c r="F530" s="307" t="n">
        <v>1481.45</v>
      </c>
      <c r="G530" s="308" t="inlineStr">
        <is>
          <t>Restaurant</t>
        </is>
      </c>
      <c r="H530" s="308" t="inlineStr">
        <is>
          <t>Card</t>
        </is>
      </c>
      <c r="I530" s="309" t="inlineStr">
        <is>
          <t>✅ Paid</t>
        </is>
      </c>
      <c r="J530" s="418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422" t="n">
        <v>46226</v>
      </c>
      <c r="C531" s="305" t="inlineStr">
        <is>
          <t>Arroz (Oxxo)</t>
        </is>
      </c>
      <c r="D531" s="306" t="inlineStr">
        <is>
          <t>OXXO</t>
        </is>
      </c>
      <c r="E531" s="305" t="inlineStr">
        <is>
          <t>Ingredients - Pantry</t>
        </is>
      </c>
      <c r="F531" s="307" t="n">
        <v>35</v>
      </c>
      <c r="G531" s="308" t="inlineStr">
        <is>
          <t>Restaurant</t>
        </is>
      </c>
      <c r="H531" s="308" t="inlineStr">
        <is>
          <t>Cash</t>
        </is>
      </c>
      <c r="I531" s="309" t="inlineStr">
        <is>
          <t>✅ Paid</t>
        </is>
      </c>
      <c r="J531" s="418" t="inlineStr">
        <is>
          <t>No receipt; cash</t>
        </is>
      </c>
    </row>
    <row r="532">
      <c r="B532" s="422" t="n">
        <v>46226</v>
      </c>
      <c r="C532" s="305" t="inlineStr">
        <is>
          <t>Pan y salsas</t>
        </is>
      </c>
      <c r="D532" s="306" t="inlineStr">
        <is>
          <t>Pan Reales</t>
        </is>
      </c>
      <c r="E532" s="305" t="inlineStr">
        <is>
          <t>Ingredients - Bread</t>
        </is>
      </c>
      <c r="F532" s="307" t="n">
        <v>847</v>
      </c>
      <c r="G532" s="308" t="inlineStr">
        <is>
          <t>Restaurant</t>
        </is>
      </c>
      <c r="H532" s="308" t="inlineStr">
        <is>
          <t>Cash</t>
        </is>
      </c>
      <c r="I532" s="309" t="inlineStr">
        <is>
          <t>✅ Paid</t>
        </is>
      </c>
      <c r="J532" s="418" t="inlineStr">
        <is>
          <t>No receipt; cash</t>
        </is>
      </c>
    </row>
    <row r="533">
      <c r="B533" s="422" t="n">
        <v>46227</v>
      </c>
      <c r="C533" s="305" t="inlineStr">
        <is>
          <t>Pan molido</t>
        </is>
      </c>
      <c r="D533" s="306" t="inlineStr">
        <is>
          <t>No bill</t>
        </is>
      </c>
      <c r="E533" s="305" t="inlineStr">
        <is>
          <t>Ingredients - Bread</t>
        </is>
      </c>
      <c r="F533" s="307" t="n">
        <v>72</v>
      </c>
      <c r="G533" s="308" t="inlineStr">
        <is>
          <t>Restaurant</t>
        </is>
      </c>
      <c r="H533" s="308" t="inlineStr">
        <is>
          <t>Cash</t>
        </is>
      </c>
      <c r="I533" s="309" t="inlineStr">
        <is>
          <t>✅ Paid</t>
        </is>
      </c>
      <c r="J533" s="418" t="inlineStr">
        <is>
          <t>No receipt; cash; breadcrumbs</t>
        </is>
      </c>
    </row>
    <row r="534">
      <c r="B534" s="422" t="n">
        <v>46227</v>
      </c>
      <c r="C534" s="305" t="inlineStr">
        <is>
          <t>Azucar (Oxxo)</t>
        </is>
      </c>
      <c r="D534" s="306" t="inlineStr">
        <is>
          <t>OXXO</t>
        </is>
      </c>
      <c r="E534" s="305" t="inlineStr">
        <is>
          <t>Ingredients - Pantry</t>
        </is>
      </c>
      <c r="F534" s="307" t="n">
        <v>24</v>
      </c>
      <c r="G534" s="308" t="inlineStr">
        <is>
          <t>Restaurant</t>
        </is>
      </c>
      <c r="H534" s="308" t="inlineStr">
        <is>
          <t>Cash</t>
        </is>
      </c>
      <c r="I534" s="309" t="inlineStr">
        <is>
          <t>✅ Paid</t>
        </is>
      </c>
      <c r="J534" s="418" t="inlineStr">
        <is>
          <t>No receipt; cash</t>
        </is>
      </c>
    </row>
    <row r="535">
      <c r="B535" s="422" t="n">
        <v>46227</v>
      </c>
      <c r="C535" s="305" t="inlineStr">
        <is>
          <t>Queso panela</t>
        </is>
      </c>
      <c r="D535" s="306" t="inlineStr">
        <is>
          <t>No bill</t>
        </is>
      </c>
      <c r="E535" s="305" t="inlineStr">
        <is>
          <t>Ingredients - Dairy</t>
        </is>
      </c>
      <c r="F535" s="307" t="n">
        <v>590</v>
      </c>
      <c r="G535" s="308" t="inlineStr">
        <is>
          <t>Restaurant</t>
        </is>
      </c>
      <c r="H535" s="308" t="inlineStr">
        <is>
          <t>Cash</t>
        </is>
      </c>
      <c r="I535" s="309" t="inlineStr">
        <is>
          <t>✅ Paid</t>
        </is>
      </c>
      <c r="J535" s="418" t="inlineStr">
        <is>
          <t>No receipt; cash</t>
        </is>
      </c>
    </row>
    <row r="536">
      <c r="B536" s="422" t="n">
        <v>46227</v>
      </c>
      <c r="C536" s="305" t="inlineStr">
        <is>
          <t>Samu — Ayudante Week 10</t>
        </is>
      </c>
      <c r="D536" s="306" t="inlineStr">
        <is>
          <t>Payroll</t>
        </is>
      </c>
      <c r="E536" s="305" t="inlineStr">
        <is>
          <t>Staff - Salary</t>
        </is>
      </c>
      <c r="F536" s="307" t="n">
        <v>1200</v>
      </c>
      <c r="G536" s="308" t="inlineStr">
        <is>
          <t>Restaurant</t>
        </is>
      </c>
      <c r="H536" s="308" t="inlineStr">
        <is>
          <t>Cash</t>
        </is>
      </c>
      <c r="I536" s="309" t="inlineStr">
        <is>
          <t>✅ Paid</t>
        </is>
      </c>
      <c r="J536" s="418" t="inlineStr">
        <is>
          <t>Week 10 salary, paid Friday 24 Jul</t>
        </is>
      </c>
    </row>
    <row r="537">
      <c r="B537" s="422" t="n">
        <v>46228</v>
      </c>
      <c r="C537" s="305" t="inlineStr">
        <is>
          <t>Vegetables</t>
        </is>
      </c>
      <c r="D537" s="306" t="inlineStr">
        <is>
          <t>No bill</t>
        </is>
      </c>
      <c r="E537" s="305" t="inlineStr">
        <is>
          <t>Ingredients - Vegetables</t>
        </is>
      </c>
      <c r="F537" s="307" t="n">
        <v>150</v>
      </c>
      <c r="G537" s="308" t="inlineStr">
        <is>
          <t>Restaurant</t>
        </is>
      </c>
      <c r="H537" s="308" t="inlineStr">
        <is>
          <t>Cash</t>
        </is>
      </c>
      <c r="I537" s="309" t="inlineStr">
        <is>
          <t>✅ Paid</t>
        </is>
      </c>
      <c r="J537" s="418" t="inlineStr">
        <is>
          <t>No receipt; cash</t>
        </is>
      </c>
    </row>
    <row r="538">
      <c r="B538" s="422" t="n">
        <v>46228</v>
      </c>
      <c r="C538" s="305" t="inlineStr">
        <is>
          <t>Carne bistec</t>
        </is>
      </c>
      <c r="D538" s="306" t="inlineStr">
        <is>
          <t>No bill</t>
        </is>
      </c>
      <c r="E538" s="305" t="inlineStr">
        <is>
          <t>Ingredients - Meat</t>
        </is>
      </c>
      <c r="F538" s="307" t="n">
        <v>284</v>
      </c>
      <c r="G538" s="308" t="inlineStr">
        <is>
          <t>Restaurant</t>
        </is>
      </c>
      <c r="H538" s="308" t="inlineStr">
        <is>
          <t>Cash</t>
        </is>
      </c>
      <c r="I538" s="309" t="inlineStr">
        <is>
          <t>✅ Paid</t>
        </is>
      </c>
      <c r="J538" s="418" t="inlineStr">
        <is>
          <t>No receipt; cash</t>
        </is>
      </c>
    </row>
    <row r="539">
      <c r="B539" s="422" t="n">
        <v>46228</v>
      </c>
      <c r="C539" s="305" t="inlineStr">
        <is>
          <t>Pollo</t>
        </is>
      </c>
      <c r="D539" s="306" t="inlineStr">
        <is>
          <t>No bill</t>
        </is>
      </c>
      <c r="E539" s="305" t="inlineStr">
        <is>
          <t>Ingredients - Meat</t>
        </is>
      </c>
      <c r="F539" s="307" t="n">
        <v>905</v>
      </c>
      <c r="G539" s="308" t="inlineStr">
        <is>
          <t>Restaurant</t>
        </is>
      </c>
      <c r="H539" s="308" t="inlineStr">
        <is>
          <t>Cash</t>
        </is>
      </c>
      <c r="I539" s="309" t="inlineStr">
        <is>
          <t>✅ Paid</t>
        </is>
      </c>
      <c r="J539" s="418" t="inlineStr">
        <is>
          <t>No receipt; cash</t>
        </is>
      </c>
    </row>
    <row r="540">
      <c r="B540" s="422" t="n">
        <v>46228</v>
      </c>
      <c r="C540" s="305" t="inlineStr">
        <is>
          <t>Azucar (Oxxo)</t>
        </is>
      </c>
      <c r="D540" s="306" t="inlineStr">
        <is>
          <t>OXXO</t>
        </is>
      </c>
      <c r="E540" s="305" t="inlineStr">
        <is>
          <t>Ingredients - Pantry</t>
        </is>
      </c>
      <c r="F540" s="307" t="n">
        <v>24</v>
      </c>
      <c r="G540" s="308" t="inlineStr">
        <is>
          <t>Restaurant</t>
        </is>
      </c>
      <c r="H540" s="308" t="inlineStr">
        <is>
          <t>Cash</t>
        </is>
      </c>
      <c r="I540" s="309" t="inlineStr">
        <is>
          <t>✅ Paid</t>
        </is>
      </c>
      <c r="J540" s="418" t="inlineStr">
        <is>
          <t>No receipt; cash</t>
        </is>
      </c>
    </row>
    <row r="541">
      <c r="B541" s="422" t="n">
        <v>46228</v>
      </c>
      <c r="C541" s="305" t="inlineStr">
        <is>
          <t>John — Head Chef Week 10</t>
        </is>
      </c>
      <c r="D541" s="306" t="inlineStr">
        <is>
          <t>Payroll</t>
        </is>
      </c>
      <c r="E541" s="305" t="inlineStr">
        <is>
          <t>Staff - Salary</t>
        </is>
      </c>
      <c r="F541" s="307" t="n">
        <v>3750</v>
      </c>
      <c r="G541" s="308" t="inlineStr">
        <is>
          <t>Restaurant</t>
        </is>
      </c>
      <c r="H541" s="308" t="inlineStr">
        <is>
          <t>Cash</t>
        </is>
      </c>
      <c r="I541" s="309" t="inlineStr">
        <is>
          <t>✅ Paid</t>
        </is>
      </c>
      <c r="J541" s="418" t="inlineStr">
        <is>
          <t>Week 10 salary, paid Saturday 25 Jul</t>
        </is>
      </c>
    </row>
    <row r="542">
      <c r="B542" s="422" t="n">
        <v>46228</v>
      </c>
      <c r="C542" s="305" t="inlineStr">
        <is>
          <t>Duvi/Debi — Limpieza Week 10</t>
        </is>
      </c>
      <c r="D542" s="306" t="inlineStr">
        <is>
          <t>Payroll</t>
        </is>
      </c>
      <c r="E542" s="305" t="inlineStr">
        <is>
          <t>Staff - Salary</t>
        </is>
      </c>
      <c r="F542" s="307" t="n">
        <v>1500</v>
      </c>
      <c r="G542" s="308" t="inlineStr">
        <is>
          <t>Restaurant</t>
        </is>
      </c>
      <c r="H542" s="308" t="inlineStr">
        <is>
          <t>Cash</t>
        </is>
      </c>
      <c r="I542" s="309" t="inlineStr">
        <is>
          <t>✅ Paid</t>
        </is>
      </c>
      <c r="J542" s="418" t="inlineStr">
        <is>
          <t>Week 10 salary, paid Saturday 25 Jul (full week)</t>
        </is>
      </c>
    </row>
    <row r="543">
      <c r="B543" s="422" t="n">
        <v>46229</v>
      </c>
      <c r="C543" s="305" t="inlineStr">
        <is>
          <t>Vegetables (Central de Abastos)</t>
        </is>
      </c>
      <c r="D543" s="306" t="inlineStr">
        <is>
          <t>Central de Abastos</t>
        </is>
      </c>
      <c r="E543" s="305" t="inlineStr">
        <is>
          <t>Ingredients - Vegetables</t>
        </is>
      </c>
      <c r="F543" s="307" t="n">
        <v>1832</v>
      </c>
      <c r="G543" s="308" t="inlineStr">
        <is>
          <t>Restaurant</t>
        </is>
      </c>
      <c r="H543" s="308" t="inlineStr">
        <is>
          <t>Cash</t>
        </is>
      </c>
      <c r="I543" s="309" t="inlineStr">
        <is>
          <t>✅ Paid</t>
        </is>
      </c>
      <c r="J543" s="418" t="inlineStr">
        <is>
          <t>No receipt; cash; compra semanal (domingo, restaurante cerrado)</t>
        </is>
      </c>
    </row>
    <row r="544">
      <c r="B544" s="422" t="n">
        <v>46229</v>
      </c>
      <c r="C544" s="305" t="inlineStr">
        <is>
          <t>Arroz (Oxxo)</t>
        </is>
      </c>
      <c r="D544" s="306" t="inlineStr">
        <is>
          <t>OXXO</t>
        </is>
      </c>
      <c r="E544" s="305" t="inlineStr">
        <is>
          <t>Ingredients - Pantry</t>
        </is>
      </c>
      <c r="F544" s="307" t="n">
        <v>78</v>
      </c>
      <c r="G544" s="308" t="inlineStr">
        <is>
          <t>Restaurant</t>
        </is>
      </c>
      <c r="H544" s="308" t="inlineStr">
        <is>
          <t>Cash</t>
        </is>
      </c>
      <c r="I544" s="309" t="inlineStr">
        <is>
          <t>✅ Paid</t>
        </is>
      </c>
      <c r="J544" s="418" t="inlineStr">
        <is>
          <t>No receipt; cash; domingo shopping</t>
        </is>
      </c>
    </row>
    <row r="545">
      <c r="B545" s="422" t="n">
        <v>46229</v>
      </c>
      <c r="C545" s="305" t="inlineStr">
        <is>
          <t>Sam's Club (varios)</t>
        </is>
      </c>
      <c r="D545" s="306" t="inlineStr">
        <is>
          <t>Sam's Club</t>
        </is>
      </c>
      <c r="E545" s="305" t="inlineStr">
        <is>
          <t>Supermarket/General</t>
        </is>
      </c>
      <c r="F545" s="307" t="n">
        <v>1157</v>
      </c>
      <c r="G545" s="308" t="inlineStr">
        <is>
          <t>Restaurant</t>
        </is>
      </c>
      <c r="H545" s="308" t="inlineStr">
        <is>
          <t>Card</t>
        </is>
      </c>
      <c r="I545" s="309" t="inlineStr">
        <is>
          <t>✅ Paid</t>
        </is>
      </c>
      <c r="J545" s="418" t="inlineStr">
        <is>
          <t>No receipt provided; restaurant-paid; domingo shopping</t>
        </is>
      </c>
    </row>
    <row r="546">
      <c r="B546" s="422" t="n">
        <v>46230</v>
      </c>
      <c r="C546" s="305" t="inlineStr">
        <is>
          <t>Agua Natural</t>
        </is>
      </c>
      <c r="D546" s="306" t="inlineStr">
        <is>
          <t>No bill</t>
        </is>
      </c>
      <c r="E546" s="305" t="inlineStr">
        <is>
          <t>Ingredients - Beverages</t>
        </is>
      </c>
      <c r="F546" s="307" t="n">
        <v>60</v>
      </c>
      <c r="G546" s="308" t="inlineStr">
        <is>
          <t>Restaurant</t>
        </is>
      </c>
      <c r="H546" s="308" t="inlineStr">
        <is>
          <t>Cash</t>
        </is>
      </c>
      <c r="I546" s="309" t="inlineStr">
        <is>
          <t>✅ Paid</t>
        </is>
      </c>
      <c r="J546" s="418" t="inlineStr">
        <is>
          <t>No receipt; cash</t>
        </is>
      </c>
    </row>
    <row r="547">
      <c r="B547" s="422" t="n">
        <v>46230</v>
      </c>
      <c r="C547" s="305" t="inlineStr">
        <is>
          <t>Sams Club</t>
        </is>
      </c>
      <c r="D547" s="306" t="inlineStr">
        <is>
          <t>Sam's Club</t>
        </is>
      </c>
      <c r="E547" s="305" t="inlineStr">
        <is>
          <t>Supermarket/General</t>
        </is>
      </c>
      <c r="F547" s="307" t="n">
        <v>491</v>
      </c>
      <c r="G547" s="308" t="inlineStr">
        <is>
          <t>Restaurant</t>
        </is>
      </c>
      <c r="H547" s="308" t="inlineStr">
        <is>
          <t>Cash</t>
        </is>
      </c>
      <c r="I547" s="309" t="inlineStr">
        <is>
          <t>✅ Paid</t>
        </is>
      </c>
      <c r="J547" s="418" t="inlineStr">
        <is>
          <t>No receipt; cash</t>
        </is>
      </c>
    </row>
    <row r="548">
      <c r="B548" s="422" t="n">
        <v>46230</v>
      </c>
      <c r="C548" s="305" t="inlineStr">
        <is>
          <t>Chedruai</t>
        </is>
      </c>
      <c r="D548" s="306" t="inlineStr">
        <is>
          <t>Chedraui</t>
        </is>
      </c>
      <c r="E548" s="305" t="inlineStr">
        <is>
          <t>Supermarket/General</t>
        </is>
      </c>
      <c r="F548" s="307" t="n">
        <v>377</v>
      </c>
      <c r="G548" s="308" t="inlineStr">
        <is>
          <t>Restaurant</t>
        </is>
      </c>
      <c r="H548" s="308" t="inlineStr">
        <is>
          <t>Cash</t>
        </is>
      </c>
      <c r="I548" s="309" t="inlineStr">
        <is>
          <t>✅ Paid</t>
        </is>
      </c>
      <c r="J548" s="418" t="inlineStr">
        <is>
          <t>No receipt; cash</t>
        </is>
      </c>
    </row>
    <row r="549">
      <c r="B549" s="422" t="n">
        <v>46231</v>
      </c>
      <c r="C549" s="305" t="inlineStr">
        <is>
          <t>Utensils Sushi Kit</t>
        </is>
      </c>
      <c r="D549" s="306" t="inlineStr">
        <is>
          <t>No bill</t>
        </is>
      </c>
      <c r="E549" s="305" t="inlineStr">
        <is>
          <t>Kitchen Supplies</t>
        </is>
      </c>
      <c r="F549" s="307" t="n">
        <v>521</v>
      </c>
      <c r="G549" s="308" t="inlineStr">
        <is>
          <t>Restaurant</t>
        </is>
      </c>
      <c r="H549" s="308" t="inlineStr">
        <is>
          <t>Cash</t>
        </is>
      </c>
      <c r="I549" s="309" t="inlineStr">
        <is>
          <t>✅ Paid</t>
        </is>
      </c>
      <c r="J549" s="418" t="inlineStr">
        <is>
          <t>No receipt; cash</t>
        </is>
      </c>
    </row>
    <row r="550">
      <c r="B550" s="422" t="n">
        <v>46231</v>
      </c>
      <c r="C550" s="305" t="inlineStr">
        <is>
          <t>Chedraui</t>
        </is>
      </c>
      <c r="D550" s="306" t="inlineStr">
        <is>
          <t>Chedraui</t>
        </is>
      </c>
      <c r="E550" s="305" t="inlineStr">
        <is>
          <t>Supermarket/General</t>
        </is>
      </c>
      <c r="F550" s="307" t="n">
        <v>82</v>
      </c>
      <c r="G550" s="308" t="inlineStr">
        <is>
          <t>Restaurant</t>
        </is>
      </c>
      <c r="H550" s="308" t="inlineStr">
        <is>
          <t>Cash</t>
        </is>
      </c>
      <c r="I550" s="309" t="inlineStr">
        <is>
          <t>✅ Paid</t>
        </is>
      </c>
      <c r="J550" s="418" t="inlineStr">
        <is>
          <t>No receipt; cash</t>
        </is>
      </c>
    </row>
    <row r="551">
      <c r="B551" s="422" t="n">
        <v>46231</v>
      </c>
      <c r="C551" s="305" t="inlineStr">
        <is>
          <t>Carne</t>
        </is>
      </c>
      <c r="D551" s="306" t="inlineStr">
        <is>
          <t>No bill</t>
        </is>
      </c>
      <c r="E551" s="305" t="inlineStr">
        <is>
          <t>Ingredients - Meat</t>
        </is>
      </c>
      <c r="F551" s="307" t="n">
        <v>505</v>
      </c>
      <c r="G551" s="308" t="inlineStr">
        <is>
          <t>Restaurant</t>
        </is>
      </c>
      <c r="H551" s="308" t="inlineStr">
        <is>
          <t>Cash</t>
        </is>
      </c>
      <c r="I551" s="309" t="inlineStr">
        <is>
          <t>✅ Paid</t>
        </is>
      </c>
      <c r="J551" s="418" t="inlineStr">
        <is>
          <t>No receipt; cash</t>
        </is>
      </c>
    </row>
    <row r="552">
      <c r="B552" s="422" t="n">
        <v>46231</v>
      </c>
      <c r="C552" s="305" t="inlineStr">
        <is>
          <t>Pollo</t>
        </is>
      </c>
      <c r="D552" s="306" t="inlineStr">
        <is>
          <t>No bill</t>
        </is>
      </c>
      <c r="E552" s="305" t="inlineStr">
        <is>
          <t>Ingredients - Meat</t>
        </is>
      </c>
      <c r="F552" s="307" t="n">
        <v>396</v>
      </c>
      <c r="G552" s="308" t="inlineStr">
        <is>
          <t>Lohith</t>
        </is>
      </c>
      <c r="H552" s="308" t="inlineStr">
        <is>
          <t>Cash</t>
        </is>
      </c>
      <c r="I552" s="309" t="inlineStr">
        <is>
          <t>✅ Paid</t>
        </is>
      </c>
      <c r="J552" s="418" t="inlineStr">
        <is>
          <t>Pagado por Lohith (bolsillo); reembolsable via Owner Ledger</t>
        </is>
      </c>
    </row>
    <row r="553">
      <c r="B553" s="422" t="n">
        <v>46232</v>
      </c>
      <c r="C553" s="305" t="inlineStr">
        <is>
          <t>Vegetables</t>
        </is>
      </c>
      <c r="D553" s="306" t="inlineStr">
        <is>
          <t>No bill</t>
        </is>
      </c>
      <c r="E553" s="305" t="inlineStr">
        <is>
          <t>Ingredients - Vegetables</t>
        </is>
      </c>
      <c r="F553" s="307" t="n">
        <v>101</v>
      </c>
      <c r="G553" s="308" t="inlineStr">
        <is>
          <t>Restaurant</t>
        </is>
      </c>
      <c r="H553" s="308" t="inlineStr">
        <is>
          <t>Cash</t>
        </is>
      </c>
      <c r="I553" s="309" t="inlineStr">
        <is>
          <t>✅ Paid</t>
        </is>
      </c>
      <c r="J553" s="418" t="inlineStr">
        <is>
          <t>No receipt; cash</t>
        </is>
      </c>
    </row>
    <row r="554">
      <c r="B554" s="422" t="n">
        <v>46232</v>
      </c>
      <c r="C554" s="305" t="inlineStr">
        <is>
          <t>Carne</t>
        </is>
      </c>
      <c r="D554" s="306" t="inlineStr">
        <is>
          <t>No bill</t>
        </is>
      </c>
      <c r="E554" s="305" t="inlineStr">
        <is>
          <t>Ingredients - Meat</t>
        </is>
      </c>
      <c r="F554" s="307" t="n">
        <v>312</v>
      </c>
      <c r="G554" s="308" t="inlineStr">
        <is>
          <t>Restaurant</t>
        </is>
      </c>
      <c r="H554" s="308" t="inlineStr">
        <is>
          <t>Cash</t>
        </is>
      </c>
      <c r="I554" s="309" t="inlineStr">
        <is>
          <t>✅ Paid</t>
        </is>
      </c>
      <c r="J554" s="418" t="inlineStr">
        <is>
          <t>No receipt; cash</t>
        </is>
      </c>
    </row>
    <row r="555">
      <c r="B555" s="422" t="n">
        <v>46232</v>
      </c>
      <c r="C555" s="305" t="inlineStr">
        <is>
          <t>Atun</t>
        </is>
      </c>
      <c r="D555" s="306" t="inlineStr">
        <is>
          <t>No bill</t>
        </is>
      </c>
      <c r="E555" s="305" t="inlineStr">
        <is>
          <t>Supplies/Other</t>
        </is>
      </c>
      <c r="F555" s="307" t="n">
        <v>250</v>
      </c>
      <c r="G555" s="308" t="inlineStr">
        <is>
          <t>Restaurant</t>
        </is>
      </c>
      <c r="H555" s="308" t="inlineStr">
        <is>
          <t>Cash</t>
        </is>
      </c>
      <c r="I555" s="309" t="inlineStr">
        <is>
          <t>✅ Paid</t>
        </is>
      </c>
      <c r="J555" s="418" t="inlineStr">
        <is>
          <t>No receipt; cash</t>
        </is>
      </c>
    </row>
    <row r="556">
      <c r="B556" s="422" t="n">
        <v>46232</v>
      </c>
      <c r="C556" s="305" t="inlineStr">
        <is>
          <t>Pan Reales</t>
        </is>
      </c>
      <c r="D556" s="306" t="inlineStr">
        <is>
          <t>Pan Reales</t>
        </is>
      </c>
      <c r="E556" s="305" t="inlineStr">
        <is>
          <t>Ingredients - Bread</t>
        </is>
      </c>
      <c r="F556" s="307" t="n">
        <v>722</v>
      </c>
      <c r="G556" s="308" t="inlineStr">
        <is>
          <t>Restaurant</t>
        </is>
      </c>
      <c r="H556" s="308" t="inlineStr">
        <is>
          <t>Cash</t>
        </is>
      </c>
      <c r="I556" s="309" t="inlineStr">
        <is>
          <t>✅ Paid</t>
        </is>
      </c>
      <c r="J556" s="418" t="inlineStr">
        <is>
          <t>No receipt; cash</t>
        </is>
      </c>
    </row>
    <row r="557">
      <c r="B557" s="422" t="n">
        <v>46232</v>
      </c>
      <c r="C557" s="305" t="inlineStr">
        <is>
          <t>Chedraui Mantequilla</t>
        </is>
      </c>
      <c r="D557" s="306" t="inlineStr">
        <is>
          <t>Chedraui</t>
        </is>
      </c>
      <c r="E557" s="305" t="inlineStr">
        <is>
          <t>Supermarket/General</t>
        </is>
      </c>
      <c r="F557" s="307" t="n">
        <v>50</v>
      </c>
      <c r="G557" s="308" t="inlineStr">
        <is>
          <t>Restaurant</t>
        </is>
      </c>
      <c r="H557" s="308" t="inlineStr">
        <is>
          <t>Cash</t>
        </is>
      </c>
      <c r="I557" s="309" t="inlineStr">
        <is>
          <t>✅ Paid</t>
        </is>
      </c>
      <c r="J557" s="418" t="inlineStr">
        <is>
          <t>No receipt; cash</t>
        </is>
      </c>
    </row>
    <row r="558">
      <c r="B558" s="422" t="n">
        <v>46232</v>
      </c>
      <c r="C558" s="305" t="inlineStr">
        <is>
          <t>Arroz Sushi HEB</t>
        </is>
      </c>
      <c r="D558" s="306" t="inlineStr">
        <is>
          <t>H-E-B</t>
        </is>
      </c>
      <c r="E558" s="305" t="inlineStr">
        <is>
          <t>Supermarket/General</t>
        </is>
      </c>
      <c r="F558" s="307" t="n">
        <v>60</v>
      </c>
      <c r="G558" s="308" t="inlineStr">
        <is>
          <t>Lohith</t>
        </is>
      </c>
      <c r="H558" s="308" t="inlineStr">
        <is>
          <t>Cash</t>
        </is>
      </c>
      <c r="I558" s="309" t="inlineStr">
        <is>
          <t>✅ Paid</t>
        </is>
      </c>
      <c r="J558" s="418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Log'!$F$8:$F$5000,'📅 Daily Log'!$B$8:$B$5000,"&gt;="&amp;DATE(2026,5,1),'📅 Daily Log'!$B$8:$B$5000,"&lt;"&amp;DATE(2026,6,1))</f>
        <v/>
      </c>
      <c r="C4" s="413">
        <f>SUMIFS('📅 Daily Log'!$F$8:$F$5000,'📅 Daily Log'!$B$8:$B$5000,"&gt;="&amp;DATE(2026,6,1),'📅 Daily Log'!$B$8:$B$5000,"&lt;"&amp;DATE(2026,7,1))</f>
        <v/>
      </c>
      <c r="D4" s="413">
        <f>SUMIFS('📅 Daily Log'!$F$8:$F$5000,'📅 Daily Log'!$B$8:$B$5000,"&gt;="&amp;DATE(2026,7,1),'📅 Daily Log'!$B$8:$B$5000,"&lt;"&amp;DATE(2026,8,1))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Expenses'!$F$8:$F$5000,'💸 Expenses'!$B$8:$B$5000,"&gt;="&amp;DATE(2026,5,1),'💸 Expenses'!$B$8:$B$5000,"&lt;"&amp;DATE(2026,6,1))</f>
        <v/>
      </c>
      <c r="C5" s="413">
        <f>SUMIFS('💸 Expenses'!$F$8:$F$5000,'💸 Expenses'!$B$8:$B$5000,"&gt;="&amp;DATE(2026,6,1),'💸 Expenses'!$B$8:$B$5000,"&lt;"&amp;DATE(2026,7,1))</f>
        <v/>
      </c>
      <c r="D5" s="413">
        <f>SUMIFS('💸 Expenses'!$F$8:$F$5000,'💸 Expenses'!$B$8:$B$5000,"&gt;="&amp;DATE(2026,7,1),'💸 Expenses'!$B$8:$B$5000,"&lt;"&amp;DATE(2026,8,1))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Log'!$F$8:$F$5000,"&gt;0",'📅 Daily Log'!$B$8:$B$5000,"&gt;="&amp;DATE(2026,5,1),'📅 Daily Log'!$B$8:$B$5000,"&lt;"&amp;DATE(2026,6,1))</f>
        <v/>
      </c>
      <c r="C7" s="416">
        <f>COUNTIFS('📅 Daily Log'!$F$8:$F$5000,"&gt;0",'📅 Daily Log'!$B$8:$B$5000,"&gt;="&amp;DATE(2026,6,1),'📅 Daily Log'!$B$8:$B$5000,"&lt;"&amp;DATE(2026,7,1))</f>
        <v/>
      </c>
      <c r="D7" s="416">
        <f>COUNTIFS('📅 Daily Log'!$F$8:$F$5000,"&gt;0",'📅 Daily Log'!$B$8:$B$5000,"&gt;="&amp;DATE(2026,7,1),'📅 Daily Log'!$B$8:$B$5000,"&lt;"&amp;DATE(2026,8,1))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Log'!$D$8:$D$5000,'📅 Daily Log'!$B$8:$B$5000,"&gt;="&amp;DATE(2026,5,1),'📅 Daily Log'!$B$8:$B$5000,"&lt;"&amp;DATE(2026,6,1))</f>
        <v/>
      </c>
      <c r="C11" s="413">
        <f>SUMIFS('📅 Daily Log'!$D$8:$D$5000,'📅 Daily Log'!$B$8:$B$5000,"&gt;="&amp;DATE(2026,6,1),'📅 Daily Log'!$B$8:$B$5000,"&lt;"&amp;DATE(2026,7,1))</f>
        <v/>
      </c>
      <c r="D11" s="413">
        <f>SUMIFS('📅 Daily Log'!$D$8:$D$5000,'📅 Daily Log'!$B$8:$B$5000,"&gt;="&amp;DATE(2026,7,1),'📅 Daily Log'!$B$8:$B$5000,"&lt;"&amp;DATE(2026,8,1))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Log'!$E$8:$E$5000,'📅 Daily Log'!$B$8:$B$5000,"&gt;="&amp;DATE(2026,5,1),'📅 Daily Log'!$B$8:$B$5000,"&lt;"&amp;DATE(2026,6,1))</f>
        <v/>
      </c>
      <c r="C12" s="413">
        <f>SUMIFS('📅 Daily Log'!$E$8:$E$5000,'📅 Daily Log'!$B$8:$B$5000,"&gt;="&amp;DATE(2026,6,1),'📅 Daily Log'!$B$8:$B$5000,"&lt;"&amp;DATE(2026,7,1))</f>
        <v/>
      </c>
      <c r="D12" s="413">
        <f>SUMIFS('📅 Daily Log'!$E$8:$E$5000,'📅 Daily Log'!$B$8:$B$5000,"&gt;="&amp;DATE(2026,7,1),'📅 Daily Log'!$B$8:$B$5000,"&lt;"&amp;DATE(2026,8,1))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Log'!$G$8:$G$5000,'📅 Daily Log'!$B$8:$B$5000,"&gt;="&amp;DATE(2026,5,1),'📅 Daily Log'!$B$8:$B$5000,"&lt;"&amp;DATE(2026,6,1))</f>
        <v/>
      </c>
      <c r="C13" s="413">
        <f>SUMIFS('📅 Daily Log'!$G$8:$G$5000,'📅 Daily Log'!$B$8:$B$5000,"&gt;="&amp;DATE(2026,6,1),'📅 Daily Log'!$B$8:$B$5000,"&lt;"&amp;DATE(2026,7,1))</f>
        <v/>
      </c>
      <c r="D13" s="413">
        <f>SUMIFS('📅 Daily Log'!$G$8:$G$5000,'📅 Daily Log'!$B$8:$B$5000,"&gt;="&amp;DATE(2026,7,1),'📅 Daily Log'!$B$8:$B$5000,"&lt;"&amp;DATE(2026,8,1))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Expenses'!$F$8:$F$5000,'💸 Expenses'!$E$8:$E$5000,$A17,'💸 Expenses'!$B$8:$B$5000,"&gt;="&amp;DATE(2026,5,1),'💸 Expenses'!$B$8:$B$5000,"&lt;"&amp;DATE(2026,6,1))</f>
        <v/>
      </c>
      <c r="C17" s="413">
        <f>SUMIFS('💸 Expenses'!$F$8:$F$5000,'💸 Expenses'!$E$8:$E$5000,$A17,'💸 Expenses'!$B$8:$B$5000,"&gt;="&amp;DATE(2026,6,1),'💸 Expenses'!$B$8:$B$5000,"&lt;"&amp;DATE(2026,7,1))</f>
        <v/>
      </c>
      <c r="D17" s="413">
        <f>SUMIFS('💸 Expenses'!$F$8:$F$5000,'💸 Expenses'!$E$8:$E$5000,$A17,'💸 Expenses'!$B$8:$B$5000,"&gt;="&amp;DATE(2026,7,1),'💸 Expenses'!$B$8:$B$5000,"&lt;"&amp;DATE(2026,8,1))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Expenses'!$F$8:$F$5000,'💸 Expenses'!$E$8:$E$5000,$A18,'💸 Expenses'!$B$8:$B$5000,"&gt;="&amp;DATE(2026,5,1),'💸 Expenses'!$B$8:$B$5000,"&lt;"&amp;DATE(2026,6,1))</f>
        <v/>
      </c>
      <c r="C18" s="413">
        <f>SUMIFS('💸 Expenses'!$F$8:$F$5000,'💸 Expenses'!$E$8:$E$5000,$A18,'💸 Expenses'!$B$8:$B$5000,"&gt;="&amp;DATE(2026,6,1),'💸 Expenses'!$B$8:$B$5000,"&lt;"&amp;DATE(2026,7,1))</f>
        <v/>
      </c>
      <c r="D18" s="413">
        <f>SUMIFS('💸 Expenses'!$F$8:$F$5000,'💸 Expenses'!$E$8:$E$5000,$A18,'💸 Expenses'!$B$8:$B$5000,"&gt;="&amp;DATE(2026,7,1),'💸 Expenses'!$B$8:$B$5000,"&lt;"&amp;DATE(2026,8,1))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Expenses'!$F$8:$F$5000,'💸 Expenses'!$E$8:$E$5000,$A19,'💸 Expenses'!$B$8:$B$5000,"&gt;="&amp;DATE(2026,5,1),'💸 Expenses'!$B$8:$B$5000,"&lt;"&amp;DATE(2026,6,1))</f>
        <v/>
      </c>
      <c r="C19" s="413">
        <f>SUMIFS('💸 Expenses'!$F$8:$F$5000,'💸 Expenses'!$E$8:$E$5000,$A19,'💸 Expenses'!$B$8:$B$5000,"&gt;="&amp;DATE(2026,6,1),'💸 Expenses'!$B$8:$B$5000,"&lt;"&amp;DATE(2026,7,1))</f>
        <v/>
      </c>
      <c r="D19" s="413">
        <f>SUMIFS('💸 Expenses'!$F$8:$F$5000,'💸 Expenses'!$E$8:$E$5000,$A19,'💸 Expenses'!$B$8:$B$5000,"&gt;="&amp;DATE(2026,7,1),'💸 Expenses'!$B$8:$B$5000,"&lt;"&amp;DATE(2026,8,1))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Supermarket/General</t>
        </is>
      </c>
      <c r="B20" s="413">
        <f>SUMIFS('💸 Expenses'!$F$8:$F$5000,'💸 Expenses'!$E$8:$E$5000,$A20,'💸 Expenses'!$B$8:$B$5000,"&gt;="&amp;DATE(2026,5,1),'💸 Expenses'!$B$8:$B$5000,"&lt;"&amp;DATE(2026,6,1))</f>
        <v/>
      </c>
      <c r="C20" s="413">
        <f>SUMIFS('💸 Expenses'!$F$8:$F$5000,'💸 Expenses'!$E$8:$E$5000,$A20,'💸 Expenses'!$B$8:$B$5000,"&gt;="&amp;DATE(2026,6,1),'💸 Expenses'!$B$8:$B$5000,"&lt;"&amp;DATE(2026,7,1))</f>
        <v/>
      </c>
      <c r="D20" s="413">
        <f>SUMIFS('💸 Expenses'!$F$8:$F$5000,'💸 Expenses'!$E$8:$E$5000,$A20,'💸 Expenses'!$B$8:$B$5000,"&gt;="&amp;DATE(2026,7,1),'💸 Expenses'!$B$8:$B$5000,"&lt;"&amp;DATE(2026,8,1))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Vegetables</t>
        </is>
      </c>
      <c r="B21" s="413">
        <f>SUMIFS('💸 Expenses'!$F$8:$F$5000,'💸 Expenses'!$E$8:$E$5000,$A21,'💸 Expenses'!$B$8:$B$5000,"&gt;="&amp;DATE(2026,5,1),'💸 Expenses'!$B$8:$B$5000,"&lt;"&amp;DATE(2026,6,1))</f>
        <v/>
      </c>
      <c r="C21" s="413">
        <f>SUMIFS('💸 Expenses'!$F$8:$F$5000,'💸 Expenses'!$E$8:$E$5000,$A21,'💸 Expenses'!$B$8:$B$5000,"&gt;="&amp;DATE(2026,6,1),'💸 Expenses'!$B$8:$B$5000,"&lt;"&amp;DATE(2026,7,1))</f>
        <v/>
      </c>
      <c r="D21" s="413">
        <f>SUMIFS('💸 Expenses'!$F$8:$F$5000,'💸 Expenses'!$E$8:$E$5000,$A21,'💸 Expenses'!$B$8:$B$5000,"&gt;="&amp;DATE(2026,7,1),'💸 Expenses'!$B$8:$B$5000,"&lt;"&amp;DATE(2026,8,1))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Pantry</t>
        </is>
      </c>
      <c r="B22" s="413">
        <f>SUMIFS('💸 Expenses'!$F$8:$F$5000,'💸 Expenses'!$E$8:$E$5000,$A22,'💸 Expenses'!$B$8:$B$5000,"&gt;="&amp;DATE(2026,5,1),'💸 Expenses'!$B$8:$B$5000,"&lt;"&amp;DATE(2026,6,1))</f>
        <v/>
      </c>
      <c r="C22" s="413">
        <f>SUMIFS('💸 Expenses'!$F$8:$F$5000,'💸 Expenses'!$E$8:$E$5000,$A22,'💸 Expenses'!$B$8:$B$5000,"&gt;="&amp;DATE(2026,6,1),'💸 Expenses'!$B$8:$B$5000,"&lt;"&amp;DATE(2026,7,1))</f>
        <v/>
      </c>
      <c r="D22" s="413">
        <f>SUMIFS('💸 Expenses'!$F$8:$F$5000,'💸 Expenses'!$E$8:$E$5000,$A22,'💸 Expenses'!$B$8:$B$5000,"&gt;="&amp;DATE(2026,7,1),'💸 Expenses'!$B$8:$B$5000,"&lt;"&amp;DATE(2026,8,1))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Expenses'!$F$8:$F$5000,'💸 Expenses'!$E$8:$E$5000,$A23,'💸 Expenses'!$B$8:$B$5000,"&gt;="&amp;DATE(2026,5,1),'💸 Expenses'!$B$8:$B$5000,"&lt;"&amp;DATE(2026,6,1))</f>
        <v/>
      </c>
      <c r="C23" s="413">
        <f>SUMIFS('💸 Expenses'!$F$8:$F$5000,'💸 Expenses'!$E$8:$E$5000,$A23,'💸 Expenses'!$B$8:$B$5000,"&gt;="&amp;DATE(2026,6,1),'💸 Expenses'!$B$8:$B$5000,"&lt;"&amp;DATE(2026,7,1))</f>
        <v/>
      </c>
      <c r="D23" s="413">
        <f>SUMIFS('💸 Expenses'!$F$8:$F$5000,'💸 Expenses'!$E$8:$E$5000,$A23,'💸 Expenses'!$B$8:$B$5000,"&gt;="&amp;DATE(2026,7,1),'💸 Expenses'!$B$8:$B$5000,"&lt;"&amp;DATE(2026,8,1))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Expenses'!$F$8:$F$5000,'💸 Expenses'!$E$8:$E$5000,$A24,'💸 Expenses'!$B$8:$B$5000,"&gt;="&amp;DATE(2026,5,1),'💸 Expenses'!$B$8:$B$5000,"&lt;"&amp;DATE(2026,6,1))</f>
        <v/>
      </c>
      <c r="C24" s="413">
        <f>SUMIFS('💸 Expenses'!$F$8:$F$5000,'💸 Expenses'!$E$8:$E$5000,$A24,'💸 Expenses'!$B$8:$B$5000,"&gt;="&amp;DATE(2026,6,1),'💸 Expenses'!$B$8:$B$5000,"&lt;"&amp;DATE(2026,7,1))</f>
        <v/>
      </c>
      <c r="D24" s="413">
        <f>SUMIFS('💸 Expenses'!$F$8:$F$5000,'💸 Expenses'!$E$8:$E$5000,$A24,'💸 Expenses'!$B$8:$B$5000,"&gt;="&amp;DATE(2026,7,1),'💸 Expenses'!$B$8:$B$5000,"&lt;"&amp;DATE(2026,8,1))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Ingredients - Bread</t>
        </is>
      </c>
      <c r="B25" s="413">
        <f>SUMIFS('💸 Expenses'!$F$8:$F$5000,'💸 Expenses'!$E$8:$E$5000,$A25,'💸 Expenses'!$B$8:$B$5000,"&gt;="&amp;DATE(2026,5,1),'💸 Expenses'!$B$8:$B$5000,"&lt;"&amp;DATE(2026,6,1))</f>
        <v/>
      </c>
      <c r="C25" s="413">
        <f>SUMIFS('💸 Expenses'!$F$8:$F$5000,'💸 Expenses'!$E$8:$E$5000,$A25,'💸 Expenses'!$B$8:$B$5000,"&gt;="&amp;DATE(2026,6,1),'💸 Expenses'!$B$8:$B$5000,"&lt;"&amp;DATE(2026,7,1))</f>
        <v/>
      </c>
      <c r="D25" s="413">
        <f>SUMIFS('💸 Expenses'!$F$8:$F$5000,'💸 Expenses'!$E$8:$E$5000,$A25,'💸 Expenses'!$B$8:$B$5000,"&gt;="&amp;DATE(2026,7,1),'💸 Expenses'!$B$8:$B$5000,"&lt;"&amp;DATE(2026,8,1))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Supplies/Other</t>
        </is>
      </c>
      <c r="B26" s="413">
        <f>SUMIFS('💸 Expenses'!$F$8:$F$5000,'💸 Expenses'!$E$8:$E$5000,$A26,'💸 Expenses'!$B$8:$B$5000,"&gt;="&amp;DATE(2026,5,1),'💸 Expenses'!$B$8:$B$5000,"&lt;"&amp;DATE(2026,6,1))</f>
        <v/>
      </c>
      <c r="C26" s="413">
        <f>SUMIFS('💸 Expenses'!$F$8:$F$5000,'💸 Expenses'!$E$8:$E$5000,$A26,'💸 Expenses'!$B$8:$B$5000,"&gt;="&amp;DATE(2026,6,1),'💸 Expenses'!$B$8:$B$5000,"&lt;"&amp;DATE(2026,7,1))</f>
        <v/>
      </c>
      <c r="D26" s="413">
        <f>SUMIFS('💸 Expenses'!$F$8:$F$5000,'💸 Expenses'!$E$8:$E$5000,$A26,'💸 Expenses'!$B$8:$B$5000,"&gt;="&amp;DATE(2026,7,1),'💸 Expenses'!$B$8:$B$5000,"&lt;"&amp;DATE(2026,8,1))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Maintenance</t>
        </is>
      </c>
      <c r="B27" s="413">
        <f>SUMIFS('💸 Expenses'!$F$8:$F$5000,'💸 Expenses'!$E$8:$E$5000,$A27,'💸 Expenses'!$B$8:$B$5000,"&gt;="&amp;DATE(2026,5,1),'💸 Expenses'!$B$8:$B$5000,"&lt;"&amp;DATE(2026,6,1))</f>
        <v/>
      </c>
      <c r="C27" s="413">
        <f>SUMIFS('💸 Expenses'!$F$8:$F$5000,'💸 Expenses'!$E$8:$E$5000,$A27,'💸 Expenses'!$B$8:$B$5000,"&gt;="&amp;DATE(2026,6,1),'💸 Expenses'!$B$8:$B$5000,"&lt;"&amp;DATE(2026,7,1))</f>
        <v/>
      </c>
      <c r="D27" s="413">
        <f>SUMIFS('💸 Expenses'!$F$8:$F$5000,'💸 Expenses'!$E$8:$E$5000,$A27,'💸 Expenses'!$B$8:$B$5000,"&gt;="&amp;DATE(2026,7,1),'💸 Expenses'!$B$8:$B$5000,"&lt;"&amp;DATE(2026,8,1))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Ingredients - Meat &amp; Fish</t>
        </is>
      </c>
      <c r="B28" s="413">
        <f>SUMIFS('💸 Expenses'!$F$8:$F$5000,'💸 Expenses'!$E$8:$E$5000,$A28,'💸 Expenses'!$B$8:$B$5000,"&gt;="&amp;DATE(2026,5,1),'💸 Expenses'!$B$8:$B$5000,"&lt;"&amp;DATE(2026,6,1))</f>
        <v/>
      </c>
      <c r="C28" s="413">
        <f>SUMIFS('💸 Expenses'!$F$8:$F$5000,'💸 Expenses'!$E$8:$E$5000,$A28,'💸 Expenses'!$B$8:$B$5000,"&gt;="&amp;DATE(2026,6,1),'💸 Expenses'!$B$8:$B$5000,"&lt;"&amp;DATE(2026,7,1))</f>
        <v/>
      </c>
      <c r="D28" s="413">
        <f>SUMIFS('💸 Expenses'!$F$8:$F$5000,'💸 Expenses'!$E$8:$E$5000,$A28,'💸 Expenses'!$B$8:$B$5000,"&gt;="&amp;DATE(2026,7,1),'💸 Expenses'!$B$8:$B$5000,"&lt;"&amp;DATE(2026,8,1))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Packaging/Disposables</t>
        </is>
      </c>
      <c r="B29" s="413">
        <f>SUMIFS('💸 Expenses'!$F$8:$F$5000,'💸 Expenses'!$E$8:$E$5000,$A29,'💸 Expenses'!$B$8:$B$5000,"&gt;="&amp;DATE(2026,5,1),'💸 Expenses'!$B$8:$B$5000,"&lt;"&amp;DATE(2026,6,1))</f>
        <v/>
      </c>
      <c r="C29" s="413">
        <f>SUMIFS('💸 Expenses'!$F$8:$F$5000,'💸 Expenses'!$E$8:$E$5000,$A29,'💸 Expenses'!$B$8:$B$5000,"&gt;="&amp;DATE(2026,6,1),'💸 Expenses'!$B$8:$B$5000,"&lt;"&amp;DATE(2026,7,1))</f>
        <v/>
      </c>
      <c r="D29" s="413">
        <f>SUMIFS('💸 Expenses'!$F$8:$F$5000,'💸 Expenses'!$E$8:$E$5000,$A29,'💸 Expenses'!$B$8:$B$5000,"&gt;="&amp;DATE(2026,7,1),'💸 Expenses'!$B$8:$B$5000,"&lt;"&amp;DATE(2026,8,1))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Expenses'!$F$8:$F$5000,'💸 Expenses'!$E$8:$E$5000,$A30,'💸 Expenses'!$B$8:$B$5000,"&gt;="&amp;DATE(2026,5,1),'💸 Expenses'!$B$8:$B$5000,"&lt;"&amp;DATE(2026,6,1))</f>
        <v/>
      </c>
      <c r="C30" s="413">
        <f>SUMIFS('💸 Expenses'!$F$8:$F$5000,'💸 Expenses'!$E$8:$E$5000,$A30,'💸 Expenses'!$B$8:$B$5000,"&gt;="&amp;DATE(2026,6,1),'💸 Expenses'!$B$8:$B$5000,"&lt;"&amp;DATE(2026,7,1))</f>
        <v/>
      </c>
      <c r="D30" s="413">
        <f>SUMIFS('💸 Expenses'!$F$8:$F$5000,'💸 Expenses'!$E$8:$E$5000,$A30,'💸 Expenses'!$B$8:$B$5000,"&gt;="&amp;DATE(2026,7,1),'💸 Expenses'!$B$8:$B$5000,"&lt;"&amp;DATE(2026,8,1))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Kitchen Supplies</t>
        </is>
      </c>
      <c r="B31" s="413">
        <f>SUMIFS('💸 Expenses'!$F$8:$F$5000,'💸 Expenses'!$E$8:$E$5000,$A31,'💸 Expenses'!$B$8:$B$5000,"&gt;="&amp;DATE(2026,5,1),'💸 Expenses'!$B$8:$B$5000,"&lt;"&amp;DATE(2026,6,1))</f>
        <v/>
      </c>
      <c r="C31" s="413">
        <f>SUMIFS('💸 Expenses'!$F$8:$F$5000,'💸 Expenses'!$E$8:$E$5000,$A31,'💸 Expenses'!$B$8:$B$5000,"&gt;="&amp;DATE(2026,6,1),'💸 Expenses'!$B$8:$B$5000,"&lt;"&amp;DATE(2026,7,1))</f>
        <v/>
      </c>
      <c r="D31" s="413">
        <f>SUMIFS('💸 Expenses'!$F$8:$F$5000,'💸 Expenses'!$E$8:$E$5000,$A31,'💸 Expenses'!$B$8:$B$5000,"&gt;="&amp;DATE(2026,7,1),'💸 Expenses'!$B$8:$B$5000,"&lt;"&amp;DATE(2026,8,1))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Utilities/Internet</t>
        </is>
      </c>
      <c r="B32" s="413">
        <f>SUMIFS('💸 Expenses'!$F$8:$F$5000,'💸 Expenses'!$E$8:$E$5000,$A32,'💸 Expenses'!$B$8:$B$5000,"&gt;="&amp;DATE(2026,5,1),'💸 Expenses'!$B$8:$B$5000,"&lt;"&amp;DATE(2026,6,1))</f>
        <v/>
      </c>
      <c r="C32" s="413">
        <f>SUMIFS('💸 Expenses'!$F$8:$F$5000,'💸 Expenses'!$E$8:$E$5000,$A32,'💸 Expenses'!$B$8:$B$5000,"&gt;="&amp;DATE(2026,6,1),'💸 Expenses'!$B$8:$B$5000,"&lt;"&amp;DATE(2026,7,1))</f>
        <v/>
      </c>
      <c r="D32" s="413">
        <f>SUMIFS('💸 Expenses'!$F$8:$F$5000,'💸 Expenses'!$E$8:$E$5000,$A32,'💸 Expenses'!$B$8:$B$5000,"&gt;="&amp;DATE(2026,7,1),'💸 Expenses'!$B$8:$B$5000,"&lt;"&amp;DATE(2026,8,1))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Utilities/Gas</t>
        </is>
      </c>
      <c r="B33" s="413">
        <f>SUMIFS('💸 Expenses'!$F$8:$F$5000,'💸 Expenses'!$E$8:$E$5000,$A33,'💸 Expenses'!$B$8:$B$5000,"&gt;="&amp;DATE(2026,5,1),'💸 Expenses'!$B$8:$B$5000,"&lt;"&amp;DATE(2026,6,1))</f>
        <v/>
      </c>
      <c r="C33" s="413">
        <f>SUMIFS('💸 Expenses'!$F$8:$F$5000,'💸 Expenses'!$E$8:$E$5000,$A33,'💸 Expenses'!$B$8:$B$5000,"&gt;="&amp;DATE(2026,6,1),'💸 Expenses'!$B$8:$B$5000,"&lt;"&amp;DATE(2026,7,1))</f>
        <v/>
      </c>
      <c r="D33" s="413">
        <f>SUMIFS('💸 Expenses'!$F$8:$F$5000,'💸 Expenses'!$E$8:$E$5000,$A33,'💸 Expenses'!$B$8:$B$5000,"&gt;="&amp;DATE(2026,7,1),'💸 Expenses'!$B$8:$B$5000,"&lt;"&amp;DATE(2026,8,1))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Ingredients - Other</t>
        </is>
      </c>
      <c r="B34" s="413">
        <f>SUMIFS('💸 Expenses'!$F$8:$F$5000,'💸 Expenses'!$E$8:$E$5000,$A34,'💸 Expenses'!$B$8:$B$5000,"&gt;="&amp;DATE(2026,5,1),'💸 Expenses'!$B$8:$B$5000,"&lt;"&amp;DATE(2026,6,1))</f>
        <v/>
      </c>
      <c r="C34" s="413">
        <f>SUMIFS('💸 Expenses'!$F$8:$F$5000,'💸 Expenses'!$E$8:$E$5000,$A34,'💸 Expenses'!$B$8:$B$5000,"&gt;="&amp;DATE(2026,6,1),'💸 Expenses'!$B$8:$B$5000,"&lt;"&amp;DATE(2026,7,1))</f>
        <v/>
      </c>
      <c r="D34" s="413">
        <f>SUMIFS('💸 Expenses'!$F$8:$F$5000,'💸 Expenses'!$E$8:$E$5000,$A34,'💸 Expenses'!$B$8:$B$5000,"&gt;="&amp;DATE(2026,7,1),'💸 Expenses'!$B$8:$B$5000,"&lt;"&amp;DATE(2026,8,1))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Office Supplies</t>
        </is>
      </c>
      <c r="B35" s="413">
        <f>SUMIFS('💸 Expenses'!$F$8:$F$5000,'💸 Expenses'!$E$8:$E$5000,$A35,'💸 Expenses'!$B$8:$B$5000,"&gt;="&amp;DATE(2026,5,1),'💸 Expenses'!$B$8:$B$5000,"&lt;"&amp;DATE(2026,6,1))</f>
        <v/>
      </c>
      <c r="C35" s="413">
        <f>SUMIFS('💸 Expenses'!$F$8:$F$5000,'💸 Expenses'!$E$8:$E$5000,$A35,'💸 Expenses'!$B$8:$B$5000,"&gt;="&amp;DATE(2026,6,1),'💸 Expenses'!$B$8:$B$5000,"&lt;"&amp;DATE(2026,7,1))</f>
        <v/>
      </c>
      <c r="D35" s="413">
        <f>SUMIFS('💸 Expenses'!$F$8:$F$5000,'💸 Expenses'!$E$8:$E$5000,$A35,'💸 Expenses'!$B$8:$B$5000,"&gt;="&amp;DATE(2026,7,1),'💸 Expenses'!$B$8:$B$5000,"&lt;"&amp;DATE(2026,8,1))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Software/Subscription</t>
        </is>
      </c>
      <c r="B36" s="413">
        <f>SUMIFS('💸 Expenses'!$F$8:$F$5000,'💸 Expenses'!$E$8:$E$5000,$A36,'💸 Expenses'!$B$8:$B$5000,"&gt;="&amp;DATE(2026,5,1),'💸 Expenses'!$B$8:$B$5000,"&lt;"&amp;DATE(2026,6,1))</f>
        <v/>
      </c>
      <c r="C36" s="413">
        <f>SUMIFS('💸 Expenses'!$F$8:$F$5000,'💸 Expenses'!$E$8:$E$5000,$A36,'💸 Expenses'!$B$8:$B$5000,"&gt;="&amp;DATE(2026,6,1),'💸 Expenses'!$B$8:$B$5000,"&lt;"&amp;DATE(2026,7,1))</f>
        <v/>
      </c>
      <c r="D36" s="413">
        <f>SUMIFS('💸 Expenses'!$F$8:$F$5000,'💸 Expenses'!$E$8:$E$5000,$A36,'💸 Expenses'!$B$8:$B$5000,"&gt;="&amp;DATE(2026,7,1),'💸 Expenses'!$B$8:$B$5000,"&lt;"&amp;DATE(2026,8,1))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Staff - Advance</t>
        </is>
      </c>
      <c r="B37" s="413">
        <f>SUMIFS('💸 Expenses'!$F$8:$F$5000,'💸 Expenses'!$E$8:$E$5000,$A37,'💸 Expenses'!$B$8:$B$5000,"&gt;="&amp;DATE(2026,5,1),'💸 Expenses'!$B$8:$B$5000,"&lt;"&amp;DATE(2026,6,1))</f>
        <v/>
      </c>
      <c r="C37" s="413">
        <f>SUMIFS('💸 Expenses'!$F$8:$F$5000,'💸 Expenses'!$E$8:$E$5000,$A37,'💸 Expenses'!$B$8:$B$5000,"&gt;="&amp;DATE(2026,6,1),'💸 Expenses'!$B$8:$B$5000,"&lt;"&amp;DATE(2026,7,1))</f>
        <v/>
      </c>
      <c r="D37" s="413">
        <f>SUMIFS('💸 Expenses'!$F$8:$F$5000,'💸 Expenses'!$E$8:$E$5000,$A37,'💸 Expenses'!$B$8:$B$5000,"&gt;="&amp;DATE(2026,7,1),'💸 Expenses'!$B$8:$B$5000,"&lt;"&amp;DATE(2026,8,1))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Ingredients - Desserts</t>
        </is>
      </c>
      <c r="B38" s="413">
        <f>SUMIFS('💸 Expenses'!$F$8:$F$5000,'💸 Expenses'!$E$8:$E$5000,$A38,'💸 Expenses'!$B$8:$B$5000,"&gt;="&amp;DATE(2026,5,1),'💸 Expenses'!$B$8:$B$5000,"&lt;"&amp;DATE(2026,6,1))</f>
        <v/>
      </c>
      <c r="C38" s="413">
        <f>SUMIFS('💸 Expenses'!$F$8:$F$5000,'💸 Expenses'!$E$8:$E$5000,$A38,'💸 Expenses'!$B$8:$B$5000,"&gt;="&amp;DATE(2026,6,1),'💸 Expenses'!$B$8:$B$5000,"&lt;"&amp;DATE(2026,7,1))</f>
        <v/>
      </c>
      <c r="D38" s="413">
        <f>SUMIFS('💸 Expenses'!$F$8:$F$5000,'💸 Expenses'!$E$8:$E$5000,$A38,'💸 Expenses'!$B$8:$B$5000,"&gt;="&amp;DATE(2026,7,1),'💸 Expenses'!$B$8:$B$5000,"&lt;"&amp;DATE(2026,8,1))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Ingredients - Eggs</t>
        </is>
      </c>
      <c r="B39" s="413">
        <f>SUMIFS('💸 Expenses'!$F$8:$F$5000,'💸 Expenses'!$E$8:$E$5000,$A39,'💸 Expenses'!$B$8:$B$5000,"&gt;="&amp;DATE(2026,5,1),'💸 Expenses'!$B$8:$B$5000,"&lt;"&amp;DATE(2026,6,1))</f>
        <v/>
      </c>
      <c r="C39" s="413">
        <f>SUMIFS('💸 Expenses'!$F$8:$F$5000,'💸 Expenses'!$E$8:$E$5000,$A39,'💸 Expenses'!$B$8:$B$5000,"&gt;="&amp;DATE(2026,6,1),'💸 Expenses'!$B$8:$B$5000,"&lt;"&amp;DATE(2026,7,1))</f>
        <v/>
      </c>
      <c r="D39" s="413">
        <f>SUMIFS('💸 Expenses'!$F$8:$F$5000,'💸 Expenses'!$E$8:$E$5000,$A39,'💸 Expenses'!$B$8:$B$5000,"&gt;="&amp;DATE(2026,7,1),'💸 Expenses'!$B$8:$B$5000,"&lt;"&amp;DATE(2026,8,1))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Staff - Propinas</t>
        </is>
      </c>
      <c r="B40" s="413">
        <f>SUMIFS('💸 Expenses'!$F$8:$F$5000,'💸 Expenses'!$E$8:$E$5000,$A40,'💸 Expenses'!$B$8:$B$5000,"&gt;="&amp;DATE(2026,5,1),'💸 Expenses'!$B$8:$B$5000,"&lt;"&amp;DATE(2026,6,1))</f>
        <v/>
      </c>
      <c r="C40" s="413">
        <f>SUMIFS('💸 Expenses'!$F$8:$F$5000,'💸 Expenses'!$E$8:$E$5000,$A40,'💸 Expenses'!$B$8:$B$5000,"&gt;="&amp;DATE(2026,6,1),'💸 Expenses'!$B$8:$B$5000,"&lt;"&amp;DATE(2026,7,1))</f>
        <v/>
      </c>
      <c r="D40" s="413">
        <f>SUMIFS('💸 Expenses'!$F$8:$F$5000,'💸 Expenses'!$E$8:$E$5000,$A40,'💸 Expenses'!$B$8:$B$5000,"&gt;="&amp;DATE(2026,7,1),'💸 Expenses'!$B$8:$B$5000,"&lt;"&amp;DATE(2026,8,1))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2" t="inlineStr">
        <is>
          <t>TOTAL EXPENSES</t>
        </is>
      </c>
      <c r="B41" s="414">
        <f>SUMIFS('💸 Expenses'!$F$8:$F$5000,'💸 Expenses'!$B$8:$B$5000,"&gt;="&amp;DATE(2026,5,1),'💸 Expenses'!$B$8:$B$5000,"&lt;"&amp;DATE(2026,6,1))</f>
        <v/>
      </c>
      <c r="C41" s="414">
        <f>SUMIFS('💸 Expenses'!$F$8:$F$5000,'💸 Expenses'!$B$8:$B$5000,"&gt;="&amp;DATE(2026,6,1),'💸 Expenses'!$B$8:$B$5000,"&lt;"&amp;DATE(2026,7,1))</f>
        <v/>
      </c>
      <c r="D41" s="414">
        <f>SUMIFS('💸 Expenses'!$F$8:$F$5000,'💸 Expenses'!$B$8:$B$5000,"&gt;="&amp;DATE(2026,7,1),'💸 Expenses'!$B$8:$B$5000,"&lt;"&amp;DATE(2026,8,1))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2" t="inlineStr">
        <is>
          <t>NET PROFIT / LOSS</t>
        </is>
      </c>
      <c r="B42" s="414">
        <f>B4-B41</f>
        <v/>
      </c>
      <c r="C42" s="414">
        <f>C4-C41</f>
        <v/>
      </c>
      <c r="D42" s="414">
        <f>D4-D41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09" t="n"/>
      <c r="B43" s="409" t="n"/>
      <c r="C43" s="409" t="n"/>
      <c r="D43" s="409" t="n"/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09" t="n"/>
      <c r="B44" s="409" t="n"/>
      <c r="C44" s="409" t="n"/>
      <c r="D44" s="409" t="n"/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09" t="n"/>
      <c r="B45" s="409" t="n"/>
      <c r="C45" s="409" t="n"/>
      <c r="D45" s="409" t="n"/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09" t="n"/>
      <c r="B46" s="409" t="n"/>
      <c r="C46" s="409" t="n"/>
      <c r="D46" s="409" t="n"/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439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439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439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439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439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439" t="inlineStr">
        <is>
          <t>TOTALS &amp; CURRENT BALANCE</t>
        </is>
      </c>
      <c r="B52" s="232" t="n"/>
      <c r="C52" s="232" t="n"/>
      <c r="D52" s="232">
        <f>SUM(D4:D51)</f>
        <v/>
      </c>
      <c r="E52" s="233">
        <f>SUM(E4:E51)</f>
        <v/>
      </c>
      <c r="F52" s="233">
        <f>F51</f>
        <v/>
      </c>
      <c r="G52" s="232">
        <f>IF(F51&gt;0,"Restaurant owes Lohith $"&amp;TEXT(F51,"#,##0"),IF(F51&lt;0,"Lohith holds $"&amp;TEXT(ABS(F51),"#,##0"),"Zero balance"))</f>
        <v/>
      </c>
      <c r="H52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2026-07-30T03:18:43Z</dcterms:modified>
  <cp:lastModifiedBy>LOHITH REDDY</cp:lastModifiedBy>
</cp:coreProperties>
</file>