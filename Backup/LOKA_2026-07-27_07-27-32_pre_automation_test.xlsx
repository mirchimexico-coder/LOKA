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/>
      </c>
      <c r="G71" s="257" t="n">
        <v>0</v>
      </c>
      <c r="H71" s="258">
        <f>SUMIFS('💸 Expenses'!$F$8:$F$5000,'💸 Expenses'!$B$8:$B$5000,"&gt;="&amp;B71,'💸 Expenses'!$B$8:$B$5000,"&lt;"&amp;(B71+1))</f>
        <v/>
      </c>
      <c r="I71" s="259">
        <f>IFERROR(F71-H71,0)</f>
        <v/>
      </c>
      <c r="J71" s="260">
        <f>IFERROR(I71/F71,0)</f>
        <v/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/>
      </c>
      <c r="G72" s="257" t="n">
        <v>0</v>
      </c>
      <c r="H72" s="258">
        <f>SUMIFS('💸 Expenses'!$F$8:$F$5000,'💸 Expenses'!$B$8:$B$5000,"&gt;="&amp;B72,'💸 Expenses'!$B$8:$B$5000,"&lt;"&amp;(B72+1))</f>
        <v/>
      </c>
      <c r="I72" s="259">
        <f>IFERROR(F72-H72,0)</f>
        <v/>
      </c>
      <c r="J72" s="260">
        <f>IFERROR(I72/F72,0)</f>
        <v/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/>
      </c>
      <c r="G73" s="257" t="n">
        <v>0</v>
      </c>
      <c r="H73" s="258">
        <f>SUMIFS('💸 Expenses'!$F$8:$F$5000,'💸 Expenses'!$B$8:$B$5000,"&gt;="&amp;B73,'💸 Expenses'!$B$8:$B$5000,"&lt;"&amp;(B73+1))</f>
        <v/>
      </c>
      <c r="I73" s="259">
        <f>IFERROR(F73-H73,0)</f>
        <v/>
      </c>
      <c r="J73" s="260">
        <f>IFERROR(I73/F73,0)</f>
        <v/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Supermarket/General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2026-07-27T13:22:15Z</dcterms:modified>
  <cp:lastModifiedBy>LOHITH REDDY</cp:lastModifiedBy>
</cp:coreProperties>
</file>