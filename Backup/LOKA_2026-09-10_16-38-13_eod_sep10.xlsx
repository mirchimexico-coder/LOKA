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14778.53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-69592</v>
      </c>
      <c r="E149" t="inlineStr">
        <is>
          <t>Cumulative repaid from operating cash (latest 04-Sep-2026 $7,700.00).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3160.0</v>
      </c>
      <c r="G6" s="31">
        <f>SUMIFS($G$8:$G$5000,$B$8:$B$5000,TODAY())</f>
        <v>250.0</v>
      </c>
      <c r="H6" s="28">
        <f>SUMIFS($H$8:$H$5000,$B$8:$B$5000,TODAY())</f>
        <v>1106.0</v>
      </c>
      <c r="I6" s="32">
        <f>F6-H6</f>
        <v>2054.0</v>
      </c>
      <c r="J6">
        <f>IFERROR(I6/F6,0)</f>
        <v>0.65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9980.0</v>
      </c>
      <c r="N6" s="33">
        <f>SUMPRODUCT((ISNUMBER($B$8:$B$5000))*($B$8:$B$5000&gt;=TODAY()-MOD(TODAY()-2,7))*($B$8:$B$5000&lt;TODAY()-MOD(TODAY()-2,7)+7)*IF(ISNUMBER($F$8:$F$5000),$F$8:$F$5000,0))</f>
        <v>9980.0</v>
      </c>
      <c r="O6" s="33">
        <f>SUMPRODUCT((ISNUMBER($B$8:$B$5000))*(MONTH($B$8:$B$5000)=MONTH(TODAY()))*(YEAR($B$8:$B$5000)=YEAR(TODAY()))*IF(ISNUMBER($F$8:$F$5000),$F$8:$F$5000,0))</f>
        <v>35524.0</v>
      </c>
      <c r="P6">
        <f>SUMPRODUCT((ISNUMBER($B$8:$B$5000))*($B$8:$B$5000&gt;=TODAY()-MOD(TODAY()-2,7))*($B$8:$B$5000&lt;TODAY()-MOD(TODAY()-2,7)+7)*IF(ISNUMBER($H$8:$H$5000),$H$8:$H$5000,0))</f>
        <v>9374.0</v>
      </c>
      <c r="Q6">
        <f>M6-P6</f>
        <v>606.0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19881.68</v>
      </c>
      <c r="I108" s="274">
        <f>IFERROR(F108-H108,0)</f>
        <v>-15042.68</v>
      </c>
      <c r="J108" s="275">
        <f>IFERROR(I108/F108,0)</f>
        <v>-3.108634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56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Aramando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Utilities/Electricity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Software/Subscription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Transfer Received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Received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inlineStr">
        <is>
          <t>TOTALS &amp; CURRENT BALANCE</t>
        </is>
      </c>
      <c r="B85" s="232" t="n"/>
      <c r="C85" s="232" t="n"/>
      <c r="D85" s="232">
        <f>SUM(D4:D84)</f>
        <v/>
      </c>
      <c r="E85" s="233">
        <f>SUM(E4:E84)</f>
        <v/>
      </c>
      <c r="F85" s="233">
        <f>F84</f>
        <v/>
      </c>
      <c r="G85" s="232">
        <f>IF(F84&gt;0,"Restaurant owes Lohith $"&amp;TEXT(F84,"#,##0"),IF(F84&lt;0,"Lohith holds $"&amp;TEXT(ABS(F84),"#,##0"),"Zero balance"))</f>
        <v/>
      </c>
      <c r="H85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2026-09-10T03:09:11Z</dcterms:modified>
  <cp:lastModifiedBy>LOHITH REDDY</cp:lastModifiedBy>
</cp:coreProperties>
</file>