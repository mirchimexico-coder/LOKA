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30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Owner ledger balance settled from budget (rent + fronted items)</t>
        </is>
      </c>
      <c r="D139" s="242" t="n">
        <v>19314.81</v>
      </c>
    </row>
    <row r="140">
      <c r="B140">
        <f>REMAINING WITH ME (budget left with Lohith)</f>
        <v/>
      </c>
      <c r="D140">
        <f>D136-D137-D138-D139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Maintenance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Software / Subscription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Staff - Advance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Utilities / Internet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Packaging / Disposables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Staff - Propinas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inlineStr">
        <is>
          <t>TOTALS &amp; CURRENT BALANCE</t>
        </is>
      </c>
      <c r="B30" s="232" t="n"/>
      <c r="C30" s="232" t="n"/>
      <c r="D30" s="232">
        <f>SUM(D4:D29)</f>
        <v/>
      </c>
      <c r="E30" s="233">
        <f>SUM(E4:E29)</f>
        <v/>
      </c>
      <c r="F30" s="233">
        <f>F29</f>
        <v/>
      </c>
      <c r="G30" s="232">
        <f>IF(F29&gt;0,"Restaurant owes Lohith $"&amp;TEXT(F29,"#,##0"),IF(F29&lt;0,"Lohith holds $"&amp;TEXT(ABS(F29),"#,##0"),"Zero balance"))</f>
        <v/>
      </c>
      <c r="H30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2026-06-30T19:47:08Z</dcterms:modified>
  <cp:lastModifiedBy>LOHITH REDDY</cp:lastModifiedBy>
</cp:coreProperties>
</file>