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6578.98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1089.81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/>
      <c r="E32" s="37" t="n"/>
      <c r="F32" s="38">
        <f>IFERROR(D32+E32+G32,0)</f>
        <v/>
      </c>
      <c r="G32" s="39" t="n"/>
      <c r="H32" s="40" t="n">
        <v>4014</v>
      </c>
      <c r="I32" s="41">
        <f>IFERROR(F32-H32,0)</f>
        <v/>
      </c>
      <c r="J32" s="42">
        <f>IFERROR(I32/F32,0)</f>
        <v/>
      </c>
      <c r="K32" s="43" t="n"/>
      <c r="L32" s="9" t="inlineStr">
        <is>
          <t>Expenses logged — revenue pending EOD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74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74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Restaurant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Restaurant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</t>
        </is>
      </c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9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</t>
        </is>
      </c>
      <c r="B12" s="98" t="inlineStr">
        <is>
          <t>Mesero / Waiter</t>
        </is>
      </c>
      <c r="C12" s="99" t="n">
        <v>333.33</v>
      </c>
      <c r="D12" s="100" t="inlineStr">
        <is>
          <t>Full Day</t>
        </is>
      </c>
      <c r="E12" s="100" t="inlineStr">
        <is>
          <t>Full Day</t>
        </is>
      </c>
      <c r="F12" s="100" t="inlineStr">
        <is>
          <t>Full Day</t>
        </is>
      </c>
      <c r="G12" s="100" t="inlineStr">
        <is>
          <t>Full Day</t>
        </is>
      </c>
      <c r="H12" s="100" t="inlineStr">
        <is>
          <t>Full Day</t>
        </is>
      </c>
      <c r="I12" s="100" t="inlineStr">
        <is>
          <t>Full Day</t>
        </is>
      </c>
      <c r="J12" s="100" t="inlineStr">
        <is>
          <t>Day Off</t>
        </is>
      </c>
      <c r="K12" s="101">
        <f>COUNTIF(D12:J12,"Full Day")</f>
        <v/>
      </c>
      <c r="L12" s="102">
        <f>K12*C12</f>
        <v/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133.33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Full Day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259" t="n">
        <v>8000</v>
      </c>
      <c r="D37" s="260" t="inlineStr">
        <is>
          <t>Confirmed — $2,000/week | $333.33/day | Start 9 Jun 2026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$133.33/day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2026-06-11T23:24:44Z</dcterms:modified>
  <cp:lastModifiedBy>LOHITH REDDY</cp:lastModifiedBy>
</cp:coreProperties>
</file>