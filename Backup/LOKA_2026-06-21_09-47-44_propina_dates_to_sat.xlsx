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54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40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166" fontId="51" fillId="16" borderId="9" applyAlignment="1" pivotButton="0" quotePrefix="0" xfId="0">
      <alignment horizontal="center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7" fillId="10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7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9" fillId="52" borderId="16" applyAlignment="1" pivotButton="0" quotePrefix="0" xfId="0">
      <alignment horizontal="center" vertical="center"/>
    </xf>
    <xf numFmtId="0" fontId="89" fillId="52" borderId="16" pivotButton="0" quotePrefix="0" xfId="0"/>
    <xf numFmtId="0" fontId="88" fillId="0" borderId="16" pivotButton="0" quotePrefix="0" xfId="0"/>
    <xf numFmtId="4" fontId="88" fillId="13" borderId="16" applyAlignment="1" pivotButton="0" quotePrefix="0" xfId="0">
      <alignment horizontal="right" vertical="center"/>
    </xf>
    <xf numFmtId="4" fontId="88" fillId="19" borderId="16" applyAlignment="1" pivotButton="0" quotePrefix="0" xfId="0">
      <alignment horizontal="center" vertical="center"/>
    </xf>
    <xf numFmtId="4" fontId="16" fillId="10" borderId="16" applyAlignment="1" pivotButton="0" quotePrefix="0" xfId="0">
      <alignment horizontal="center" vertical="center" wrapText="1"/>
    </xf>
    <xf numFmtId="0" fontId="89" fillId="52" borderId="16" applyAlignment="1" pivotButton="0" quotePrefix="0" xfId="0">
      <alignment horizontal="left" vertical="center"/>
    </xf>
    <xf numFmtId="166" fontId="89" fillId="52" borderId="16" applyAlignment="1" pivotButton="0" quotePrefix="0" xfId="0">
      <alignment horizontal="center" vertical="center"/>
    </xf>
    <xf numFmtId="4" fontId="9" fillId="10" borderId="16" applyAlignment="1" pivotButton="0" quotePrefix="0" xfId="0">
      <alignment horizontal="center" vertical="center"/>
    </xf>
    <xf numFmtId="4" fontId="42" fillId="20" borderId="16" applyAlignment="1" pivotButton="0" quotePrefix="0" xfId="0">
      <alignment horizontal="left" vertical="center"/>
    </xf>
    <xf numFmtId="4" fontId="37" fillId="20" borderId="16" applyAlignment="1" pivotButton="0" quotePrefix="0" xfId="0">
      <alignment horizontal="center" vertical="center"/>
    </xf>
    <xf numFmtId="4" fontId="42" fillId="19" borderId="16" applyAlignment="1" pivotButton="0" quotePrefix="0" xfId="0">
      <alignment horizontal="left" vertical="center"/>
    </xf>
    <xf numFmtId="4" fontId="37" fillId="19" borderId="16" applyAlignment="1" pivotButton="0" quotePrefix="0" xfId="0">
      <alignment horizontal="center" vertical="center"/>
    </xf>
    <xf numFmtId="4" fontId="43" fillId="18" borderId="16" applyAlignment="1" pivotButton="0" quotePrefix="0" xfId="0">
      <alignment horizontal="left" vertical="center"/>
    </xf>
    <xf numFmtId="4" fontId="67" fillId="18" borderId="16" applyAlignment="1" pivotButton="0" quotePrefix="0" xfId="0">
      <alignment horizontal="center" vertical="center"/>
    </xf>
    <xf numFmtId="4" fontId="72" fillId="17" borderId="16" applyAlignment="1" pivotButton="0" quotePrefix="0" xfId="0">
      <alignment horizontal="left" vertical="center"/>
    </xf>
    <xf numFmtId="4" fontId="68" fillId="17" borderId="16" applyAlignment="1" pivotButton="0" quotePrefix="0" xfId="0">
      <alignment horizontal="center" vertical="center"/>
    </xf>
    <xf numFmtId="4" fontId="40" fillId="16" borderId="16" applyAlignment="1" pivotButton="0" quotePrefix="0" xfId="0">
      <alignment horizontal="left" vertical="center"/>
    </xf>
    <xf numFmtId="4" fontId="51" fillId="16" borderId="16" applyAlignment="1" pivotButton="0" quotePrefix="0" xfId="0">
      <alignment horizontal="center" vertical="center"/>
    </xf>
    <xf numFmtId="4" fontId="51" fillId="16" borderId="16" applyAlignment="1" pivotButton="0" quotePrefix="0" xfId="0">
      <alignment horizontal="left" vertical="center"/>
    </xf>
    <xf numFmtId="4" fontId="37" fillId="16" borderId="16" applyAlignment="1" pivotButton="0" quotePrefix="0" xfId="0">
      <alignment horizontal="center" vertical="center"/>
    </xf>
    <xf numFmtId="4" fontId="64" fillId="14" borderId="16" applyAlignment="1" pivotButton="0" quotePrefix="0" xfId="0">
      <alignment horizontal="left" vertical="center"/>
    </xf>
    <xf numFmtId="4" fontId="43" fillId="14" borderId="16" applyAlignment="1" pivotButton="0" quotePrefix="0" xfId="0">
      <alignment horizontal="center" vertical="center"/>
    </xf>
    <xf numFmtId="4" fontId="62" fillId="19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left" vertical="center"/>
    </xf>
    <xf numFmtId="4" fontId="62" fillId="20" borderId="16" applyAlignment="1" pivotButton="0" quotePrefix="0" xfId="0">
      <alignment horizontal="center" vertical="center"/>
    </xf>
    <xf numFmtId="4" fontId="88" fillId="19" borderId="16" applyAlignment="1" pivotButton="0" quotePrefix="0" xfId="0">
      <alignment horizontal="left" vertical="center"/>
    </xf>
    <xf numFmtId="171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1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0" fillId="51" borderId="0" pivotButton="0" quotePrefix="0" xfId="0"/>
    <xf numFmtId="4" fontId="88" fillId="0" borderId="16" pivotButton="0" quotePrefix="0" xfId="0"/>
    <xf numFmtId="4" fontId="89" fillId="52" borderId="16" pivotButton="0" quotePrefix="0" xfId="0"/>
    <xf numFmtId="4" fontId="88" fillId="20" borderId="16" applyAlignment="1" pivotButton="0" quotePrefix="0" xfId="0">
      <alignment horizontal="left" vertical="center"/>
    </xf>
    <xf numFmtId="4" fontId="88" fillId="20" borderId="16" applyAlignment="1" pivotButton="0" quotePrefix="0" xfId="0">
      <alignment horizontal="center" vertical="center"/>
    </xf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7" fillId="51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86" fillId="51" borderId="0" applyAlignment="1" pivotButton="0" quotePrefix="0" xfId="0">
      <alignment horizontal="center"/>
    </xf>
    <xf numFmtId="0" fontId="86" fillId="51" borderId="0" applyAlignment="1" pivotButton="0" quotePrefix="0" xfId="0">
      <alignment horizontal="center" vertical="center"/>
    </xf>
    <xf numFmtId="174" fontId="73" fillId="40" borderId="0" applyAlignment="1" pivotButton="0" quotePrefix="0" xfId="0">
      <alignment horizontal="left" vertical="center"/>
    </xf>
    <xf numFmtId="0" fontId="16" fillId="10" borderId="15" applyAlignment="1" pivotButton="0" quotePrefix="0" xfId="0">
      <alignment horizontal="center" vertical="center"/>
    </xf>
    <xf numFmtId="0" fontId="25" fillId="19" borderId="15" applyAlignment="1" pivotButton="0" quotePrefix="0" xfId="0">
      <alignment horizontal="center" vertical="center"/>
    </xf>
    <xf numFmtId="0" fontId="25" fillId="20" borderId="15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 wrapText="1"/>
    </xf>
    <xf numFmtId="174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174" fontId="37" fillId="19" borderId="13" applyAlignment="1" pivotButton="0" quotePrefix="0" xfId="0">
      <alignment horizontal="center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4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34"/>
  <sheetViews>
    <sheetView tabSelected="1" topLeftCell="A17" zoomScaleNormal="100" workbookViewId="0">
      <selection activeCell="B25" sqref="B25"/>
    </sheetView>
  </sheetViews>
  <sheetFormatPr baseColWidth="8" defaultRowHeight="14.4" customHeight="1"/>
  <cols>
    <col width="3" customWidth="1" style="295" min="1" max="1"/>
    <col width="48" customWidth="1" style="295" min="2" max="2"/>
    <col width="18" customWidth="1" style="302" min="3" max="3"/>
    <col width="20" customWidth="1" style="302" min="4" max="6"/>
    <col width="24" customWidth="1" style="295" min="7" max="7"/>
    <col width="26" customWidth="1" style="295" min="8" max="8"/>
  </cols>
  <sheetData>
    <row r="1" ht="36" customHeight="1" s="295">
      <c r="B1" s="301" t="inlineStr">
        <is>
          <t>LOKA  —  CAPITAL, OWNERSHIP &amp; PRE-OPENING EXPENSES</t>
        </is>
      </c>
    </row>
    <row r="2" ht="24" customHeight="1" s="295">
      <c r="B2" s="304" t="inlineStr">
        <is>
          <t>Last updated: 17 Jun 2026  |  Capital, Acquisition, Pre-Opening &amp; Renovation CapEx</t>
        </is>
      </c>
    </row>
    <row r="4" ht="25.95" customHeight="1" s="295">
      <c r="B4" s="303" t="inlineStr">
        <is>
          <t xml:space="preserve">  A.  OWNERSHIP STRUCTURE</t>
        </is>
      </c>
    </row>
    <row r="5" ht="22.05" customHeight="1" s="295">
      <c r="B5" s="161" t="inlineStr">
        <is>
          <t>Owner</t>
        </is>
      </c>
      <c r="C5" s="163" t="inlineStr">
        <is>
          <t>Share %</t>
        </is>
      </c>
      <c r="D5" s="163" t="inlineStr">
        <is>
          <t>Capital ($)</t>
        </is>
      </c>
      <c r="E5" s="163" t="inlineStr">
        <is>
          <t>Expenses ($)</t>
        </is>
      </c>
      <c r="F5" s="163" t="inlineStr">
        <is>
          <t>Remaining ($)</t>
        </is>
      </c>
      <c r="G5" s="161" t="inlineStr">
        <is>
          <t>Role / Notes</t>
        </is>
      </c>
    </row>
    <row r="6" ht="19.95" customHeight="1" s="295">
      <c r="B6" s="154" t="inlineStr">
        <is>
          <t>Lohith Reddy</t>
        </is>
      </c>
      <c r="C6" s="154" t="n">
        <v>0.5</v>
      </c>
      <c r="D6" s="162" t="n">
        <v>300000</v>
      </c>
      <c r="E6" s="162">
        <f>D59</f>
        <v/>
      </c>
      <c r="F6" s="162">
        <f>D6-E6</f>
        <v/>
      </c>
      <c r="G6" s="154" t="inlineStr">
        <is>
          <t>50% — Managing Partner</t>
        </is>
      </c>
    </row>
    <row r="7" ht="19.95" customHeight="1" s="295">
      <c r="B7" s="154" t="inlineStr">
        <is>
          <t>Kashigoud Patil</t>
        </is>
      </c>
      <c r="C7" s="154" t="n">
        <v>0.3</v>
      </c>
      <c r="D7" s="162" t="n">
        <v>180000</v>
      </c>
      <c r="E7" s="162">
        <f>D46</f>
        <v/>
      </c>
      <c r="F7" s="162">
        <f>D7-E7</f>
        <v/>
      </c>
      <c r="G7" s="154" t="inlineStr">
        <is>
          <t>30% — Partner</t>
        </is>
      </c>
    </row>
    <row r="8" ht="19.95" customHeight="1" s="295">
      <c r="B8" s="154" t="inlineStr">
        <is>
          <t>Shashirekha Basavaraju</t>
        </is>
      </c>
      <c r="C8" s="154" t="n">
        <v>0.2</v>
      </c>
      <c r="D8" s="162" t="n">
        <v>120000</v>
      </c>
      <c r="E8" s="162">
        <f>D72</f>
        <v/>
      </c>
      <c r="F8" s="162">
        <f>D8-E8</f>
        <v/>
      </c>
      <c r="G8" s="154" t="inlineStr">
        <is>
          <t>20% — Partner</t>
        </is>
      </c>
    </row>
    <row r="9" ht="22.05" customHeight="1" s="295">
      <c r="B9" s="163" t="inlineStr">
        <is>
          <t>TOTAL</t>
        </is>
      </c>
      <c r="C9" s="171">
        <f>SUM(C6:C8)</f>
        <v/>
      </c>
      <c r="D9" s="171">
        <f>SUM(D6:D8)</f>
        <v/>
      </c>
      <c r="E9" s="171">
        <f>SUM(E6:E8)</f>
        <v/>
      </c>
      <c r="F9" s="171">
        <f>SUM(F6:F8)</f>
        <v/>
      </c>
      <c r="G9" s="161" t="n"/>
    </row>
    <row r="11" ht="25.95" customHeight="1" s="295">
      <c r="B11" s="303" t="inlineStr">
        <is>
          <t xml:space="preserve">  B.  RESTAURANT ACQUISITION  —  $390,000 TOTAL</t>
        </is>
      </c>
    </row>
    <row r="12" ht="22.05" customHeight="1" s="295">
      <c r="B12" s="161" t="inlineStr">
        <is>
          <t>Description</t>
        </is>
      </c>
      <c r="C12" s="163" t="inlineStr">
        <is>
          <t>Date</t>
        </is>
      </c>
      <c r="D12" s="163" t="inlineStr">
        <is>
          <t>Amount ($)</t>
        </is>
      </c>
      <c r="E12" s="163" t="inlineStr">
        <is>
          <t>Paid By</t>
        </is>
      </c>
      <c r="F12" s="163" t="inlineStr">
        <is>
          <t>Status</t>
        </is>
      </c>
      <c r="G12" s="161" t="inlineStr">
        <is>
          <t>Notes</t>
        </is>
      </c>
    </row>
    <row r="13" ht="19.95" customHeight="1" s="295">
      <c r="B13" s="154" t="inlineStr">
        <is>
          <t>TOTAL Purchase Price — Previous Owners</t>
        </is>
      </c>
      <c r="C13" s="154" t="n"/>
      <c r="D13" s="162" t="n">
        <v>390000</v>
      </c>
      <c r="E13" s="154" t="inlineStr">
        <is>
          <t>All Partners</t>
        </is>
      </c>
      <c r="F13" s="154" t="inlineStr">
        <is>
          <t>⚠️ PARTIALLY PAID — $68,235 remaining</t>
        </is>
      </c>
      <c r="G13" s="154" t="inlineStr">
        <is>
          <t>Full acquisition amount</t>
        </is>
      </c>
    </row>
    <row r="14" ht="19.95" customHeight="1" s="295">
      <c r="B14" s="164" t="inlineStr">
        <is>
          <t>Advance Payment (paid by Lohith)</t>
        </is>
      </c>
      <c r="C14" s="164" t="n"/>
      <c r="D14" s="172" t="n">
        <v>5000</v>
      </c>
      <c r="E14" s="164" t="inlineStr">
        <is>
          <t>Lohith Reddy</t>
        </is>
      </c>
      <c r="F14" s="164" t="inlineStr">
        <is>
          <t>✅ PAID</t>
        </is>
      </c>
      <c r="G14" s="164" t="inlineStr">
        <is>
          <t>Advance to previous owners</t>
        </is>
      </c>
    </row>
    <row r="15" ht="19.95" customHeight="1" s="295">
      <c r="B15" s="165" t="inlineStr">
        <is>
          <t>Payment to Previous Owners</t>
        </is>
      </c>
      <c r="C15" s="196" t="n">
        <v>46176</v>
      </c>
      <c r="D15" s="173" t="n">
        <v>95000</v>
      </c>
      <c r="E15" s="188" t="inlineStr">
        <is>
          <t>Lohith Reddy</t>
        </is>
      </c>
      <c r="F15" s="188" t="inlineStr">
        <is>
          <t>✅ PAID</t>
        </is>
      </c>
      <c r="G15" s="165" t="inlineStr">
        <is>
          <t>Paid from restaurant operating balance — 3 Jun 2026</t>
        </is>
      </c>
    </row>
    <row r="16">
      <c r="B16" s="165" t="inlineStr">
        <is>
          <t>Payment to Previous Owner — Account 1</t>
        </is>
      </c>
      <c r="C16" s="196" t="n">
        <v>46177</v>
      </c>
      <c r="D16" s="173" t="n">
        <v>8000</v>
      </c>
      <c r="E16" s="188" t="inlineStr">
        <is>
          <t>Lohith Reddy</t>
        </is>
      </c>
      <c r="F16" s="188" t="inlineStr">
        <is>
          <t>✅ PAID</t>
        </is>
      </c>
      <c r="G16" s="165" t="inlineStr">
        <is>
          <t>Capital payment — from main budget — transferred to different accounts</t>
        </is>
      </c>
    </row>
    <row r="17" ht="19.95" customHeight="1" s="295">
      <c r="B17" s="165" t="inlineStr">
        <is>
          <t>Payment to Previous Owner — Account 2</t>
        </is>
      </c>
      <c r="C17" s="196" t="n">
        <v>46177</v>
      </c>
      <c r="D17" s="173" t="n">
        <v>4500</v>
      </c>
      <c r="E17" s="188" t="inlineStr">
        <is>
          <t>Lohith Reddy</t>
        </is>
      </c>
      <c r="F17" s="188" t="inlineStr">
        <is>
          <t>✅ PAID</t>
        </is>
      </c>
      <c r="G17" s="165" t="inlineStr">
        <is>
          <t>Capital payment — from main budget — transferred to different account</t>
        </is>
      </c>
    </row>
    <row r="18" ht="22.05" customHeight="1" s="295">
      <c r="B18" s="165" t="inlineStr">
        <is>
          <t>Payment to Previous Owner — Account 3</t>
        </is>
      </c>
      <c r="C18" s="196" t="n">
        <v>46177</v>
      </c>
      <c r="D18" s="173" t="n">
        <v>15000</v>
      </c>
      <c r="E18" s="188" t="inlineStr">
        <is>
          <t>Lohith Reddy</t>
        </is>
      </c>
      <c r="F18" s="188" t="inlineStr">
        <is>
          <t>✅ PAID</t>
        </is>
      </c>
      <c r="G18" s="165" t="inlineStr">
        <is>
          <t>Capital payment — from main budget — transferred to different accounts</t>
        </is>
      </c>
    </row>
    <row r="19" ht="19.95" customHeight="1" s="295">
      <c r="B19" s="165" t="inlineStr">
        <is>
          <t>Payment to Previous Owner — Account 4</t>
        </is>
      </c>
      <c r="C19" s="196" t="n">
        <v>46177</v>
      </c>
      <c r="D19" s="173" t="n">
        <v>10000</v>
      </c>
      <c r="E19" s="188" t="inlineStr">
        <is>
          <t>Lohith Reddy</t>
        </is>
      </c>
      <c r="F19" s="188" t="inlineStr">
        <is>
          <t>✅ PAID</t>
        </is>
      </c>
      <c r="G19" s="165" t="inlineStr">
        <is>
          <t>Capital payment — from main budget — transferred to different accounts</t>
        </is>
      </c>
    </row>
    <row r="20" ht="19.95" customHeight="1" s="295">
      <c r="B20" s="165" t="inlineStr">
        <is>
          <t>Payment to Previous Owner — Account 5</t>
        </is>
      </c>
      <c r="C20" s="196" t="n">
        <v>46177</v>
      </c>
      <c r="D20" s="173" t="n">
        <v>44000</v>
      </c>
      <c r="E20" s="188" t="inlineStr">
        <is>
          <t>Lohith Reddy</t>
        </is>
      </c>
      <c r="F20" s="188" t="inlineStr">
        <is>
          <t>✅ PAID</t>
        </is>
      </c>
      <c r="G20" s="165" t="inlineStr">
        <is>
          <t>Capital payment — from main budget — transferred to different accounts</t>
        </is>
      </c>
    </row>
    <row r="21" ht="19.95" customHeight="1" s="295">
      <c r="B21" s="165" t="inlineStr">
        <is>
          <t>Payment to Previous Owner — Account 6</t>
        </is>
      </c>
      <c r="C21" s="196" t="n">
        <v>46177</v>
      </c>
      <c r="D21" s="173" t="n">
        <v>44000</v>
      </c>
      <c r="E21" s="188" t="inlineStr">
        <is>
          <t>Lohith Reddy</t>
        </is>
      </c>
      <c r="F21" s="188" t="inlineStr">
        <is>
          <t>✅ PAID</t>
        </is>
      </c>
      <c r="G21" s="165" t="inlineStr">
        <is>
          <t>Capital payment — from main budget — transferred to different accounts</t>
        </is>
      </c>
    </row>
    <row r="22" ht="19.95" customHeight="1" s="295">
      <c r="B22" s="165" t="inlineStr">
        <is>
          <t>Payment to Previous Owner — Jun 5</t>
        </is>
      </c>
      <c r="C22" s="196" t="n">
        <v>46178</v>
      </c>
      <c r="D22" s="173" t="n">
        <v>30000</v>
      </c>
      <c r="E22" s="188" t="inlineStr">
        <is>
          <t>Lohith Reddy</t>
        </is>
      </c>
      <c r="F22" s="188" t="inlineStr">
        <is>
          <t>✅ PAID</t>
        </is>
      </c>
      <c r="G22" s="165" t="inlineStr">
        <is>
          <t>Transfer — 5 Jun 2026</t>
        </is>
      </c>
    </row>
    <row r="23" ht="19.95" customHeight="1" s="295">
      <c r="B23" s="165" t="inlineStr">
        <is>
          <t>Payment to Previous Owners — Jun 19 (a)</t>
        </is>
      </c>
      <c r="C23" s="377" t="n">
        <v>46192</v>
      </c>
      <c r="D23" s="173" t="n">
        <v>30000</v>
      </c>
      <c r="E23" s="188" t="inlineStr">
        <is>
          <t>Lohith Reddy</t>
        </is>
      </c>
      <c r="F23" s="188" t="inlineStr">
        <is>
          <t>✅ PAID</t>
        </is>
      </c>
      <c r="G23" s="165" t="inlineStr">
        <is>
          <t>Capital payment to previous owners — 19 Jun 2026</t>
        </is>
      </c>
    </row>
    <row r="24" ht="19.95" customHeight="1" s="295">
      <c r="B24" s="165" t="inlineStr">
        <is>
          <t>Payment to Previous Owners — Jun 19 (b)</t>
        </is>
      </c>
      <c r="C24" s="377" t="n">
        <v>46192</v>
      </c>
      <c r="D24" s="173" t="n">
        <v>20735</v>
      </c>
      <c r="E24" s="188" t="inlineStr">
        <is>
          <t>Lohith Reddy</t>
        </is>
      </c>
      <c r="F24" s="188" t="inlineStr">
        <is>
          <t>✅ PAID</t>
        </is>
      </c>
      <c r="G24" s="165" t="inlineStr">
        <is>
          <t>Capital payment to previous owners — 19 Jun 2026</t>
        </is>
      </c>
    </row>
    <row r="25" ht="19.95" customHeight="1" s="295">
      <c r="B25" s="165" t="inlineStr">
        <is>
          <t>Electricity Bill (Mar–May CFE) — paid by Lohith for Previous Owners</t>
        </is>
      </c>
      <c r="C25" s="377" t="n">
        <v>46190</v>
      </c>
      <c r="D25" s="173" t="n">
        <v>15530</v>
      </c>
      <c r="E25" s="188" t="inlineStr">
        <is>
          <t>Lohith Reddy</t>
        </is>
      </c>
      <c r="F25" s="188" t="inlineStr">
        <is>
          <t>✅ OFFSET vs balance</t>
        </is>
      </c>
      <c r="G25" s="165" t="inlineStr">
        <is>
          <t>Prev owners’ liability (pre-handover). Deducted from acquisition balance owed to them.</t>
        </is>
      </c>
    </row>
    <row r="26" ht="19.95" customHeight="1" s="295">
      <c r="B26" s="165" t="n"/>
      <c r="C26" s="196" t="n"/>
      <c r="D26" s="173" t="n"/>
      <c r="E26" s="188" t="n"/>
      <c r="F26" s="188" t="n"/>
      <c r="G26" s="165" t="n"/>
    </row>
    <row r="27">
      <c r="B27" s="166" t="inlineStr">
        <is>
          <t>Balance Remaining</t>
        </is>
      </c>
      <c r="C27" s="166" t="n"/>
      <c r="D27" s="174">
        <f>D13-SUM(D14:D26)</f>
        <v/>
      </c>
      <c r="E27" s="166" t="inlineStr">
        <is>
          <t>—</t>
        </is>
      </c>
      <c r="F27" s="166" t="inlineStr">
        <is>
          <t>⏳ PENDING</t>
        </is>
      </c>
      <c r="G27" s="166" t="inlineStr">
        <is>
          <t>$390,000 − $306,235 paid (Jun 3-19) − $15,530 electricity offset = $68,235 remaining</t>
        </is>
      </c>
    </row>
    <row r="28" ht="25.95" customHeight="1" s="295">
      <c r="B28" s="205" t="n"/>
      <c r="C28" s="280" t="n"/>
      <c r="D28" s="207" t="n"/>
      <c r="E28" s="206" t="n"/>
      <c r="F28" s="206" t="n"/>
      <c r="G28" s="205" t="n"/>
    </row>
    <row r="29" ht="22.05" customHeight="1" s="295">
      <c r="B29" s="167" t="inlineStr">
        <is>
          <t xml:space="preserve">  PAYMENT BREAKDOWN  —  How the $390,000 will be funded</t>
        </is>
      </c>
      <c r="C29" s="167" t="n"/>
      <c r="D29" s="167" t="n"/>
      <c r="E29" s="167" t="n"/>
      <c r="F29" s="167" t="n"/>
      <c r="G29" s="168" t="n"/>
      <c r="H29" s="168" t="n"/>
    </row>
    <row r="30" ht="19.95" customHeight="1" s="295">
      <c r="B30" s="161" t="inlineStr">
        <is>
          <t>Source</t>
        </is>
      </c>
      <c r="C30" s="163" t="inlineStr">
        <is>
          <t>From</t>
        </is>
      </c>
      <c r="D30" s="163" t="inlineStr">
        <is>
          <t>Amount ($)</t>
        </is>
      </c>
      <c r="E30" s="163" t="inlineStr">
        <is>
          <t>Toward %</t>
        </is>
      </c>
      <c r="F30" s="163" t="inlineStr">
        <is>
          <t>Cumulative</t>
        </is>
      </c>
      <c r="G30" s="161" t="inlineStr">
        <is>
          <t>Notes</t>
        </is>
      </c>
    </row>
    <row r="31" ht="19.95" customHeight="1" s="295">
      <c r="B31" s="154" t="inlineStr">
        <is>
          <t>Kashigoud Transfer to Lohith</t>
        </is>
      </c>
      <c r="C31" s="154" t="inlineStr">
        <is>
          <t>Kashigoud Patil</t>
        </is>
      </c>
      <c r="D31" s="162" t="n">
        <v>125000</v>
      </c>
      <c r="E31" s="182">
        <f>D31/390000</f>
        <v/>
      </c>
      <c r="F31" s="162">
        <f>D31</f>
        <v/>
      </c>
      <c r="G31" s="154" t="inlineStr">
        <is>
          <t>Full Kashi transfer</t>
        </is>
      </c>
    </row>
    <row r="32" ht="19.95" customHeight="1" s="295">
      <c r="B32" s="156" t="inlineStr">
        <is>
          <t>Shashirekha Transfer to Lohith</t>
        </is>
      </c>
      <c r="C32" s="156" t="inlineStr">
        <is>
          <t>Shashirekha B.</t>
        </is>
      </c>
      <c r="D32" s="175" t="n">
        <v>100000</v>
      </c>
      <c r="E32" s="183">
        <f>D32/390000</f>
        <v/>
      </c>
      <c r="F32" s="175">
        <f>D31+D32</f>
        <v/>
      </c>
      <c r="G32" s="156" t="inlineStr">
        <is>
          <t>Full Shashi transfer</t>
        </is>
      </c>
    </row>
    <row r="33" ht="19.95" customHeight="1" s="295">
      <c r="B33" s="154" t="inlineStr">
        <is>
          <t>Lohith Reddy (own funds)</t>
        </is>
      </c>
      <c r="C33" s="154" t="inlineStr">
        <is>
          <t>Lohith Reddy</t>
        </is>
      </c>
      <c r="D33" s="162">
        <f>390000-D31-D32</f>
        <v/>
      </c>
      <c r="E33" s="182">
        <f>D33/390000</f>
        <v/>
      </c>
      <c r="F33" s="162">
        <f>D31+D32+D33</f>
        <v/>
      </c>
      <c r="G33" s="154" t="inlineStr">
        <is>
          <t>Balance from Lohith</t>
        </is>
      </c>
    </row>
    <row r="34" ht="19.95" customHeight="1" s="295">
      <c r="B34" s="156" t="inlineStr">
        <is>
          <t>Advance Already Paid</t>
        </is>
      </c>
      <c r="C34" s="156" t="inlineStr">
        <is>
          <t>Lohith Reddy</t>
        </is>
      </c>
      <c r="D34" s="175" t="n">
        <v>5000</v>
      </c>
      <c r="E34" s="183">
        <f>D34/390000</f>
        <v/>
      </c>
      <c r="F34" s="175" t="inlineStr">
        <is>
          <t>Paid ✅</t>
        </is>
      </c>
      <c r="G34" s="156" t="inlineStr">
        <is>
          <t>Already paid</t>
        </is>
      </c>
    </row>
    <row r="35" ht="19.95" customHeight="1" s="295"/>
    <row r="36" ht="19.95" customHeight="1" s="295">
      <c r="B36" s="303" t="inlineStr">
        <is>
          <t xml:space="preserve">  C.  PRE-OPENING EXPENSES — KASHIGOUD PATIL</t>
        </is>
      </c>
      <c r="C36" s="303" t="n"/>
      <c r="D36" s="303" t="n"/>
      <c r="E36" s="303" t="n"/>
      <c r="F36" s="303" t="n"/>
      <c r="G36" s="160" t="n"/>
      <c r="H36" s="160" t="n"/>
    </row>
    <row r="37" ht="19.95" customHeight="1" s="295">
      <c r="B37" s="161" t="inlineStr">
        <is>
          <t>Description</t>
        </is>
      </c>
      <c r="C37" s="163" t="inlineStr">
        <is>
          <t>Date</t>
        </is>
      </c>
      <c r="D37" s="163" t="inlineStr">
        <is>
          <t>Amount ($)</t>
        </is>
      </c>
      <c r="E37" s="163" t="inlineStr">
        <is>
          <t>Paid To</t>
        </is>
      </c>
      <c r="F37" s="163" t="inlineStr">
        <is>
          <t>Category</t>
        </is>
      </c>
      <c r="G37" s="161" t="inlineStr">
        <is>
          <t>Notes</t>
        </is>
      </c>
    </row>
    <row r="38" ht="22.05" customHeight="1" s="295">
      <c r="B38" s="154" t="inlineStr">
        <is>
          <t>Transfer to Lohith Reddy (capital allocation)</t>
        </is>
      </c>
      <c r="C38" s="154" t="n"/>
      <c r="D38" s="162" t="n">
        <v>125000</v>
      </c>
      <c r="E38" s="154" t="inlineStr">
        <is>
          <t>Bank → Lohith</t>
        </is>
      </c>
      <c r="F38" s="154" t="inlineStr">
        <is>
          <t>Internal Transfer</t>
        </is>
      </c>
      <c r="G38" s="154" t="inlineStr">
        <is>
          <t>For acquisition &amp; expenses</t>
        </is>
      </c>
    </row>
    <row r="39">
      <c r="B39" s="156" t="inlineStr">
        <is>
          <t>Soft Restaurant License &amp; Tools</t>
        </is>
      </c>
      <c r="C39" s="156" t="n"/>
      <c r="D39" s="175" t="n">
        <v>15195</v>
      </c>
      <c r="E39" s="156" t="inlineStr">
        <is>
          <t>Soft App</t>
        </is>
      </c>
      <c r="F39" s="156" t="inlineStr">
        <is>
          <t>Software / License</t>
        </is>
      </c>
      <c r="G39" s="156" t="inlineStr">
        <is>
          <t>POS + mgmt tools</t>
        </is>
      </c>
    </row>
    <row r="40" ht="25.95" customHeight="1" s="295">
      <c r="B40" s="154" t="inlineStr">
        <is>
          <t>Mercado Pago Terminal</t>
        </is>
      </c>
      <c r="C40" s="189" t="n"/>
      <c r="D40" s="177" t="n">
        <v>500</v>
      </c>
      <c r="E40" s="189" t="inlineStr">
        <is>
          <t>Soft App / MP</t>
        </is>
      </c>
      <c r="F40" s="189" t="inlineStr">
        <is>
          <t>POS Hardware</t>
        </is>
      </c>
      <c r="G40" s="155" t="inlineStr">
        <is>
          <t>MP card reader terminal fee</t>
        </is>
      </c>
    </row>
    <row r="41" ht="22.05" customHeight="1" s="295">
      <c r="B41" s="154" t="inlineStr">
        <is>
          <t>Camera Cloud Recording — 7 Day Continuous (28 May)</t>
        </is>
      </c>
      <c r="C41" s="197" t="n">
        <v>46170</v>
      </c>
      <c r="D41" s="198" t="n">
        <v>436.12</v>
      </c>
      <c r="E41" s="199" t="inlineStr">
        <is>
          <t>Kashigoud Patil (VISA ••••9193)</t>
        </is>
      </c>
      <c r="F41" s="199" t="inlineStr">
        <is>
          <t>Technology / Security</t>
        </is>
      </c>
      <c r="G41" s="200" t="inlineStr">
        <is>
          <t>Shenzhen Tange — cloud CCTV recording 1yr — US$23.90 = MXN $436.12</t>
        </is>
      </c>
      <c r="H41" s="306" t="n"/>
    </row>
    <row r="42" ht="19.95" customHeight="1" s="295">
      <c r="B42" s="156" t="inlineStr">
        <is>
          <t>Camera Cloud Recording — 7 Day Continuous (29 May)</t>
        </is>
      </c>
      <c r="C42" s="201" t="n">
        <v>46171</v>
      </c>
      <c r="D42" s="202" t="n">
        <v>437.22</v>
      </c>
      <c r="E42" s="156" t="inlineStr">
        <is>
          <t>Kashigoud Patil (VISA ••••9193)</t>
        </is>
      </c>
      <c r="F42" s="156" t="inlineStr">
        <is>
          <t>Technology / Security</t>
        </is>
      </c>
      <c r="G42" s="156" t="inlineStr">
        <is>
          <t>Shenzhen Tange — cloud CCTV recording 1yr — US$23.90 = MXN $437.22</t>
        </is>
      </c>
    </row>
    <row r="43" ht="19.95" customHeight="1" s="295">
      <c r="B43" s="153" t="n"/>
      <c r="C43" s="153" t="n"/>
      <c r="D43" s="178" t="n"/>
      <c r="E43" s="153" t="n"/>
      <c r="F43" s="153" t="n"/>
      <c r="G43" s="153" t="n"/>
    </row>
    <row r="44" ht="19.95" customHeight="1" s="295">
      <c r="B44" s="153" t="n"/>
      <c r="C44" s="153" t="n"/>
      <c r="D44" s="178" t="n"/>
      <c r="E44" s="153" t="n"/>
      <c r="F44" s="153" t="n"/>
      <c r="G44" s="153" t="n"/>
    </row>
    <row r="45" ht="19.95" customHeight="1" s="295">
      <c r="B45" s="153" t="n"/>
      <c r="C45" s="153" t="n"/>
      <c r="D45" s="178" t="n"/>
      <c r="E45" s="153" t="n"/>
      <c r="F45" s="153" t="n"/>
      <c r="G45" s="153" t="n"/>
    </row>
    <row r="46" ht="19.95" customHeight="1" s="295">
      <c r="B46" s="163" t="inlineStr">
        <is>
          <t>KASHIGOUD TOTAL</t>
        </is>
      </c>
      <c r="C46" s="163" t="n"/>
      <c r="D46" s="171">
        <f>SUM(D38:D45)</f>
        <v/>
      </c>
      <c r="E46" s="163" t="n"/>
      <c r="F46" s="163" t="n"/>
      <c r="G46" s="161" t="n"/>
    </row>
    <row r="47" ht="19.95" customHeight="1" s="295"/>
    <row r="48" ht="19.95" customHeight="1" s="295">
      <c r="B48" s="303" t="inlineStr">
        <is>
          <t xml:space="preserve">  D.  PRE-OPENING EXPENSES — LOHITH REDDY</t>
        </is>
      </c>
      <c r="C48" s="303" t="n"/>
      <c r="D48" s="303" t="n"/>
      <c r="E48" s="303" t="n"/>
      <c r="F48" s="303" t="n"/>
      <c r="G48" s="160" t="n"/>
      <c r="H48" s="160" t="n"/>
    </row>
    <row r="49" ht="19.95" customHeight="1" s="295">
      <c r="B49" s="161" t="inlineStr">
        <is>
          <t>Description</t>
        </is>
      </c>
      <c r="C49" s="163" t="inlineStr">
        <is>
          <t>Date</t>
        </is>
      </c>
      <c r="D49" s="163" t="inlineStr">
        <is>
          <t>Amount ($)</t>
        </is>
      </c>
      <c r="E49" s="163" t="inlineStr">
        <is>
          <t>Paid To</t>
        </is>
      </c>
      <c r="F49" s="163" t="inlineStr">
        <is>
          <t>Category</t>
        </is>
      </c>
      <c r="G49" s="161" t="inlineStr">
        <is>
          <t>Notes</t>
        </is>
      </c>
    </row>
    <row r="50" ht="19.95" customHeight="1" s="295">
      <c r="B50" s="154" t="inlineStr">
        <is>
          <t>Advance Payment to Previous Owners</t>
        </is>
      </c>
      <c r="C50" s="154" t="n"/>
      <c r="D50" s="162" t="n">
        <v>5000</v>
      </c>
      <c r="E50" s="154" t="inlineStr">
        <is>
          <t>Previous Owners</t>
        </is>
      </c>
      <c r="F50" s="154" t="inlineStr">
        <is>
          <t>Acquisition</t>
        </is>
      </c>
      <c r="G50" s="154" t="inlineStr">
        <is>
          <t>5k advance on 390k purchase</t>
        </is>
      </c>
    </row>
    <row r="51" ht="22.05" customHeight="1" s="295">
      <c r="B51" s="156" t="inlineStr">
        <is>
          <t>Notary Fees</t>
        </is>
      </c>
      <c r="C51" s="156" t="n"/>
      <c r="D51" s="175" t="n">
        <v>15797</v>
      </c>
      <c r="E51" s="156" t="inlineStr">
        <is>
          <t>Notary Office</t>
        </is>
      </c>
      <c r="F51" s="156" t="inlineStr">
        <is>
          <t>Legal</t>
        </is>
      </c>
      <c r="G51" s="156" t="inlineStr">
        <is>
          <t>Legal fees for restaurant acquisition</t>
        </is>
      </c>
    </row>
    <row r="52">
      <c r="B52" s="154" t="inlineStr">
        <is>
          <t>Poliza Juridica (Legal Policy)</t>
        </is>
      </c>
      <c r="C52" s="154" t="n"/>
      <c r="D52" s="162" t="n">
        <v>5150</v>
      </c>
      <c r="E52" s="154" t="inlineStr">
        <is>
          <t>Legal / Insurance</t>
        </is>
      </c>
      <c r="F52" s="154" t="inlineStr">
        <is>
          <t>Legal</t>
        </is>
      </c>
      <c r="G52" s="154" t="inlineStr">
        <is>
          <t>Poliza Juridica — legal insurance policy</t>
        </is>
      </c>
    </row>
    <row r="53" ht="25.95" customHeight="1" s="295">
      <c r="B53" s="156" t="inlineStr">
        <is>
          <t>Alejandra — Documentation Asst.</t>
        </is>
      </c>
      <c r="C53" s="190" t="n"/>
      <c r="D53" s="179" t="n">
        <v>3000</v>
      </c>
      <c r="E53" s="190" t="inlineStr">
        <is>
          <t>Alejandra</t>
        </is>
      </c>
      <c r="F53" s="190" t="inlineStr">
        <is>
          <t>Professional Services</t>
        </is>
      </c>
      <c r="G53" s="157" t="inlineStr">
        <is>
          <t>Documentation &amp; legal assistance — pre-opening</t>
        </is>
      </c>
    </row>
    <row r="54" ht="22.05" customHeight="1" s="295">
      <c r="B54" s="281" t="inlineStr">
        <is>
          <t>Alejandra — License Costs</t>
        </is>
      </c>
      <c r="C54" s="280" t="n">
        <v>46190</v>
      </c>
      <c r="D54" s="207" t="n">
        <v>1400</v>
      </c>
      <c r="E54" s="206" t="inlineStr">
        <is>
          <t>Alejandra</t>
        </is>
      </c>
      <c r="F54" s="206" t="inlineStr">
        <is>
          <t>Legal / License</t>
        </is>
      </c>
      <c r="G54" s="205" t="inlineStr">
        <is>
          <t>License costs — paid by Lohith 17 Jun</t>
        </is>
      </c>
      <c r="H54" s="306" t="n"/>
    </row>
    <row r="55" ht="19.95" customHeight="1" s="295">
      <c r="B55" s="153" t="n"/>
      <c r="C55" s="153" t="n"/>
      <c r="D55" s="178" t="n"/>
      <c r="E55" s="153" t="n"/>
      <c r="F55" s="153" t="n"/>
      <c r="G55" s="153" t="n"/>
    </row>
    <row r="56" ht="19.95" customHeight="1" s="295">
      <c r="B56" s="153" t="n"/>
      <c r="C56" s="153" t="n"/>
      <c r="D56" s="178" t="n"/>
      <c r="E56" s="153" t="n"/>
      <c r="F56" s="153" t="n"/>
      <c r="G56" s="153" t="n"/>
    </row>
    <row r="57" ht="19.95" customHeight="1" s="295">
      <c r="B57" s="153" t="n"/>
      <c r="C57" s="153" t="n"/>
      <c r="D57" s="178" t="n"/>
      <c r="E57" s="153" t="n"/>
      <c r="F57" s="153" t="n"/>
      <c r="G57" s="153" t="n"/>
    </row>
    <row r="58" ht="19.95" customHeight="1" s="295">
      <c r="B58" s="153" t="n"/>
      <c r="C58" s="153" t="n"/>
      <c r="D58" s="178" t="n"/>
      <c r="E58" s="153" t="n"/>
      <c r="F58" s="153" t="n"/>
      <c r="G58" s="153" t="n"/>
    </row>
    <row r="59" ht="19.95" customHeight="1" s="295">
      <c r="B59" s="163" t="inlineStr">
        <is>
          <t>LOHITH TOTAL</t>
        </is>
      </c>
      <c r="C59" s="163" t="n"/>
      <c r="D59" s="171">
        <f>SUM(D50:D58)</f>
        <v/>
      </c>
      <c r="E59" s="163" t="n"/>
      <c r="F59" s="163" t="n"/>
      <c r="G59" s="161" t="n"/>
    </row>
    <row r="60" ht="19.95" customHeight="1" s="295"/>
    <row r="61" ht="19.95" customHeight="1" s="295">
      <c r="B61" s="303" t="inlineStr">
        <is>
          <t xml:space="preserve">  E.  PRE-OPENING EXPENSES — SHASHIREKHA BASAVARAJU</t>
        </is>
      </c>
      <c r="C61" s="303" t="n"/>
      <c r="D61" s="303" t="n"/>
      <c r="E61" s="303" t="n"/>
      <c r="F61" s="303" t="n"/>
      <c r="G61" s="160" t="n"/>
      <c r="H61" s="160" t="n"/>
    </row>
    <row r="62" ht="19.95" customHeight="1" s="295">
      <c r="B62" s="161" t="inlineStr">
        <is>
          <t>Description</t>
        </is>
      </c>
      <c r="C62" s="163" t="inlineStr">
        <is>
          <t>Date</t>
        </is>
      </c>
      <c r="D62" s="163" t="inlineStr">
        <is>
          <t>Amount ($)</t>
        </is>
      </c>
      <c r="E62" s="163" t="inlineStr">
        <is>
          <t>Paid To</t>
        </is>
      </c>
      <c r="F62" s="163" t="inlineStr">
        <is>
          <t>Category</t>
        </is>
      </c>
      <c r="G62" s="161" t="inlineStr">
        <is>
          <t>Notes</t>
        </is>
      </c>
    </row>
    <row r="63" ht="22.05" customHeight="1" s="295">
      <c r="B63" s="154" t="inlineStr">
        <is>
          <t>Transfer to Lohith Reddy (capital allocation)</t>
        </is>
      </c>
      <c r="C63" s="154" t="n"/>
      <c r="D63" s="162" t="n">
        <v>100000</v>
      </c>
      <c r="E63" s="154" t="inlineStr">
        <is>
          <t>Bank → Lohith</t>
        </is>
      </c>
      <c r="F63" s="154" t="inlineStr">
        <is>
          <t>Internal Transfer</t>
        </is>
      </c>
      <c r="G63" s="154" t="inlineStr">
        <is>
          <t>For acquisition &amp; expenses</t>
        </is>
      </c>
    </row>
    <row r="64">
      <c r="B64" s="156" t="inlineStr">
        <is>
          <t>Temu items</t>
        </is>
      </c>
      <c r="C64" s="156" t="n"/>
      <c r="D64" s="175" t="n">
        <v>2646</v>
      </c>
      <c r="E64" s="156" t="inlineStr">
        <is>
          <t>Temu</t>
        </is>
      </c>
      <c r="F64" s="156" t="inlineStr">
        <is>
          <t>Equipment / Supplies</t>
        </is>
      </c>
      <c r="G64" s="156" t="inlineStr">
        <is>
          <t>Temu items — restaurant supplies &amp; equipment</t>
        </is>
      </c>
    </row>
    <row r="65" ht="25.95" customHeight="1" s="295">
      <c r="B65" s="154" t="inlineStr">
        <is>
          <t>Board games for restaurant ambiance</t>
        </is>
      </c>
      <c r="C65" s="189" t="n"/>
      <c r="D65" s="177" t="n">
        <v>745</v>
      </c>
      <c r="E65" s="189" t="inlineStr">
        <is>
          <t>Various</t>
        </is>
      </c>
      <c r="F65" s="189" t="inlineStr">
        <is>
          <t>Equipment / Decor</t>
        </is>
      </c>
      <c r="G65" s="155" t="inlineStr">
        <is>
          <t>Board games for restaurant ambiance</t>
        </is>
      </c>
    </row>
    <row r="66" ht="22.05" customHeight="1" s="295">
      <c r="B66" s="156" t="inlineStr">
        <is>
          <t>Special menu board</t>
        </is>
      </c>
      <c r="C66" s="191" t="n"/>
      <c r="D66" s="180" t="n">
        <v>204</v>
      </c>
      <c r="E66" s="191" t="inlineStr">
        <is>
          <t>Sign Maker</t>
        </is>
      </c>
      <c r="F66" s="191" t="inlineStr">
        <is>
          <t>Branding / Signage</t>
        </is>
      </c>
      <c r="G66" s="158" t="inlineStr">
        <is>
          <t>Special menu board</t>
        </is>
      </c>
      <c r="H66" s="306" t="n"/>
    </row>
    <row r="67" ht="19.95" customHeight="1" s="295">
      <c r="B67" s="154" t="inlineStr">
        <is>
          <t>Logo and sticker printing</t>
        </is>
      </c>
      <c r="C67" s="154" t="n"/>
      <c r="D67" s="162" t="n">
        <v>845</v>
      </c>
      <c r="E67" s="154" t="inlineStr">
        <is>
          <t>Print Shop</t>
        </is>
      </c>
      <c r="F67" s="154" t="inlineStr">
        <is>
          <t>Branding / Signage</t>
        </is>
      </c>
      <c r="G67" s="154" t="inlineStr">
        <is>
          <t>Logo and sticker printing</t>
        </is>
      </c>
    </row>
    <row r="68" ht="19.95" customHeight="1" s="295">
      <c r="B68" s="156" t="inlineStr">
        <is>
          <t>Sign boards, stationary, other decor</t>
        </is>
      </c>
      <c r="C68" s="156" t="n"/>
      <c r="D68" s="175" t="n">
        <v>1555</v>
      </c>
      <c r="E68" s="156" t="inlineStr">
        <is>
          <t>China Shop</t>
        </is>
      </c>
      <c r="F68" s="156" t="inlineStr">
        <is>
          <t>Decor / Signage</t>
        </is>
      </c>
      <c r="G68" s="156" t="inlineStr">
        <is>
          <t>Sign boards, stationary, other decor</t>
        </is>
      </c>
    </row>
    <row r="69" ht="19.95" customHeight="1" s="295">
      <c r="B69" s="154" t="inlineStr">
        <is>
          <t>Logo Box Repair / Fix</t>
        </is>
      </c>
      <c r="C69" s="203" t="n">
        <v>46176</v>
      </c>
      <c r="D69" s="204" t="n">
        <v>900</v>
      </c>
      <c r="E69" s="154" t="inlineStr">
        <is>
          <t>Supplier</t>
        </is>
      </c>
      <c r="F69" s="154" t="inlineStr">
        <is>
          <t>Branding / Signage</t>
        </is>
      </c>
      <c r="G69" s="154" t="inlineStr">
        <is>
          <t>Logo box repair — paid by Shashirekha</t>
        </is>
      </c>
    </row>
    <row r="70" ht="19.95" customHeight="1" s="295">
      <c r="B70" s="281" t="inlineStr">
        <is>
          <t>Letrero 3-D Retroiluminado (illuminated sign)</t>
        </is>
      </c>
      <c r="C70" s="282" t="n">
        <v>46190</v>
      </c>
      <c r="D70" s="283" t="n">
        <v>12000</v>
      </c>
      <c r="E70" s="281" t="inlineStr">
        <is>
          <t>POPA Publicidad</t>
        </is>
      </c>
      <c r="F70" s="281" t="inlineStr">
        <is>
          <t>Branding / Signage</t>
        </is>
      </c>
      <c r="G70" s="281" t="inlineStr">
        <is>
          <t>3D backlit sign + "CAFE RESTAURANT &amp; BAR" letters — paid by Shashirekha · Cotización A0626-560</t>
        </is>
      </c>
    </row>
    <row r="71" ht="19.95" customHeight="1" s="295">
      <c r="B71" s="205" t="n"/>
      <c r="C71" s="206" t="n"/>
      <c r="D71" s="207" t="n"/>
      <c r="E71" s="206" t="n"/>
      <c r="F71" s="206" t="n"/>
      <c r="G71" s="205" t="n"/>
    </row>
    <row r="72" ht="19.95" customHeight="1" s="295">
      <c r="B72" s="163" t="inlineStr">
        <is>
          <t>SHASHIREKHA TOTAL</t>
        </is>
      </c>
      <c r="C72" s="192" t="n"/>
      <c r="D72" s="181">
        <f>SUM(D63:D71)</f>
        <v/>
      </c>
      <c r="E72" s="192" t="n"/>
      <c r="F72" s="192" t="n"/>
      <c r="G72" s="169" t="n"/>
      <c r="H72" s="306" t="n"/>
    </row>
    <row r="73" ht="19.95" customHeight="1" s="295"/>
    <row r="74" ht="19.95" customHeight="1" s="295">
      <c r="B74" s="303" t="inlineStr">
        <is>
          <t xml:space="preserve">  F.  GRAND SUMMARY — CAPITAL DEPLOYMENT</t>
        </is>
      </c>
      <c r="C74" s="303" t="n"/>
      <c r="D74" s="303" t="n"/>
      <c r="E74" s="303" t="n"/>
      <c r="F74" s="303" t="n"/>
      <c r="G74" s="160" t="n"/>
      <c r="H74" s="160" t="n"/>
    </row>
    <row r="75" ht="19.95" customHeight="1" s="295">
      <c r="B75" s="161" t="inlineStr">
        <is>
          <t>Line Item</t>
        </is>
      </c>
      <c r="C75" s="163" t="n"/>
      <c r="D75" s="163" t="n"/>
      <c r="E75" s="163" t="n"/>
      <c r="F75" s="163" t="n"/>
      <c r="G75" s="161" t="n"/>
    </row>
    <row r="76" ht="19.95" customHeight="1" s="295">
      <c r="B76" s="154" t="inlineStr">
        <is>
          <t>Total Budget</t>
        </is>
      </c>
      <c r="C76" s="162">
        <f>SUM(D6:D8)</f>
        <v/>
      </c>
      <c r="D76" s="182" t="n"/>
      <c r="E76" s="154" t="inlineStr">
        <is>
          <t>100% of committed capital</t>
        </is>
      </c>
    </row>
    <row r="77" ht="19.95" customHeight="1" s="295">
      <c r="B77" s="156" t="inlineStr">
        <is>
          <t>Acquisition Total</t>
        </is>
      </c>
      <c r="C77" s="175">
        <f>D13</f>
        <v/>
      </c>
      <c r="D77" s="183">
        <f>C77/C76</f>
        <v/>
      </c>
      <c r="E77" s="156" t="inlineStr">
        <is>
          <t>To be paid to previous owners</t>
        </is>
      </c>
    </row>
    <row r="78">
      <c r="B78" s="154" t="inlineStr">
        <is>
          <t>Advance Paid</t>
        </is>
      </c>
      <c r="C78" s="162">
        <f>D14</f>
        <v/>
      </c>
      <c r="D78" s="182">
        <f>C78/C76</f>
        <v/>
      </c>
      <c r="E78" s="154" t="inlineStr">
        <is>
          <t>✅ Already paid</t>
        </is>
      </c>
    </row>
    <row r="79">
      <c r="B79" s="166" t="inlineStr">
        <is>
          <t>Balance Remaining</t>
        </is>
      </c>
      <c r="C79" s="174">
        <f>D27</f>
        <v/>
      </c>
      <c r="D79" s="184">
        <f>C79/C76</f>
        <v/>
      </c>
      <c r="E79" s="166" t="inlineStr">
        <is>
          <t>⏳ Pending — funded by transfers</t>
        </is>
      </c>
    </row>
    <row r="80">
      <c r="B80" s="156" t="inlineStr">
        <is>
          <t>Kashi Ops (excl tr)</t>
        </is>
      </c>
      <c r="C80" s="175">
        <f>SUM(D39:D40)</f>
        <v/>
      </c>
      <c r="D80" s="183">
        <f>C80/C76</f>
        <v/>
      </c>
      <c r="E80" s="156" t="inlineStr">
        <is>
          <t>Soft license + terminal</t>
        </is>
      </c>
    </row>
    <row r="81">
      <c r="B81" s="154" t="inlineStr">
        <is>
          <t>Kashi Transfer</t>
        </is>
      </c>
      <c r="C81" s="162">
        <f>D38</f>
        <v/>
      </c>
      <c r="D81" s="182">
        <f>C81/C76</f>
        <v/>
      </c>
      <c r="E81" s="154" t="n"/>
    </row>
    <row r="82">
      <c r="B82" s="156" t="inlineStr">
        <is>
          <t>Lohith Pre-Opening</t>
        </is>
      </c>
      <c r="C82" s="175">
        <f>D59</f>
        <v/>
      </c>
      <c r="D82" s="183">
        <f>C82/C76</f>
        <v/>
      </c>
      <c r="E82" s="156" t="inlineStr">
        <is>
          <t>Advance + Notary + Poliza + Alejandra</t>
        </is>
      </c>
    </row>
    <row r="83">
      <c r="B83" s="154" t="inlineStr">
        <is>
          <t>Shashi Transfer</t>
        </is>
      </c>
      <c r="C83" s="162">
        <f>D63</f>
        <v/>
      </c>
      <c r="D83" s="182">
        <f>C83/C76</f>
        <v/>
      </c>
      <c r="E83" s="154" t="n"/>
    </row>
    <row r="84">
      <c r="B84" s="156" t="inlineStr">
        <is>
          <t>Shashi Other Exp</t>
        </is>
      </c>
      <c r="C84" s="175">
        <f>SUM(D64:D71)</f>
        <v/>
      </c>
      <c r="D84" s="183">
        <f>C84/C76</f>
        <v/>
      </c>
      <c r="E84" s="156" t="inlineStr">
        <is>
          <t>Yellow rows above</t>
        </is>
      </c>
    </row>
    <row r="85">
      <c r="B85" s="163" t="inlineStr">
        <is>
          <t>Total Cash Out</t>
        </is>
      </c>
      <c r="C85" s="171">
        <f>C77+C80+C82+C84+C87</f>
        <v/>
      </c>
      <c r="D85" s="185">
        <f>C85/C76</f>
        <v/>
      </c>
      <c r="E85" s="163" t="inlineStr">
        <is>
          <t>Actual cash leaving the partnership</t>
        </is>
      </c>
      <c r="F85" s="186" t="n"/>
      <c r="G85" s="170" t="n"/>
    </row>
    <row r="86">
      <c r="B86" s="163" t="inlineStr">
        <is>
          <t>Remaining Budget</t>
        </is>
      </c>
      <c r="C86" s="171">
        <f>C76-C85</f>
        <v/>
      </c>
      <c r="D86" s="185">
        <f>C86/C76</f>
        <v/>
      </c>
      <c r="E86" s="163" t="n"/>
      <c r="F86" s="186" t="n"/>
      <c r="G86" s="170" t="n"/>
    </row>
    <row r="87">
      <c r="B87" s="156" t="inlineStr">
        <is>
          <t>Renovation &amp; Post-Opening CapEx</t>
        </is>
      </c>
      <c r="C87" s="175">
        <f>D119</f>
        <v/>
      </c>
      <c r="D87" s="183">
        <f>C87/C76</f>
        <v/>
      </c>
      <c r="E87" s="156" t="inlineStr">
        <is>
          <t>Section I (bottom of sheet)</t>
        </is>
      </c>
    </row>
    <row r="88" ht="15.6" customHeight="1" s="295">
      <c r="B88" s="160" t="inlineStr">
        <is>
          <t xml:space="preserve">  G.  REMAINING TRANSFERS DUE TO LOHITH REDDY</t>
        </is>
      </c>
      <c r="C88" s="303" t="n"/>
      <c r="D88" s="303" t="n"/>
      <c r="E88" s="303" t="n"/>
      <c r="F88" s="303" t="n"/>
      <c r="G88" s="160" t="n"/>
      <c r="H88" s="160" t="n"/>
    </row>
    <row r="89">
      <c r="B89" s="170" t="inlineStr">
        <is>
          <t>Partner</t>
        </is>
      </c>
      <c r="C89" s="186" t="inlineStr">
        <is>
          <t>Total Budget ($)</t>
        </is>
      </c>
      <c r="D89" s="186" t="inlineStr">
        <is>
          <t>Already Transferred ($)</t>
        </is>
      </c>
      <c r="E89" s="186" t="inlineStr">
        <is>
          <t>Direct Expenses ($)</t>
        </is>
      </c>
      <c r="F89" s="186" t="inlineStr">
        <is>
          <t>Still Owed to Lohith ($)</t>
        </is>
      </c>
      <c r="G89" s="170" t="inlineStr">
        <is>
          <t>Status</t>
        </is>
      </c>
    </row>
    <row r="90">
      <c r="B90" s="155" t="inlineStr">
        <is>
          <t>Kashigoud Patil</t>
        </is>
      </c>
      <c r="C90" s="177">
        <f>D7</f>
        <v/>
      </c>
      <c r="D90" s="177">
        <f>D38</f>
        <v/>
      </c>
      <c r="E90" s="177">
        <f>SUM(D39:D45)</f>
        <v/>
      </c>
      <c r="F90" s="177">
        <f>C90-D90-E90</f>
        <v/>
      </c>
      <c r="G90" s="155" t="inlineStr">
        <is>
          <t>⏳ PENDING</t>
        </is>
      </c>
    </row>
    <row r="91">
      <c r="B91" s="157" t="inlineStr">
        <is>
          <t>Shashirekha Basavaraju</t>
        </is>
      </c>
      <c r="C91" s="179">
        <f>D8</f>
        <v/>
      </c>
      <c r="D91" s="179">
        <f>D63</f>
        <v/>
      </c>
      <c r="E91" s="179">
        <f>SUM(D64:D71)</f>
        <v/>
      </c>
      <c r="F91" s="179">
        <f>C91-D91-E91</f>
        <v/>
      </c>
      <c r="G91" s="157" t="inlineStr">
        <is>
          <t>⏳ PENDING</t>
        </is>
      </c>
    </row>
    <row r="92">
      <c r="B92" s="170" t="inlineStr">
        <is>
          <t>TOTAL</t>
        </is>
      </c>
      <c r="C92" s="187">
        <f>C90+C91</f>
        <v/>
      </c>
      <c r="D92" s="187">
        <f>D90+D91</f>
        <v/>
      </c>
      <c r="E92" s="187">
        <f>E90+E91</f>
        <v/>
      </c>
      <c r="F92" s="187">
        <f>F90+F91</f>
        <v/>
      </c>
      <c r="G92" s="170" t="n"/>
    </row>
    <row r="94" ht="15.6" customHeight="1" s="295">
      <c r="B94" s="160" t="inlineStr">
        <is>
          <t xml:space="preserve">  H.  ACQUISITION PAYMENT — SPLIT BY OWNERSHIP SHARE  ($385,000 BALANCE DUE)</t>
        </is>
      </c>
      <c r="C94" s="303" t="n"/>
      <c r="D94" s="303" t="n"/>
      <c r="E94" s="303" t="n"/>
      <c r="F94" s="303" t="n"/>
      <c r="G94" s="160" t="n"/>
      <c r="H94" s="160" t="n"/>
    </row>
    <row r="95">
      <c r="B95" s="170" t="inlineStr">
        <is>
          <t>Partner</t>
        </is>
      </c>
      <c r="C95" s="186" t="inlineStr">
        <is>
          <t>Share %</t>
        </is>
      </c>
      <c r="D95" s="186" t="inlineStr">
        <is>
          <t>Share of $390k Total ($)</t>
        </is>
      </c>
      <c r="E95" s="186" t="inlineStr">
        <is>
          <t>Advance Credited ($)</t>
        </is>
      </c>
      <c r="F95" s="186" t="inlineStr">
        <is>
          <t>Balance Owed to Prev. Owners ($)</t>
        </is>
      </c>
      <c r="G95" s="170" t="inlineStr">
        <is>
          <t>Status</t>
        </is>
      </c>
    </row>
    <row r="96">
      <c r="B96" s="155" t="inlineStr">
        <is>
          <t>Lohith Reddy</t>
        </is>
      </c>
      <c r="C96" s="193">
        <f>C6</f>
        <v/>
      </c>
      <c r="D96" s="177">
        <f>C96*D13</f>
        <v/>
      </c>
      <c r="E96" s="177">
        <f>D14</f>
        <v/>
      </c>
      <c r="F96" s="177">
        <f>D96-E96</f>
        <v/>
      </c>
      <c r="G96" s="155" t="inlineStr">
        <is>
          <t>⏳ Pending — $134,500 balance outstanding</t>
        </is>
      </c>
    </row>
    <row r="97">
      <c r="B97" s="157" t="inlineStr">
        <is>
          <t>Kashigoud Patil</t>
        </is>
      </c>
      <c r="C97" s="194">
        <f>C7</f>
        <v/>
      </c>
      <c r="D97" s="179">
        <f>C97*D13</f>
        <v/>
      </c>
      <c r="E97" s="179" t="n">
        <v>0</v>
      </c>
      <c r="F97" s="179">
        <f>D97-E97</f>
        <v/>
      </c>
      <c r="G97" s="157" t="inlineStr">
        <is>
          <t>⏳ Pending — $134,500 balance outstanding</t>
        </is>
      </c>
    </row>
    <row r="98">
      <c r="B98" s="155" t="inlineStr">
        <is>
          <t>Shashirekha Basavaraju</t>
        </is>
      </c>
      <c r="C98" s="193">
        <f>C8</f>
        <v/>
      </c>
      <c r="D98" s="177">
        <f>C98*D13</f>
        <v/>
      </c>
      <c r="E98" s="177" t="n">
        <v>0</v>
      </c>
      <c r="F98" s="177">
        <f>D98-E98</f>
        <v/>
      </c>
      <c r="G98" s="155" t="inlineStr">
        <is>
          <t>⏳ Pending — $134,500 balance outstanding</t>
        </is>
      </c>
    </row>
    <row r="99">
      <c r="B99" s="170" t="inlineStr">
        <is>
          <t>TOTAL</t>
        </is>
      </c>
      <c r="C99" s="195" t="n">
        <v>1</v>
      </c>
      <c r="D99" s="187">
        <f>D96+D97+D98</f>
        <v/>
      </c>
      <c r="E99" s="187">
        <f>E96+E97+E98</f>
        <v/>
      </c>
      <c r="F99" s="187">
        <f>F96+F97+F98</f>
        <v/>
      </c>
      <c r="G99" s="170">
        <f>IF(F99=0,"✅ Fully Paid","⏳ Balance: $"&amp;TEXT(F99,"#,##0"))</f>
        <v/>
      </c>
    </row>
    <row r="102" ht="15.6" customHeight="1" s="295">
      <c r="B102" s="160" t="inlineStr">
        <is>
          <t xml:space="preserve">  I.  RENOVATION &amp; CAPITAL EXPENSES — POST-OPENING</t>
        </is>
      </c>
    </row>
    <row r="103">
      <c r="B103" s="170" t="inlineStr">
        <is>
          <t>Description</t>
        </is>
      </c>
      <c r="C103" s="186" t="inlineStr">
        <is>
          <t>Date</t>
        </is>
      </c>
      <c r="D103" s="186" t="inlineStr">
        <is>
          <t>Amount ($)</t>
        </is>
      </c>
      <c r="E103" s="186" t="inlineStr">
        <is>
          <t>Paid By</t>
        </is>
      </c>
      <c r="F103" s="186" t="inlineStr">
        <is>
          <t>Category</t>
        </is>
      </c>
      <c r="G103" s="170" t="inlineStr">
        <is>
          <t>Status</t>
        </is>
      </c>
      <c r="H103" t="inlineStr">
        <is>
          <t>Notes</t>
        </is>
      </c>
    </row>
    <row r="104">
      <c r="C104" s="242" t="n"/>
      <c r="D104" s="243" t="n"/>
    </row>
    <row r="105">
      <c r="C105" s="242" t="n"/>
      <c r="D105" s="243" t="n"/>
    </row>
    <row r="106">
      <c r="C106" s="242" t="n"/>
      <c r="D106" s="243" t="n"/>
    </row>
    <row r="107">
      <c r="C107" s="242" t="n"/>
      <c r="D107" s="243" t="n"/>
    </row>
    <row r="108">
      <c r="C108" s="242" t="n"/>
      <c r="D108" s="243" t="n"/>
    </row>
    <row r="109">
      <c r="C109" s="242" t="n"/>
      <c r="D109" s="243" t="n"/>
    </row>
    <row r="110">
      <c r="C110" s="242" t="n"/>
      <c r="D110" s="243" t="n"/>
    </row>
    <row r="111">
      <c r="C111" s="242" t="n"/>
      <c r="D111" s="243" t="n"/>
    </row>
    <row r="112">
      <c r="C112" s="242" t="n"/>
      <c r="D112" s="243" t="n"/>
    </row>
    <row r="113">
      <c r="C113" s="242" t="n"/>
      <c r="D113" s="243" t="n"/>
    </row>
    <row r="114">
      <c r="C114" s="242" t="n"/>
      <c r="D114" s="243" t="n"/>
    </row>
    <row r="115">
      <c r="C115" s="242" t="n"/>
      <c r="D115" s="243" t="n"/>
    </row>
    <row r="116">
      <c r="C116" s="242" t="n"/>
      <c r="D116" s="243" t="n"/>
    </row>
    <row r="117">
      <c r="C117" s="242" t="n"/>
      <c r="D117" s="243" t="n"/>
    </row>
    <row r="118">
      <c r="C118" s="242" t="n"/>
      <c r="D118" s="243" t="n"/>
    </row>
    <row r="119">
      <c r="B119" s="163" t="inlineStr">
        <is>
          <t>RENOVATION / CAPEX TOTAL</t>
        </is>
      </c>
      <c r="D119" s="171">
        <f>SUM(D104:D118)</f>
        <v/>
      </c>
    </row>
    <row r="120">
      <c r="B12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22" ht="15.6" customHeight="1" s="295">
      <c r="B122" s="284" t="inlineStr">
        <is>
          <t xml:space="preserve">  J.  LOHITH — CASH POSITION  (funds managed: own budget + partner transfers)</t>
        </is>
      </c>
    </row>
    <row r="123">
      <c r="B123" s="251" t="inlineStr">
        <is>
          <t>My Total Budget</t>
        </is>
      </c>
      <c r="D123" s="252">
        <f>D6</f>
        <v/>
      </c>
    </row>
    <row r="124">
      <c r="B124" s="251" t="inlineStr">
        <is>
          <t>+ Kashigoud Transferred to Me</t>
        </is>
      </c>
      <c r="D124" s="252">
        <f>D38</f>
        <v/>
      </c>
    </row>
    <row r="125">
      <c r="B125" s="251" t="inlineStr">
        <is>
          <t>+ Shashirekha Transferred to Me</t>
        </is>
      </c>
      <c r="D125" s="252">
        <f>D63</f>
        <v/>
      </c>
    </row>
    <row r="126">
      <c r="B126" s="255">
        <f>Total Funds In</f>
        <v/>
      </c>
      <c r="D126" s="285">
        <f>D123+D124+D125</f>
        <v/>
      </c>
    </row>
    <row r="127">
      <c r="B127" s="251" t="inlineStr">
        <is>
          <t>− Pre-Opening Expenses (excl. $5k advance)</t>
        </is>
      </c>
      <c r="D127" s="252">
        <f>D59-D50</f>
        <v/>
      </c>
    </row>
    <row r="128">
      <c r="B128" s="251" t="inlineStr">
        <is>
          <t>− Paid to Previous Owners (incl. $15,530 electricity + Jun 19 $50,735)</t>
        </is>
      </c>
      <c r="D128" s="252">
        <f>SUM(D14:D26)</f>
        <v/>
      </c>
    </row>
    <row r="129">
      <c r="B129" s="254">
        <f>REMAINING WITH ME</f>
        <v/>
      </c>
      <c r="D129" s="286">
        <f>D126-D127-D128</f>
        <v/>
      </c>
    </row>
    <row r="132">
      <c r="B132" s="293" t="n"/>
    </row>
    <row r="133">
      <c r="B133" s="205" t="n"/>
      <c r="C133" s="280" t="n"/>
      <c r="D133" s="207" t="n"/>
      <c r="E133" s="206" t="n"/>
      <c r="F133" s="206" t="n"/>
      <c r="G133" s="205" t="n"/>
    </row>
    <row r="134">
      <c r="B134" s="205" t="n"/>
      <c r="C134" s="280" t="n"/>
      <c r="D134" s="207" t="n"/>
      <c r="E134" s="206" t="n"/>
      <c r="F134" s="206" t="n"/>
      <c r="G134" s="205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95" min="1" max="1"/>
    <col width="18" customWidth="1" style="295" min="2" max="2"/>
    <col width="14" customWidth="1" style="295" min="3" max="7"/>
    <col width="16" customWidth="1" style="295" min="8" max="8"/>
    <col width="14" customWidth="1" style="295" min="9" max="14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95">
      <c r="A2" s="365" t="inlineStr">
        <is>
          <t>🍽️  LOKA Cafe Restaurante</t>
        </is>
      </c>
      <c r="H2" s="338" t="inlineStr">
        <is>
          <t>Restaurant Manager — powered by Soft + Excel</t>
        </is>
      </c>
    </row>
    <row r="3" ht="3.75" customHeight="1" s="295">
      <c r="A3" s="348" t="n"/>
    </row>
    <row r="4" ht="7.5" customHeight="1" s="295"/>
    <row r="5" ht="36" customHeight="1" s="295">
      <c r="B5" s="35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</row>
    <row r="6" ht="9.75" customHeight="1" s="295"/>
    <row r="7" ht="19.5" customHeight="1" s="295">
      <c r="B7" s="296" t="inlineStr">
        <is>
          <t xml:space="preserve">  💰  REVENUE  (auto-pulled from Daily Log)</t>
        </is>
      </c>
      <c r="C7" s="297" t="n"/>
      <c r="D7" s="297" t="n"/>
      <c r="E7" s="297" t="n"/>
      <c r="F7" s="297" t="n"/>
      <c r="G7" s="297" t="n"/>
      <c r="H7" s="297" t="n"/>
      <c r="I7" s="297" t="n"/>
      <c r="J7" s="297" t="n"/>
      <c r="K7" s="297" t="n"/>
      <c r="L7" s="297" t="n"/>
      <c r="M7" s="297" t="n"/>
    </row>
    <row r="8" ht="6" customHeight="1" s="295"/>
    <row r="9" ht="18" customHeight="1" s="295">
      <c r="B9" s="313" t="inlineStr">
        <is>
          <t>TODAY'S REVENUE</t>
        </is>
      </c>
      <c r="C9" s="299" t="n"/>
      <c r="D9" s="313" t="inlineStr">
        <is>
          <t>WEEK REVENUE</t>
        </is>
      </c>
      <c r="E9" s="299" t="n"/>
      <c r="F9" s="313" t="inlineStr">
        <is>
          <t>MONTH REVENUE</t>
        </is>
      </c>
      <c r="G9" s="299" t="n"/>
      <c r="H9" s="313" t="inlineStr">
        <is>
          <t>TODAY'S EXPENSES</t>
        </is>
      </c>
      <c r="I9" s="299" t="n"/>
      <c r="J9" s="313" t="inlineStr">
        <is>
          <t>TODAY'S NET PROFIT</t>
        </is>
      </c>
      <c r="K9" s="299" t="n"/>
      <c r="L9" s="313" t="inlineStr">
        <is>
          <t>AVG TICKET</t>
        </is>
      </c>
      <c r="M9" s="299" t="n"/>
    </row>
    <row r="10" ht="19.5" customHeight="1" s="295">
      <c r="B10" s="344">
        <f>'📅 Daily Log'!F6</f>
        <v/>
      </c>
      <c r="C10" s="316" t="n"/>
      <c r="D10" s="315">
        <f>'📅 Daily Log'!N6</f>
        <v/>
      </c>
      <c r="E10" s="316" t="n"/>
      <c r="F10" s="340">
        <f>'📅 Daily Log'!O6</f>
        <v/>
      </c>
      <c r="G10" s="316" t="n"/>
      <c r="H10" s="320">
        <f>'📅 Daily Log'!H6</f>
        <v/>
      </c>
      <c r="I10" s="316" t="n"/>
      <c r="J10" s="344">
        <f>'📅 Daily Log'!I6</f>
        <v/>
      </c>
      <c r="K10" s="316" t="n"/>
      <c r="L10" s="363">
        <f>IFERROR('📅 Daily Log'!F6/'📅 Daily Log'!G6,0)</f>
        <v/>
      </c>
      <c r="M10" s="316" t="n"/>
    </row>
    <row r="11" ht="19.5" customHeight="1" s="295">
      <c r="B11" s="317" t="n"/>
      <c r="D11" s="317" t="n"/>
      <c r="F11" s="317" t="n"/>
      <c r="H11" s="317" t="n"/>
      <c r="J11" s="317" t="n"/>
      <c r="L11" s="317" t="n"/>
    </row>
    <row r="12" ht="19.5" customHeight="1" s="295">
      <c r="B12" s="317" t="n"/>
      <c r="D12" s="317" t="n"/>
      <c r="F12" s="317" t="n"/>
      <c r="H12" s="317" t="n"/>
      <c r="J12" s="317" t="n"/>
      <c r="L12" s="317" t="n"/>
    </row>
    <row r="13" ht="9.75" customHeight="1" s="295"/>
    <row r="14" ht="19.5" customHeight="1" s="295">
      <c r="B14" s="296" t="inlineStr">
        <is>
          <t xml:space="preserve">  📊  OPERATIONS</t>
        </is>
      </c>
      <c r="C14" s="297" t="n"/>
      <c r="D14" s="297" t="n"/>
      <c r="E14" s="297" t="n"/>
      <c r="F14" s="297" t="n"/>
      <c r="G14" s="297" t="n"/>
      <c r="H14" s="297" t="n"/>
      <c r="I14" s="297" t="n"/>
      <c r="J14" s="297" t="n"/>
      <c r="K14" s="297" t="n"/>
      <c r="L14" s="297" t="n"/>
      <c r="M14" s="297" t="n"/>
    </row>
    <row r="15" ht="6" customHeight="1" s="295"/>
    <row r="16" ht="18" customHeight="1" s="295">
      <c r="B16" s="313" t="inlineStr">
        <is>
          <t>TODAY'S ORDERS</t>
        </is>
      </c>
      <c r="C16" s="299" t="n"/>
      <c r="D16" s="313" t="inlineStr">
        <is>
          <t>WEEK ORDERS</t>
        </is>
      </c>
      <c r="E16" s="299" t="n"/>
      <c r="F16" s="313" t="inlineStr">
        <is>
          <t>PROFIT MARGIN %</t>
        </is>
      </c>
      <c r="G16" s="299" t="n"/>
      <c r="H16" s="313" t="inlineStr">
        <is>
          <t>LOW STOCK ITEMS</t>
        </is>
      </c>
      <c r="I16" s="299" t="n"/>
      <c r="J16" s="313" t="inlineStr">
        <is>
          <t>WEEK EXPENSES</t>
        </is>
      </c>
      <c r="K16" s="299" t="n"/>
      <c r="L16" s="313" t="inlineStr">
        <is>
          <t>PENDING ORDERS</t>
        </is>
      </c>
      <c r="M16" s="299" t="n"/>
    </row>
    <row r="17" ht="19.5" customHeight="1" s="295">
      <c r="B17" s="346">
        <f>'📅 Daily Log'!G6</f>
        <v/>
      </c>
      <c r="C17" s="316" t="n"/>
      <c r="D17" s="346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16" t="n"/>
      <c r="F17" s="352">
        <f>IFERROR('📅 Daily Log'!J6,0)</f>
        <v/>
      </c>
      <c r="G17" s="316" t="n"/>
      <c r="H17" s="353">
        <f>'📦 Inventory'!H5</f>
        <v/>
      </c>
      <c r="I17" s="316" t="n"/>
      <c r="J17" s="320">
        <f>'📅 Daily Log'!P6</f>
        <v/>
      </c>
      <c r="K17" s="316" t="n"/>
      <c r="L17" s="322">
        <f>'🚚 Suppliers'!H5</f>
        <v/>
      </c>
      <c r="M17" s="316" t="n"/>
    </row>
    <row r="18" ht="19.5" customHeight="1" s="295">
      <c r="B18" s="317" t="n"/>
      <c r="D18" s="317" t="n"/>
      <c r="F18" s="317" t="n"/>
      <c r="H18" s="317" t="n"/>
      <c r="J18" s="317" t="n"/>
      <c r="L18" s="317" t="n"/>
    </row>
    <row r="19" ht="19.5" customHeight="1" s="295">
      <c r="B19" s="317" t="n"/>
      <c r="D19" s="317" t="n"/>
      <c r="F19" s="317" t="n"/>
      <c r="H19" s="317" t="n"/>
      <c r="J19" s="317" t="n"/>
      <c r="L19" s="317" t="n"/>
    </row>
    <row r="20" ht="9.75" customHeight="1" s="295"/>
    <row r="21" ht="19.5" customHeight="1" s="295">
      <c r="B21" s="296" t="inlineStr">
        <is>
          <t xml:space="preserve">  📅  LAST 10 DAYS  (from Daily Log — updates automatically)</t>
        </is>
      </c>
      <c r="C21" s="297" t="n"/>
      <c r="D21" s="297" t="n"/>
      <c r="E21" s="297" t="n"/>
      <c r="F21" s="297" t="n"/>
      <c r="G21" s="297" t="n"/>
      <c r="H21" s="297" t="n"/>
      <c r="I21" s="297" t="n"/>
      <c r="J21" s="297" t="n"/>
      <c r="K21" s="297" t="n"/>
      <c r="L21" s="297" t="n"/>
      <c r="M21" s="297" t="n"/>
    </row>
    <row r="22" ht="27.75" customHeight="1" s="295">
      <c r="B22" s="307" t="inlineStr">
        <is>
          <t>Date</t>
        </is>
      </c>
      <c r="C22" s="307" t="inlineStr">
        <is>
          <t>Day</t>
        </is>
      </c>
      <c r="D22" s="307" t="inlineStr">
        <is>
          <t>Revenue ($)</t>
        </is>
      </c>
      <c r="E22" s="307" t="inlineStr">
        <is>
          <t>Orders</t>
        </is>
      </c>
      <c r="F22" s="307" t="inlineStr">
        <is>
          <t>Avg Ticket</t>
        </is>
      </c>
      <c r="G22" s="307" t="inlineStr">
        <is>
          <t>Expenses ($)</t>
        </is>
      </c>
      <c r="H22" s="307" t="inlineStr">
        <is>
          <t>Net Profit ($)</t>
        </is>
      </c>
      <c r="I22" s="307" t="inlineStr">
        <is>
          <t>Margin %</t>
        </is>
      </c>
      <c r="J22" s="307" t="inlineStr">
        <is>
          <t>Notes</t>
        </is>
      </c>
      <c r="K22" s="378" t="inlineStr">
        <is>
          <t>vs Prev Day</t>
        </is>
      </c>
      <c r="L22" s="299" t="n"/>
      <c r="M22" s="308" t="n"/>
    </row>
    <row r="23" ht="16.5" customHeight="1" s="295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79" t="inlineStr">
        <is>
          <t>—</t>
        </is>
      </c>
      <c r="L23" s="299" t="n"/>
      <c r="M23" s="308" t="n"/>
    </row>
    <row r="24" ht="16.5" customHeight="1" s="295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80">
        <f>IFERROR(IF(D24&gt;D23,"▲ +"&amp;TEXT(D24-D23,"$#,##0"),IF(D24&lt;D23,"▼ "&amp;TEXT(D24-D23,"$#,##0"),"— same")),"")</f>
        <v/>
      </c>
      <c r="L24" s="299" t="n"/>
      <c r="M24" s="308" t="n"/>
    </row>
    <row r="25" ht="16.5" customHeight="1" s="295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79">
        <f>IFERROR(IF(D25&gt;D24,"▲ +"&amp;TEXT(D25-D24,"$#,##0"),IF(D25&lt;D24,"▼ "&amp;TEXT(D25-D24,"$#,##0"),"— same")),"")</f>
        <v/>
      </c>
      <c r="L25" s="299" t="n"/>
      <c r="M25" s="308" t="n"/>
    </row>
    <row r="26" ht="16.5" customHeight="1" s="295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80">
        <f>IFERROR(IF(D26&gt;D25,"▲ +"&amp;TEXT(D26-D25,"$#,##0"),IF(D26&lt;D25,"▼ "&amp;TEXT(D26-D25,"$#,##0"),"— same")),"")</f>
        <v/>
      </c>
      <c r="L26" s="299" t="n"/>
      <c r="M26" s="308" t="n"/>
    </row>
    <row r="27" ht="16.5" customHeight="1" s="295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79">
        <f>IFERROR(IF(D27&gt;D26,"▲ +"&amp;TEXT(D27-D26,"$#,##0"),IF(D27&lt;D26,"▼ "&amp;TEXT(D27-D26,"$#,##0"),"— same")),"")</f>
        <v/>
      </c>
      <c r="L27" s="299" t="n"/>
      <c r="M27" s="308" t="n"/>
    </row>
    <row r="28" ht="16.5" customHeight="1" s="295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80">
        <f>IFERROR(IF(D28&gt;D27,"▲ +"&amp;TEXT(D28-D27,"$#,##0"),IF(D28&lt;D27,"▼ "&amp;TEXT(D28-D27,"$#,##0"),"— same")),"")</f>
        <v/>
      </c>
      <c r="L28" s="299" t="n"/>
      <c r="M28" s="308" t="n"/>
    </row>
    <row r="29" ht="16.5" customHeight="1" s="295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79">
        <f>IFERROR(IF(D29&gt;D28,"▲ +"&amp;TEXT(D29-D28,"$#,##0"),IF(D29&lt;D28,"▼ "&amp;TEXT(D29-D28,"$#,##0"),"— same")),"")</f>
        <v/>
      </c>
      <c r="L29" s="299" t="n"/>
      <c r="M29" s="308" t="n"/>
    </row>
    <row r="30" ht="16.5" customHeight="1" s="295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80">
        <f>IFERROR(IF(D30&gt;D29,"▲ +"&amp;TEXT(D30-D29,"$#,##0"),IF(D30&lt;D29,"▼ "&amp;TEXT(D30-D29,"$#,##0"),"— same")),"")</f>
        <v/>
      </c>
      <c r="L30" s="299" t="n"/>
      <c r="M30" s="308" t="n"/>
    </row>
    <row r="31" ht="16.5" customHeight="1" s="295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79">
        <f>IFERROR(IF(D31&gt;D30,"▲ +"&amp;TEXT(D31-D30,"$#,##0"),IF(D31&lt;D30,"▼ "&amp;TEXT(D31-D30,"$#,##0"),"— same")),"")</f>
        <v/>
      </c>
      <c r="L31" s="299" t="n"/>
      <c r="M31" s="308" t="n"/>
    </row>
    <row r="32" ht="16.5" customHeight="1" s="295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80">
        <f>IFERROR(IF(D32&gt;D31,"▲ +"&amp;TEXT(D32-D31,"$#,##0"),IF(D32&lt;D31,"▼ "&amp;TEXT(D32-D31,"$#,##0"),"— same")),"")</f>
        <v/>
      </c>
      <c r="L32" s="299" t="n"/>
      <c r="M32" s="308" t="n"/>
    </row>
    <row r="33" ht="9.75" customHeight="1" s="295"/>
    <row r="34" ht="19.5" customHeight="1" s="295">
      <c r="B34" s="296" t="inlineStr">
        <is>
          <t xml:space="preserve">  ⚠️  INVENTORY ALERTS  (from Inventory sheet)</t>
        </is>
      </c>
      <c r="C34" s="297" t="n"/>
      <c r="D34" s="297" t="n"/>
      <c r="E34" s="297" t="n"/>
      <c r="F34" s="297" t="n"/>
      <c r="G34" s="297" t="n"/>
      <c r="H34" s="297" t="n"/>
      <c r="I34" s="297" t="n"/>
      <c r="J34" s="297" t="n"/>
      <c r="K34" s="297" t="n"/>
      <c r="L34" s="297" t="n"/>
      <c r="M34" s="297" t="n"/>
    </row>
    <row r="35" ht="27.75" customHeight="1" s="295">
      <c r="B35" s="381" t="inlineStr">
        <is>
          <t>Ingredient</t>
        </is>
      </c>
      <c r="C35" s="299" t="n"/>
      <c r="D35" s="308" t="n"/>
      <c r="E35" s="307" t="n"/>
      <c r="F35" s="381" t="inlineStr">
        <is>
          <t>Min Level</t>
        </is>
      </c>
      <c r="G35" s="308" t="n"/>
      <c r="H35" s="381" t="inlineStr">
        <is>
          <t>Status</t>
        </is>
      </c>
      <c r="I35" s="308" t="n"/>
      <c r="J35" s="381" t="inlineStr">
        <is>
          <t>Action Needed</t>
        </is>
      </c>
      <c r="K35" s="299" t="n"/>
      <c r="L35" s="299" t="n"/>
      <c r="M35" s="308" t="n"/>
    </row>
    <row r="36" ht="16.5" customHeight="1" s="295">
      <c r="B36" s="349">
        <f>'📦 Inventory'!B9</f>
        <v/>
      </c>
      <c r="C36" s="299" t="n"/>
      <c r="D36" s="299" t="n"/>
      <c r="E36" s="334">
        <f>'📦 Inventory'!E9</f>
        <v/>
      </c>
      <c r="F36" s="299" t="n"/>
      <c r="G36" s="343">
        <f>'📦 Inventory'!F9</f>
        <v/>
      </c>
      <c r="H36" s="299" t="n"/>
      <c r="I36" s="318">
        <f>'📦 Inventory'!J9</f>
        <v/>
      </c>
      <c r="J36" s="299" t="n"/>
      <c r="K36" s="318">
        <f>IF('📦 Inventory'!E9=0,"🚫 Order immediately",IF('📦 Inventory'!E9&lt;='📦 Inventory'!F9,"⚠️ Reorder soon","✅ OK"))</f>
        <v/>
      </c>
      <c r="L36" s="299" t="n"/>
      <c r="M36" s="299" t="n"/>
    </row>
    <row r="37" ht="16.5" customHeight="1" s="295">
      <c r="B37" s="325">
        <f>'📦 Inventory'!B10</f>
        <v/>
      </c>
      <c r="C37" s="299" t="n"/>
      <c r="D37" s="299" t="n"/>
      <c r="E37" s="359">
        <f>'📦 Inventory'!E10</f>
        <v/>
      </c>
      <c r="F37" s="299" t="n"/>
      <c r="G37" s="360">
        <f>'📦 Inventory'!F10</f>
        <v/>
      </c>
      <c r="H37" s="299" t="n"/>
      <c r="I37" s="361">
        <f>'📦 Inventory'!J10</f>
        <v/>
      </c>
      <c r="J37" s="299" t="n"/>
      <c r="K37" s="361">
        <f>IF('📦 Inventory'!E10=0,"🚫 Order immediately",IF('📦 Inventory'!E10&lt;='📦 Inventory'!F10,"⚠️ Reorder soon","✅ OK"))</f>
        <v/>
      </c>
      <c r="L37" s="299" t="n"/>
      <c r="M37" s="299" t="n"/>
    </row>
    <row r="38" ht="16.5" customHeight="1" s="295">
      <c r="B38" s="349">
        <f>'📦 Inventory'!B11</f>
        <v/>
      </c>
      <c r="C38" s="299" t="n"/>
      <c r="D38" s="299" t="n"/>
      <c r="E38" s="334">
        <f>'📦 Inventory'!E11</f>
        <v/>
      </c>
      <c r="F38" s="299" t="n"/>
      <c r="G38" s="343">
        <f>'📦 Inventory'!F11</f>
        <v/>
      </c>
      <c r="H38" s="299" t="n"/>
      <c r="I38" s="318">
        <f>'📦 Inventory'!J11</f>
        <v/>
      </c>
      <c r="J38" s="299" t="n"/>
      <c r="K38" s="318">
        <f>IF('📦 Inventory'!E11=0,"🚫 Order immediately",IF('📦 Inventory'!E11&lt;='📦 Inventory'!F11,"⚠️ Reorder soon","✅ OK"))</f>
        <v/>
      </c>
      <c r="L38" s="299" t="n"/>
      <c r="M38" s="299" t="n"/>
    </row>
    <row r="39" ht="16.5" customHeight="1" s="295">
      <c r="B39" s="325">
        <f>'📦 Inventory'!B12</f>
        <v/>
      </c>
      <c r="C39" s="299" t="n"/>
      <c r="D39" s="299" t="n"/>
      <c r="E39" s="359">
        <f>'📦 Inventory'!E12</f>
        <v/>
      </c>
      <c r="F39" s="299" t="n"/>
      <c r="G39" s="360">
        <f>'📦 Inventory'!F12</f>
        <v/>
      </c>
      <c r="H39" s="299" t="n"/>
      <c r="I39" s="361">
        <f>'📦 Inventory'!J12</f>
        <v/>
      </c>
      <c r="J39" s="299" t="n"/>
      <c r="K39" s="361">
        <f>IF('📦 Inventory'!E12=0,"🚫 Order immediately",IF('📦 Inventory'!E12&lt;='📦 Inventory'!F12,"⚠️ Reorder soon","✅ OK"))</f>
        <v/>
      </c>
      <c r="L39" s="299" t="n"/>
      <c r="M39" s="299" t="n"/>
    </row>
    <row r="40" ht="16.5" customHeight="1" s="295">
      <c r="B40" s="349">
        <f>'📦 Inventory'!B13</f>
        <v/>
      </c>
      <c r="C40" s="299" t="n"/>
      <c r="D40" s="299" t="n"/>
      <c r="E40" s="334">
        <f>'📦 Inventory'!E13</f>
        <v/>
      </c>
      <c r="F40" s="299" t="n"/>
      <c r="G40" s="343">
        <f>'📦 Inventory'!F13</f>
        <v/>
      </c>
      <c r="H40" s="299" t="n"/>
      <c r="I40" s="318">
        <f>'📦 Inventory'!J13</f>
        <v/>
      </c>
      <c r="J40" s="299" t="n"/>
      <c r="K40" s="318">
        <f>IF('📦 Inventory'!E13=0,"🚫 Order immediately",IF('📦 Inventory'!E13&lt;='📦 Inventory'!F13,"⚠️ Reorder soon","✅ OK"))</f>
        <v/>
      </c>
      <c r="L40" s="299" t="n"/>
      <c r="M40" s="299" t="n"/>
    </row>
    <row r="41" ht="7.5" customHeight="1" s="295"/>
    <row r="42" ht="30" customHeight="1" s="295">
      <c r="B42" s="312" t="inlineStr">
        <is>
          <t>💼  CAPITAL &amp; ACQUISITION STATUS  —  live from Capital &amp; Ownership sheet</t>
        </is>
      </c>
    </row>
    <row r="43" ht="6" customHeight="1" s="295"/>
    <row r="44" ht="16.05" customHeight="1" s="295">
      <c r="B44" s="362" t="inlineStr">
        <is>
          <t>TOTAL BUDGET</t>
        </is>
      </c>
      <c r="C44" s="306" t="n"/>
      <c r="D44" s="372" t="inlineStr">
        <is>
          <t>TOTAL CASH OUT</t>
        </is>
      </c>
      <c r="E44" s="306" t="n"/>
      <c r="F44" s="373" t="inlineStr">
        <is>
          <t>REMAINING BUDGET</t>
        </is>
      </c>
      <c r="G44" s="306" t="n"/>
      <c r="H44" s="369" t="inlineStr">
        <is>
          <t>ACQUISITION PRICE</t>
        </is>
      </c>
      <c r="I44" s="306" t="n"/>
      <c r="J44" s="366" t="inlineStr">
        <is>
          <t>ADVANCE PAID</t>
        </is>
      </c>
      <c r="K44" s="306" t="n"/>
      <c r="L44" s="354" t="inlineStr">
        <is>
          <t>BALANCE PENDING</t>
        </is>
      </c>
      <c r="M44" s="306" t="n"/>
    </row>
    <row r="45" ht="22.05" customHeight="1" s="295">
      <c r="B45" s="364">
        <f>'Capital &amp; Ownership'!C67</f>
        <v/>
      </c>
      <c r="C45" s="306" t="n"/>
      <c r="D45" s="324">
        <f>'Capital &amp; Ownership'!C76</f>
        <v/>
      </c>
      <c r="E45" s="306" t="n"/>
      <c r="F45" s="345">
        <f>'Capital &amp; Ownership'!C77</f>
        <v/>
      </c>
      <c r="G45" s="306" t="n"/>
      <c r="H45" s="332">
        <f>'Capital &amp; Ownership'!C68</f>
        <v/>
      </c>
      <c r="I45" s="306" t="n"/>
      <c r="J45" s="328">
        <f>'Capital &amp; Ownership'!C69</f>
        <v/>
      </c>
      <c r="K45" s="306" t="n"/>
      <c r="L45" s="329">
        <f>'Capital &amp; Ownership'!C70</f>
        <v/>
      </c>
      <c r="M45" s="306" t="n"/>
    </row>
    <row r="46" ht="16.05" customHeight="1" s="295">
      <c r="B46" s="367" t="inlineStr">
        <is>
          <t>All 3 partners</t>
        </is>
      </c>
      <c r="C46" s="306" t="n"/>
      <c r="D46" s="368" t="inlineStr">
        <is>
          <t>Excl. internal transfers</t>
        </is>
      </c>
      <c r="E46" s="306" t="n"/>
      <c r="F46" s="351" t="inlineStr">
        <is>
          <t>Available for operations</t>
        </is>
      </c>
      <c r="G46" s="306" t="n"/>
      <c r="H46" s="370" t="inlineStr">
        <is>
          <t>To previous owners</t>
        </is>
      </c>
      <c r="I46" s="306" t="n"/>
      <c r="J46" s="355" t="inlineStr">
        <is>
          <t>✅ Paid by Lohith</t>
        </is>
      </c>
      <c r="K46" s="306" t="n"/>
      <c r="L46" s="356" t="inlineStr">
        <is>
          <t>⏳ Outstanding</t>
        </is>
      </c>
      <c r="M46" s="306" t="n"/>
    </row>
    <row r="47" ht="7.95" customHeight="1" s="295"/>
    <row r="48" ht="22.05" customHeight="1" s="295">
      <c r="B48" s="358" t="inlineStr">
        <is>
          <t xml:space="preserve">  👥  OWNER CAPITAL SUMMARY</t>
        </is>
      </c>
    </row>
    <row r="49" ht="19.95" customHeight="1" s="295">
      <c r="B49" s="336" t="inlineStr">
        <is>
          <t>OWNER</t>
        </is>
      </c>
      <c r="C49" s="306" t="n"/>
      <c r="D49" s="336" t="inlineStr">
        <is>
          <t>SHARE %</t>
        </is>
      </c>
      <c r="E49" s="306" t="n"/>
      <c r="F49" s="336" t="inlineStr">
        <is>
          <t>CAPITAL ($)</t>
        </is>
      </c>
      <c r="G49" s="336" t="inlineStr">
        <is>
          <t>ROLE</t>
        </is>
      </c>
      <c r="H49" s="336" t="inlineStr">
        <is>
          <t>EXPENSES ($)</t>
        </is>
      </c>
      <c r="I49" s="306" t="n"/>
      <c r="J49" s="336" t="inlineStr">
        <is>
          <t>REMAINING ($)</t>
        </is>
      </c>
      <c r="K49" s="306" t="n"/>
      <c r="L49" s="336" t="inlineStr">
        <is>
          <t>% SPENT</t>
        </is>
      </c>
      <c r="M49" s="306" t="n"/>
    </row>
    <row r="50" ht="19.95" customHeight="1" s="295">
      <c r="B50" s="335">
        <f>'Capital &amp; Ownership'!B6</f>
        <v/>
      </c>
      <c r="C50" s="306" t="n"/>
      <c r="D50" s="323">
        <f>'Capital &amp; Ownership'!C6</f>
        <v/>
      </c>
      <c r="E50" s="306" t="n"/>
      <c r="F50" s="330">
        <f>'Capital &amp; Ownership'!D6</f>
        <v/>
      </c>
      <c r="G50" s="314" t="inlineStr">
        <is>
          <t>50% — Managing Partner</t>
        </is>
      </c>
      <c r="H50" s="330">
        <f>'Capital &amp; Ownership'!E6</f>
        <v/>
      </c>
      <c r="I50" s="306" t="n"/>
      <c r="J50" s="330">
        <f>'Capital &amp; Ownership'!F6</f>
        <v/>
      </c>
      <c r="K50" s="306" t="n"/>
      <c r="L50" s="323">
        <f>IFERROR('Capital &amp; Ownership'!E6/'Capital &amp; Ownership'!D6,0)</f>
        <v/>
      </c>
      <c r="M50" s="306" t="n"/>
    </row>
    <row r="51" ht="19.95" customHeight="1" s="295">
      <c r="B51" s="337">
        <f>'Capital &amp; Ownership'!B7</f>
        <v/>
      </c>
      <c r="C51" s="306" t="n"/>
      <c r="D51" s="339">
        <f>'Capital &amp; Ownership'!C7</f>
        <v/>
      </c>
      <c r="E51" s="306" t="n"/>
      <c r="F51" s="357">
        <f>'Capital &amp; Ownership'!D7</f>
        <v/>
      </c>
      <c r="G51" s="26" t="inlineStr">
        <is>
          <t>30% — Partner</t>
        </is>
      </c>
      <c r="H51" s="357">
        <f>'Capital &amp; Ownership'!E7</f>
        <v/>
      </c>
      <c r="I51" s="306" t="n"/>
      <c r="J51" s="357">
        <f>'Capital &amp; Ownership'!F7</f>
        <v/>
      </c>
      <c r="K51" s="306" t="n"/>
      <c r="L51" s="339">
        <f>IFERROR('Capital &amp; Ownership'!E7/'Capital &amp; Ownership'!D7,0)</f>
        <v/>
      </c>
      <c r="M51" s="306" t="n"/>
    </row>
    <row r="52" ht="19.95" customHeight="1" s="295">
      <c r="B52" s="335">
        <f>'Capital &amp; Ownership'!B8</f>
        <v/>
      </c>
      <c r="C52" s="306" t="n"/>
      <c r="D52" s="323">
        <f>'Capital &amp; Ownership'!C8</f>
        <v/>
      </c>
      <c r="E52" s="306" t="n"/>
      <c r="F52" s="330">
        <f>'Capital &amp; Ownership'!D8</f>
        <v/>
      </c>
      <c r="G52" s="314" t="inlineStr">
        <is>
          <t>20% — Partner</t>
        </is>
      </c>
      <c r="H52" s="330">
        <f>'Capital &amp; Ownership'!E8</f>
        <v/>
      </c>
      <c r="I52" s="306" t="n"/>
      <c r="J52" s="330">
        <f>'Capital &amp; Ownership'!F8</f>
        <v/>
      </c>
      <c r="K52" s="306" t="n"/>
      <c r="L52" s="323">
        <f>IFERROR('Capital &amp; Ownership'!E8/'Capital &amp; Ownership'!D8,0)</f>
        <v/>
      </c>
      <c r="M52" s="306" t="n"/>
    </row>
    <row r="53" ht="22.05" customHeight="1" s="295">
      <c r="B53" s="347" t="inlineStr">
        <is>
          <t>TOTAL</t>
        </is>
      </c>
      <c r="C53" s="306" t="n"/>
      <c r="D53" s="321">
        <f>'Capital &amp; Ownership'!C9</f>
        <v/>
      </c>
      <c r="E53" s="306" t="n"/>
      <c r="F53" s="305">
        <f>'Capital &amp; Ownership'!D9</f>
        <v/>
      </c>
      <c r="G53" s="336" t="n"/>
      <c r="H53" s="305">
        <f>'Capital &amp; Ownership'!E9</f>
        <v/>
      </c>
      <c r="I53" s="306" t="n"/>
      <c r="J53" s="305">
        <f>'Capital &amp; Ownership'!F9</f>
        <v/>
      </c>
      <c r="K53" s="306" t="n"/>
      <c r="L53" s="321">
        <f>IFERROR('Capital &amp; Ownership'!E9/'Capital &amp; Ownership'!D9,0)</f>
        <v/>
      </c>
      <c r="M53" s="306" t="n"/>
    </row>
    <row r="54" ht="7.95" customHeight="1" s="295"/>
    <row r="55" ht="22.05" customHeight="1" s="295">
      <c r="B55" s="358" t="inlineStr">
        <is>
          <t xml:space="preserve">  🧾  PRE-OPENING EXPENSES BREAKDOWN</t>
        </is>
      </c>
    </row>
    <row r="56" ht="19.95" customHeight="1" s="295">
      <c r="B56" s="336" t="inlineStr">
        <is>
          <t>EXPENSE ITEM</t>
        </is>
      </c>
      <c r="C56" s="310" t="n"/>
      <c r="D56" s="306" t="n"/>
      <c r="E56" s="336" t="inlineStr">
        <is>
          <t>PAID BY</t>
        </is>
      </c>
      <c r="F56" s="306" t="n"/>
      <c r="G56" s="336" t="inlineStr">
        <is>
          <t>AMOUNT ($)</t>
        </is>
      </c>
      <c r="H56" s="306" t="n"/>
      <c r="I56" s="336" t="inlineStr">
        <is>
          <t>CATEGORY</t>
        </is>
      </c>
      <c r="J56" s="306" t="n"/>
      <c r="K56" s="336" t="inlineStr">
        <is>
          <t>STATUS</t>
        </is>
      </c>
      <c r="L56" s="306" t="n"/>
    </row>
    <row r="57" ht="19.95" customHeight="1" s="295">
      <c r="B57" s="319">
        <f>'Capital &amp; Ownership'!B13</f>
        <v/>
      </c>
      <c r="C57" s="310" t="n"/>
      <c r="D57" s="306" t="n"/>
      <c r="E57" s="342" t="inlineStr">
        <is>
          <t>All Partners</t>
        </is>
      </c>
      <c r="F57" s="306" t="n"/>
      <c r="G57" s="327">
        <f>'Capital &amp; Ownership'!D13</f>
        <v/>
      </c>
      <c r="H57" s="306" t="n"/>
      <c r="I57" s="342" t="inlineStr">
        <is>
          <t>Acquisition</t>
        </is>
      </c>
      <c r="J57" s="306" t="n"/>
      <c r="K57" s="342" t="inlineStr">
        <is>
          <t>⚠️ Not Fully Paid</t>
        </is>
      </c>
      <c r="L57" s="306" t="n"/>
    </row>
    <row r="58" ht="19.95" customHeight="1" s="295">
      <c r="B58" s="309">
        <f>'Capital &amp; Ownership'!B14</f>
        <v/>
      </c>
      <c r="C58" s="310" t="n"/>
      <c r="D58" s="306" t="n"/>
      <c r="E58" s="331" t="inlineStr">
        <is>
          <t>Lohith Reddy</t>
        </is>
      </c>
      <c r="F58" s="306" t="n"/>
      <c r="G58" s="333">
        <f>'Capital &amp; Ownership'!D14</f>
        <v/>
      </c>
      <c r="H58" s="306" t="n"/>
      <c r="I58" s="331" t="inlineStr">
        <is>
          <t>Acquisition Advance</t>
        </is>
      </c>
      <c r="J58" s="306" t="n"/>
      <c r="K58" s="331" t="inlineStr">
        <is>
          <t>✅ Paid</t>
        </is>
      </c>
      <c r="L58" s="306" t="n"/>
    </row>
    <row r="59" ht="19.95" customHeight="1" s="295">
      <c r="B59" s="309">
        <f>'Capital &amp; Ownership'!B31</f>
        <v/>
      </c>
      <c r="C59" s="310" t="n"/>
      <c r="D59" s="306" t="n"/>
      <c r="E59" s="331" t="inlineStr">
        <is>
          <t>Kashigoud Patil</t>
        </is>
      </c>
      <c r="F59" s="306" t="n"/>
      <c r="G59" s="333">
        <f>'Capital &amp; Ownership'!D31</f>
        <v/>
      </c>
      <c r="H59" s="306" t="n"/>
      <c r="I59" s="331" t="inlineStr">
        <is>
          <t>Software / License</t>
        </is>
      </c>
      <c r="J59" s="306" t="n"/>
      <c r="K59" s="331" t="inlineStr">
        <is>
          <t>✅ Paid</t>
        </is>
      </c>
      <c r="L59" s="306" t="n"/>
    </row>
    <row r="60" ht="19.95" customHeight="1" s="295">
      <c r="B60" s="309">
        <f>'Capital &amp; Ownership'!B32</f>
        <v/>
      </c>
      <c r="C60" s="310" t="n"/>
      <c r="D60" s="306" t="n"/>
      <c r="E60" s="331" t="inlineStr">
        <is>
          <t>Kashigoud Patil</t>
        </is>
      </c>
      <c r="F60" s="306" t="n"/>
      <c r="G60" s="333">
        <f>'Capital &amp; Ownership'!D32</f>
        <v/>
      </c>
      <c r="H60" s="306" t="n"/>
      <c r="I60" s="331" t="inlineStr">
        <is>
          <t>Equipment</t>
        </is>
      </c>
      <c r="J60" s="306" t="n"/>
      <c r="K60" s="331" t="inlineStr">
        <is>
          <t>✅ Paid</t>
        </is>
      </c>
      <c r="L60" s="306" t="n"/>
    </row>
    <row r="61" ht="19.95" customHeight="1" s="295">
      <c r="B61" s="335">
        <f>'Capital &amp; Ownership'!B43</f>
        <v/>
      </c>
      <c r="C61" s="310" t="n"/>
      <c r="D61" s="306" t="n"/>
      <c r="E61" s="314" t="inlineStr">
        <is>
          <t>Lohith Reddy</t>
        </is>
      </c>
      <c r="F61" s="306" t="n"/>
      <c r="G61" s="330">
        <f>'Capital &amp; Ownership'!D43</f>
        <v/>
      </c>
      <c r="H61" s="306" t="n"/>
      <c r="I61" s="314" t="inlineStr">
        <is>
          <t>Legal / Notary</t>
        </is>
      </c>
      <c r="J61" s="306" t="n"/>
      <c r="K61" s="314" t="inlineStr">
        <is>
          <t>✅ Paid</t>
        </is>
      </c>
      <c r="L61" s="306" t="n"/>
    </row>
    <row r="62" ht="19.95" customHeight="1" s="295">
      <c r="B62" s="335">
        <f>'Capital &amp; Ownership'!B44</f>
        <v/>
      </c>
      <c r="C62" s="310" t="n"/>
      <c r="D62" s="306" t="n"/>
      <c r="E62" s="314" t="inlineStr">
        <is>
          <t>Lohith Reddy</t>
        </is>
      </c>
      <c r="F62" s="306" t="n"/>
      <c r="G62" s="330">
        <f>'Capital &amp; Ownership'!D44</f>
        <v/>
      </c>
      <c r="H62" s="306" t="n"/>
      <c r="I62" s="314" t="inlineStr">
        <is>
          <t>Legal / Insurance</t>
        </is>
      </c>
      <c r="J62" s="306" t="n"/>
      <c r="K62" s="314" t="inlineStr">
        <is>
          <t>✅ Paid</t>
        </is>
      </c>
      <c r="L62" s="306" t="n"/>
    </row>
    <row r="63" ht="19.95" customHeight="1" s="295">
      <c r="B63" s="335">
        <f>'Capital &amp; Ownership'!B45</f>
        <v/>
      </c>
      <c r="C63" s="310" t="n"/>
      <c r="D63" s="306" t="n"/>
      <c r="E63" s="314" t="inlineStr">
        <is>
          <t>Lohith Reddy</t>
        </is>
      </c>
      <c r="F63" s="306" t="n"/>
      <c r="G63" s="330">
        <f>'Capital &amp; Ownership'!D45</f>
        <v/>
      </c>
      <c r="H63" s="306" t="n"/>
      <c r="I63" s="314" t="inlineStr">
        <is>
          <t>Professional Services</t>
        </is>
      </c>
      <c r="J63" s="306" t="n"/>
      <c r="K63" s="314" t="inlineStr">
        <is>
          <t>✅ Paid</t>
        </is>
      </c>
      <c r="L63" s="306" t="n"/>
    </row>
    <row r="64" ht="19.95" customHeight="1" s="295">
      <c r="B64" s="371" t="inlineStr">
        <is>
          <t xml:space="preserve">  ℹ️  Internal transfers:  Kashigoud → Lohith  $125,000  |  Shashirekha → Lohith  $100,000  (not counted as expenses — capital reallocation only)</t>
        </is>
      </c>
      <c r="C64" s="310" t="n"/>
      <c r="D64" s="310" t="n"/>
      <c r="E64" s="310" t="n"/>
      <c r="F64" s="310" t="n"/>
      <c r="G64" s="310" t="n"/>
      <c r="H64" s="310" t="n"/>
      <c r="I64" s="310" t="n"/>
      <c r="J64" s="310" t="n"/>
      <c r="K64" s="310" t="n"/>
      <c r="L64" s="310" t="n"/>
      <c r="M64" s="306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95" min="1" max="1"/>
    <col width="18" customWidth="1" style="295" min="2" max="2"/>
    <col width="16" customWidth="1" style="295" min="3" max="5"/>
    <col width="12" customWidth="1" style="295" min="6" max="6"/>
    <col width="14" customWidth="1" style="295" min="7" max="7"/>
    <col width="16" customWidth="1" style="295" min="8" max="9"/>
    <col width="12" customWidth="1" style="295" min="10" max="10"/>
    <col width="30" customWidth="1" style="295" min="11" max="11"/>
    <col width="16" customWidth="1" style="295" min="12" max="17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95">
      <c r="A2" s="365" t="inlineStr">
        <is>
          <t>📅  LOKA — DAILY LOG</t>
        </is>
      </c>
      <c r="I2" s="338" t="inlineStr">
        <is>
          <t>Enter 2 values from Soft App each day → everything else calculates</t>
        </is>
      </c>
    </row>
    <row r="3" ht="3.75" customHeight="1" s="295">
      <c r="A3" s="348" t="n"/>
    </row>
    <row r="4" ht="7.5" customHeight="1" s="295"/>
    <row r="5" ht="49.5" customHeight="1" s="295">
      <c r="B5" s="35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7" t="n"/>
      <c r="D5" s="297" t="n"/>
      <c r="E5" s="297" t="n"/>
      <c r="F5" s="297" t="n"/>
      <c r="G5" s="297" t="n"/>
      <c r="H5" s="297" t="n"/>
      <c r="I5" s="297" t="n"/>
      <c r="J5" s="297" t="n"/>
      <c r="K5" s="297" t="n"/>
      <c r="L5" s="297" t="n"/>
      <c r="M5" s="297" t="n"/>
      <c r="N5" s="297" t="n"/>
      <c r="O5" s="297" t="n"/>
      <c r="P5" s="297" t="n"/>
    </row>
    <row r="6" ht="7.5" customHeight="1" s="295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95">
      <c r="B7" s="307" t="inlineStr">
        <is>
          <t>Date</t>
        </is>
      </c>
      <c r="C7" s="307" t="inlineStr">
        <is>
          <t>Day</t>
        </is>
      </c>
      <c r="D7" s="307" t="inlineStr">
        <is>
          <t>Card / Mercado Pago ($)</t>
        </is>
      </c>
      <c r="E7" s="307" t="inlineStr">
        <is>
          <t>Cash ($)</t>
        </is>
      </c>
      <c r="F7" s="307" t="inlineStr">
        <is>
          <t>Total Revenue ($)</t>
        </is>
      </c>
      <c r="G7" s="307" t="inlineStr">
        <is>
          <t>Transfer ($)</t>
        </is>
      </c>
      <c r="H7" s="307" t="inlineStr">
        <is>
          <t>Expenses $</t>
        </is>
      </c>
      <c r="I7" s="307" t="inlineStr">
        <is>
          <t>Net Profit $</t>
        </is>
      </c>
      <c r="J7" s="307" t="inlineStr">
        <is>
          <t>Margin %</t>
        </is>
      </c>
      <c r="K7" s="307" t="inlineStr">
        <is>
          <t>Notes</t>
        </is>
      </c>
      <c r="L7" s="307" t="inlineStr">
        <is>
          <t>Source</t>
        </is>
      </c>
      <c r="M7" s="307" t="inlineStr">
        <is>
          <t>WEEK PROFIT</t>
        </is>
      </c>
      <c r="N7" s="307" t="inlineStr">
        <is>
          <t>CUMUL. REVENUE</t>
        </is>
      </c>
      <c r="O7" s="307" t="inlineStr">
        <is>
          <t>MONTH REVENUE</t>
        </is>
      </c>
      <c r="P7" s="307" t="inlineStr">
        <is>
          <t>Week Expenses</t>
        </is>
      </c>
      <c r="Q7" s="307" t="inlineStr">
        <is>
          <t>Week Profit</t>
        </is>
      </c>
    </row>
    <row r="8" ht="16.5" customHeight="1" s="295">
      <c r="B8" s="248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95">
      <c r="B9" s="248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95">
      <c r="B10" s="248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95">
      <c r="B11" s="248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95">
      <c r="B12" s="248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95">
      <c r="B13" s="248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95">
      <c r="B14" s="248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95">
      <c r="B15" s="248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95">
      <c r="B16" s="248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95">
      <c r="B17" s="248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95">
      <c r="B18" s="248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95">
      <c r="B19" s="248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95">
      <c r="B20" s="248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95">
      <c r="B21" s="248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95">
      <c r="B22" s="248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95">
      <c r="B23" s="248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95">
      <c r="B24" s="248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95">
      <c r="B25" s="248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95">
      <c r="B26" s="248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95">
      <c r="B27" s="248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95">
      <c r="B28" s="248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95">
      <c r="B29" s="248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95">
      <c r="B30" s="248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95">
      <c r="B31" s="248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95">
      <c r="B32" s="248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95">
      <c r="B33" s="248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95">
      <c r="B34" s="248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95">
      <c r="B35" s="248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95">
      <c r="B36" s="248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95">
      <c r="B37" s="248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95">
      <c r="B38" s="248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95">
      <c r="B39" s="248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95">
      <c r="B40" s="248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95">
      <c r="B41" s="391" t="n">
        <v>46193</v>
      </c>
      <c r="C41" s="392" t="inlineStr">
        <is>
          <t>Sat</t>
        </is>
      </c>
      <c r="D41" s="393" t="n">
        <v>1172</v>
      </c>
      <c r="E41" s="49" t="n">
        <v>1079</v>
      </c>
      <c r="F41" s="50">
        <f>IFERROR(D41+E41+G41,0)</f>
        <v/>
      </c>
      <c r="G41" s="394" t="n">
        <v>0</v>
      </c>
      <c r="H41" s="395">
        <f>SUMIFS('💸 Expenses'!$F$8:$F$500,'💸 Expenses'!$B$8:$B$500,"&gt;="&amp;B41,'💸 Expenses'!$B$8:$B$500,"&lt;"&amp;(B41+1))</f>
        <v/>
      </c>
      <c r="I41" s="396">
        <f>IFERROR(F41-H41,0)</f>
        <v/>
      </c>
      <c r="J41" s="397">
        <f>IFERROR(I41/F41,0)</f>
        <v/>
      </c>
      <c r="K41" s="390" t="n"/>
      <c r="L41" s="398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95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95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95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95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95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95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95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95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95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95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95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95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95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95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95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95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95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95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95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95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95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95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95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95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95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95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95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95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95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95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95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95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95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95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95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95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95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95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95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95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95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95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95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95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95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95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95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95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95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95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95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95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95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95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95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95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95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95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95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95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95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95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95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95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95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95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95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95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95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95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95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95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95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95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95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95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95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95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95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95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95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95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95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95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95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95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95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95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95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95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95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95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95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95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95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95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95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95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95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95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95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95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95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95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95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95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95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95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95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95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95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95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95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95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95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95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95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95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95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95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95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95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95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95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95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95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95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95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95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95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95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95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95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95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95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95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95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95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95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95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95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95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95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95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95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95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95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95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95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95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95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95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95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95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95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95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95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95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95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95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95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95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95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95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95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95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95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95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95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95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95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95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95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95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95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95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95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95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95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95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95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95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95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95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95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95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95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95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95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95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95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95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95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95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95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95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95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95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95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95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95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95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95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95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95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95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95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95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95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95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95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95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95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95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95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95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95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95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95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95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95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95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95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95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95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95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95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95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95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95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95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95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95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95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95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95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95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95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95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95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95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95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95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95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95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95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95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95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95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95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95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95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95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95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95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95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95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95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95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95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95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95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95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95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95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95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95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95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95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95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95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95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95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95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95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95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95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95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95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95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95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95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95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95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95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95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95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95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95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95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95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95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95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95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95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95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95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95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95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95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95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95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95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95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95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95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95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95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95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95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95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95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95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95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95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95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95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95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95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95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95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95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95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95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95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95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95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95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95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95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95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4" customWidth="1" style="295" min="3" max="3"/>
    <col width="22" customWidth="1" style="295" min="4" max="4"/>
    <col width="19.77734375" customWidth="1" style="295" min="5" max="5"/>
    <col width="16" customWidth="1" style="295" min="6" max="6"/>
    <col width="14" customWidth="1" style="295" min="7" max="7"/>
    <col width="16" customWidth="1" style="295" min="8" max="8"/>
    <col width="18" customWidth="1" style="295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95">
      <c r="A2" s="365" t="inlineStr">
        <is>
          <t>💸  LOKA — EXPENSES TRACKER</t>
        </is>
      </c>
      <c r="E2" s="338" t="inlineStr">
        <is>
          <t>Log every cost: ingredients, staff, utilities, supplies…</t>
        </is>
      </c>
    </row>
    <row r="3">
      <c r="A3" s="348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95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95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95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95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95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95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95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95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95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95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92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92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92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92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382" t="n">
        <v>46193</v>
      </c>
      <c r="C295" s="383" t="inlineStr">
        <is>
          <t>Aceite La Posada 800 (x2)</t>
        </is>
      </c>
      <c r="D295" s="384" t="inlineStr">
        <is>
          <t>OXXO</t>
        </is>
      </c>
      <c r="E295" s="383" t="inlineStr">
        <is>
          <t>Ingredients - Pantry</t>
        </is>
      </c>
      <c r="F295" s="67" t="n">
        <v>312</v>
      </c>
      <c r="G295" s="385" t="inlineStr">
        <is>
          <t>Restaurant</t>
        </is>
      </c>
      <c r="H295" s="385" t="inlineStr">
        <is>
          <t>Card</t>
        </is>
      </c>
      <c r="I295" s="386" t="inlineStr">
        <is>
          <t>✅ Paid</t>
        </is>
      </c>
      <c r="J295" t="inlineStr">
        <is>
          <t>Débito **3982 · Folio 178400</t>
        </is>
      </c>
    </row>
    <row r="296">
      <c r="B296" s="382" t="n">
        <v>46193</v>
      </c>
      <c r="C296" s="387" t="inlineStr">
        <is>
          <t>Queso Gouda Menona 2.01 kg @ $135</t>
        </is>
      </c>
      <c r="D296" s="388" t="inlineStr">
        <is>
          <t>La Bodega del Buen Queso</t>
        </is>
      </c>
      <c r="E296" s="387" t="inlineStr">
        <is>
          <t>Ingredients - Dairy</t>
        </is>
      </c>
      <c r="F296" s="70" t="n">
        <v>271.35</v>
      </c>
      <c r="G296" s="389" t="inlineStr">
        <is>
          <t>Restaurant</t>
        </is>
      </c>
      <c r="H296" s="389" t="inlineStr">
        <is>
          <t>Cash</t>
        </is>
      </c>
      <c r="I296" s="390" t="inlineStr">
        <is>
          <t>✅ Paid</t>
        </is>
      </c>
      <c r="J296" t="inlineStr">
        <is>
          <t>Nota 0032364 (Oh lele)</t>
        </is>
      </c>
    </row>
    <row r="297">
      <c r="B297" s="382" t="n">
        <v>46193</v>
      </c>
      <c r="C297" s="383" t="inlineStr">
        <is>
          <t>Arrachera (beef)</t>
        </is>
      </c>
      <c r="D297" s="384" t="inlineStr">
        <is>
          <t>Miscelánea LC La Cruz</t>
        </is>
      </c>
      <c r="E297" s="383" t="inlineStr">
        <is>
          <t>Ingredients - Meat</t>
        </is>
      </c>
      <c r="F297" s="67" t="n">
        <v>474</v>
      </c>
      <c r="G297" s="385" t="inlineStr">
        <is>
          <t>Restaurant</t>
        </is>
      </c>
      <c r="H297" s="385" t="inlineStr">
        <is>
          <t>Card</t>
        </is>
      </c>
      <c r="I297" s="386" t="inlineStr">
        <is>
          <t>✅ Paid</t>
        </is>
      </c>
      <c r="J297" t="inlineStr">
        <is>
          <t>Getnet **3982 · Aut 941892</t>
        </is>
      </c>
    </row>
    <row r="298">
      <c r="B298" s="382" t="n">
        <v>46193</v>
      </c>
      <c r="C298" s="387" t="inlineStr">
        <is>
          <t>Salsa BBQ 3.8L + Pan hamburguesa x12 + Pan arándano x4</t>
        </is>
      </c>
      <c r="D298" s="388" t="inlineStr">
        <is>
          <t>REAL La Cruz</t>
        </is>
      </c>
      <c r="E298" s="387" t="inlineStr">
        <is>
          <t>Ingredients - Bread</t>
        </is>
      </c>
      <c r="F298" s="70" t="n">
        <v>544</v>
      </c>
      <c r="G298" s="389" t="inlineStr">
        <is>
          <t>Restaurant</t>
        </is>
      </c>
      <c r="H298" s="389" t="inlineStr">
        <is>
          <t>Card</t>
        </is>
      </c>
      <c r="I298" s="390" t="inlineStr">
        <is>
          <t>✅ Paid</t>
        </is>
      </c>
      <c r="J298" t="inlineStr">
        <is>
          <t>Folio 4323 · less $6 desc</t>
        </is>
      </c>
    </row>
    <row r="299">
      <c r="B299" s="382" t="n">
        <v>46193</v>
      </c>
      <c r="C299" s="383" t="inlineStr">
        <is>
          <t>Hamburguesa Vegetal + Eggo Waffles</t>
        </is>
      </c>
      <c r="D299" s="384" t="inlineStr">
        <is>
          <t>Costco Querétaro</t>
        </is>
      </c>
      <c r="E299" s="383" t="inlineStr">
        <is>
          <t>Supermarket / General</t>
        </is>
      </c>
      <c r="F299" s="67" t="n">
        <v>566.73</v>
      </c>
      <c r="G299" s="385" t="inlineStr">
        <is>
          <t>Restaurant</t>
        </is>
      </c>
      <c r="H299" s="385" t="inlineStr">
        <is>
          <t>Card</t>
        </is>
      </c>
      <c r="I299" s="386" t="inlineStr">
        <is>
          <t>✅ Paid</t>
        </is>
      </c>
      <c r="J299" t="inlineStr">
        <is>
          <t>Amex **1000 · Ticket 5774</t>
        </is>
      </c>
    </row>
    <row r="300">
      <c r="B300" s="382" t="n">
        <v>46193</v>
      </c>
      <c r="C300" s="387" t="inlineStr">
        <is>
          <t>Tortillas Blanca 4.980 kg</t>
        </is>
      </c>
      <c r="D300" s="388" t="inlineStr">
        <is>
          <t>Chedraui Paseo</t>
        </is>
      </c>
      <c r="E300" s="387" t="inlineStr">
        <is>
          <t>Ingredients - Bread</t>
        </is>
      </c>
      <c r="F300" s="70" t="n">
        <v>66.73</v>
      </c>
      <c r="G300" s="389" t="inlineStr">
        <is>
          <t>Restaurant</t>
        </is>
      </c>
      <c r="H300" s="389" t="inlineStr">
        <is>
          <t>Card</t>
        </is>
      </c>
      <c r="I300" s="390" t="inlineStr">
        <is>
          <t>✅ Paid</t>
        </is>
      </c>
      <c r="J300" t="inlineStr">
        <is>
          <t>Crédito BBVA **2684 · Folio 0011</t>
        </is>
      </c>
    </row>
    <row r="301">
      <c r="B301" s="382" t="n">
        <v>46193</v>
      </c>
      <c r="C301" s="383" t="inlineStr">
        <is>
          <t>Vegetables</t>
        </is>
      </c>
      <c r="D301" s="384" t="inlineStr">
        <is>
          <t>Local purchase</t>
        </is>
      </c>
      <c r="E301" s="383" t="inlineStr">
        <is>
          <t>Ingredients - Vegetables</t>
        </is>
      </c>
      <c r="F301" s="67" t="n">
        <v>51</v>
      </c>
      <c r="G301" s="385" t="inlineStr">
        <is>
          <t>Restaurant</t>
        </is>
      </c>
      <c r="H301" s="385" t="inlineStr">
        <is>
          <t>Cash</t>
        </is>
      </c>
      <c r="I301" s="386" t="inlineStr">
        <is>
          <t>✅ Paid</t>
        </is>
      </c>
      <c r="J301" t="inlineStr">
        <is>
          <t>No receipt</t>
        </is>
      </c>
    </row>
    <row r="302">
      <c r="B302" s="382" t="n">
        <v>46193</v>
      </c>
      <c r="C302" s="387" t="inlineStr">
        <is>
          <t>Samu — Ayudante Week 5 (incl. $400 mesero top-up)</t>
        </is>
      </c>
      <c r="D302" s="388" t="inlineStr">
        <is>
          <t>Payroll</t>
        </is>
      </c>
      <c r="E302" s="387" t="inlineStr">
        <is>
          <t>Staff - Salary</t>
        </is>
      </c>
      <c r="F302" s="70" t="n">
        <v>1200</v>
      </c>
      <c r="G302" s="389" t="inlineStr">
        <is>
          <t>Restaurant</t>
        </is>
      </c>
      <c r="H302" s="389" t="inlineStr">
        <is>
          <t>Cash</t>
        </is>
      </c>
      <c r="I302" s="390" t="inlineStr">
        <is>
          <t>✅ Paid</t>
        </is>
      </c>
      <c r="J302" t="inlineStr">
        <is>
          <t>$800 base + $400 covering mesero (no mesero hired)</t>
        </is>
      </c>
    </row>
    <row r="303">
      <c r="B303" s="382" t="n">
        <v>46193</v>
      </c>
      <c r="C303" s="383" t="inlineStr">
        <is>
          <t>Duvi/Debi — Limpieza Week 5</t>
        </is>
      </c>
      <c r="D303" s="384" t="inlineStr">
        <is>
          <t>Payroll</t>
        </is>
      </c>
      <c r="E303" s="383" t="inlineStr">
        <is>
          <t>Staff - Salary</t>
        </is>
      </c>
      <c r="F303" s="67" t="n">
        <v>1500</v>
      </c>
      <c r="G303" s="385" t="inlineStr">
        <is>
          <t>Restaurant</t>
        </is>
      </c>
      <c r="H303" s="385" t="inlineStr">
        <is>
          <t>Cash</t>
        </is>
      </c>
      <c r="I303" s="386" t="inlineStr">
        <is>
          <t>✅ Paid</t>
        </is>
      </c>
      <c r="J303" t="inlineStr">
        <is>
          <t>Weekly wage</t>
        </is>
      </c>
    </row>
    <row r="304">
      <c r="B304" s="382" t="n">
        <v>46193</v>
      </c>
      <c r="C304" s="387" t="inlineStr">
        <is>
          <t>John — Head Chef Week 5 (full week)</t>
        </is>
      </c>
      <c r="D304" s="388" t="inlineStr">
        <is>
          <t>Payroll</t>
        </is>
      </c>
      <c r="E304" s="387" t="inlineStr">
        <is>
          <t>Staff - Salary</t>
        </is>
      </c>
      <c r="F304" s="70" t="n">
        <v>3750</v>
      </c>
      <c r="G304" s="389" t="inlineStr">
        <is>
          <t>Restaurant</t>
        </is>
      </c>
      <c r="H304" s="389" t="inlineStr">
        <is>
          <t>Cash</t>
        </is>
      </c>
      <c r="I304" s="390" t="inlineStr">
        <is>
          <t>✅ Paid</t>
        </is>
      </c>
      <c r="J304" t="inlineStr">
        <is>
          <t>Weekly wage</t>
        </is>
      </c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95" min="1" max="1"/>
    <col width="26" customWidth="1" style="295" min="2" max="2"/>
    <col width="16" customWidth="1" style="295" min="3" max="3"/>
    <col width="10" customWidth="1" style="295" min="4" max="4"/>
    <col width="14" customWidth="1" style="295" min="5" max="5"/>
    <col width="12" customWidth="1" style="295" min="6" max="7"/>
    <col width="14" customWidth="1" style="295" min="8" max="8"/>
    <col width="16" customWidth="1" style="295" min="9" max="9"/>
    <col width="20" customWidth="1" style="295" min="10" max="10"/>
    <col width="18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📦  LOKA — INVENTORY</t>
        </is>
      </c>
      <c r="F2" s="338" t="inlineStr">
        <is>
          <t>Update stock levels when you receive deliveries or do stock checks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95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95"/>
    <row r="8" ht="19.5" customHeight="1" s="295">
      <c r="B8" s="374" t="inlineStr">
        <is>
          <t>Item Name  |  Category  |  Unit  |  Min Stock  |  Current Stock  |  Last Ordered  |  Supplier  |  Status  |  Notes</t>
        </is>
      </c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inlineStr">
        <is>
          <t>Carne de Res</t>
        </is>
      </c>
      <c r="C9" s="307" t="inlineStr">
        <is>
          <t>Ingredients - Meat</t>
        </is>
      </c>
      <c r="D9" s="307" t="inlineStr">
        <is>
          <t>kg</t>
        </is>
      </c>
      <c r="E9" s="307" t="n">
        <v>0</v>
      </c>
      <c r="F9" s="307" t="n"/>
      <c r="G9" s="307" t="n"/>
      <c r="H9" s="307" t="n"/>
      <c r="I9" s="307" t="n"/>
      <c r="J9" s="307">
        <f>IF(ISBLANK(F9),"—",IF(F9=0,"🚫 OUT OF STOCK",IF(F9&lt;=E9,"⚠️ LOW STOCK","✅ OK")))</f>
        <v/>
      </c>
      <c r="K9" s="307" t="n"/>
    </row>
    <row r="10" ht="15.75" customHeight="1" s="295">
      <c r="B10" s="83" t="inlineStr">
        <is>
          <t>Jamon Mexicano</t>
        </is>
      </c>
      <c r="C10" s="326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95">
      <c r="B11" s="90" t="inlineStr">
        <is>
          <t>Pollo</t>
        </is>
      </c>
      <c r="C11" s="311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95">
      <c r="B12" s="83" t="inlineStr">
        <is>
          <t>Chuletas de Carne</t>
        </is>
      </c>
      <c r="C12" s="326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95">
      <c r="B13" s="90" t="inlineStr">
        <is>
          <t>Costillas de Cerdo</t>
        </is>
      </c>
      <c r="C13" s="311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95">
      <c r="B14" s="83" t="inlineStr">
        <is>
          <t>Salmon</t>
        </is>
      </c>
      <c r="C14" s="326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95">
      <c r="B15" s="90" t="inlineStr">
        <is>
          <t>Filete de Mojarra</t>
        </is>
      </c>
      <c r="C15" s="311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95">
      <c r="B16" s="83" t="inlineStr">
        <is>
          <t>Papas</t>
        </is>
      </c>
      <c r="C16" s="326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95">
      <c r="B17" s="90" t="inlineStr">
        <is>
          <t>Lechuga</t>
        </is>
      </c>
      <c r="C17" s="311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95">
      <c r="B18" s="83" t="inlineStr">
        <is>
          <t>Jitomate</t>
        </is>
      </c>
      <c r="C18" s="326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95">
      <c r="B19" s="90" t="inlineStr">
        <is>
          <t>Cilantro</t>
        </is>
      </c>
      <c r="C19" s="311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95">
      <c r="B20" s="83" t="inlineStr">
        <is>
          <t>Italiana</t>
        </is>
      </c>
      <c r="C20" s="326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95">
      <c r="B21" s="90" t="inlineStr">
        <is>
          <t>Habanero</t>
        </is>
      </c>
      <c r="C21" s="311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95">
      <c r="B22" s="83" t="inlineStr">
        <is>
          <t>Pepino</t>
        </is>
      </c>
      <c r="C22" s="326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95">
      <c r="B23" s="90" t="inlineStr">
        <is>
          <t>Betabel</t>
        </is>
      </c>
      <c r="C23" s="311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95">
      <c r="B24" s="83" t="inlineStr">
        <is>
          <t>Pimiento Morron</t>
        </is>
      </c>
      <c r="C24" s="326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95">
      <c r="B25" s="90" t="inlineStr">
        <is>
          <t>Verduras variadas</t>
        </is>
      </c>
      <c r="C25" s="311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95">
      <c r="B26" s="83" t="inlineStr">
        <is>
          <t>Naranja de Jugo</t>
        </is>
      </c>
      <c r="C26" s="326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95">
      <c r="B27" s="90" t="inlineStr">
        <is>
          <t>Mango</t>
        </is>
      </c>
      <c r="C27" s="311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95">
      <c r="B28" s="83" t="inlineStr">
        <is>
          <t>Sandia</t>
        </is>
      </c>
      <c r="C28" s="326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95">
      <c r="B29" s="90" t="inlineStr">
        <is>
          <t>Guayabas</t>
        </is>
      </c>
      <c r="C29" s="311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95">
      <c r="B30" s="83" t="inlineStr">
        <is>
          <t>Jicamas</t>
        </is>
      </c>
      <c r="C30" s="326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95">
      <c r="B31" s="90" t="inlineStr">
        <is>
          <t>Pinas</t>
        </is>
      </c>
      <c r="C31" s="311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95">
      <c r="B32" s="83" t="inlineStr">
        <is>
          <t>Melon</t>
        </is>
      </c>
      <c r="C32" s="326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95">
      <c r="B33" s="90" t="inlineStr">
        <is>
          <t>Frutas variadas</t>
        </is>
      </c>
      <c r="C33" s="311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95">
      <c r="B34" s="83" t="inlineStr">
        <is>
          <t>Queso Gouda</t>
        </is>
      </c>
      <c r="C34" s="326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95">
      <c r="B35" s="90" t="inlineStr">
        <is>
          <t>Queso Crema (Lala)</t>
        </is>
      </c>
      <c r="C35" s="311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95">
      <c r="B36" s="83" t="inlineStr">
        <is>
          <t>Crema</t>
        </is>
      </c>
      <c r="C36" s="326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95">
      <c r="B37" s="90" t="inlineStr">
        <is>
          <t>Leche (Nutralat)</t>
        </is>
      </c>
      <c r="C37" s="311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95">
      <c r="B38" s="83" t="inlineStr">
        <is>
          <t>Leche Deslactosada</t>
        </is>
      </c>
      <c r="C38" s="326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95">
      <c r="B39" s="90" t="inlineStr">
        <is>
          <t>Arroz</t>
        </is>
      </c>
      <c r="C39" s="311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95">
      <c r="B40" s="83" t="inlineStr">
        <is>
          <t>Tortillas</t>
        </is>
      </c>
      <c r="C40" s="326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95">
      <c r="B41" s="90" t="inlineStr">
        <is>
          <t>Pasta</t>
        </is>
      </c>
      <c r="C41" s="311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95">
      <c r="B42" s="83" t="inlineStr">
        <is>
          <t>Aceite Vegetal</t>
        </is>
      </c>
      <c r="C42" s="326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95">
      <c r="B43" s="90" t="inlineStr">
        <is>
          <t>Azucar</t>
        </is>
      </c>
      <c r="C43" s="311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95">
      <c r="B44" s="83" t="inlineStr">
        <is>
          <t>Basicos (Varios)</t>
        </is>
      </c>
      <c r="C44" s="326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95">
      <c r="B45" s="90" t="inlineStr">
        <is>
          <t>Pan Hamburguesa</t>
        </is>
      </c>
      <c r="C45" s="311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95">
      <c r="B46" s="83" t="inlineStr">
        <is>
          <t>Pan de Caja Arandano</t>
        </is>
      </c>
      <c r="C46" s="326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95">
      <c r="B47" s="90" t="inlineStr">
        <is>
          <t>Panko</t>
        </is>
      </c>
      <c r="C47" s="311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95">
      <c r="B48" s="83" t="inlineStr">
        <is>
          <t>Bolillo</t>
        </is>
      </c>
      <c r="C48" s="326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95">
      <c r="B49" s="90" t="inlineStr">
        <is>
          <t>Rosca de Nuez</t>
        </is>
      </c>
      <c r="C49" s="311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95">
      <c r="B50" s="83" t="inlineStr">
        <is>
          <t>Limonada Concentrado</t>
        </is>
      </c>
      <c r="C50" s="326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95">
      <c r="B51" s="90" t="inlineStr">
        <is>
          <t>Naranjada Concentrado</t>
        </is>
      </c>
      <c r="C51" s="311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95">
      <c r="B52" s="83" t="inlineStr">
        <is>
          <t>Tamarindo Concentrado</t>
        </is>
      </c>
      <c r="C52" s="326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95">
      <c r="B53" s="90" t="inlineStr">
        <is>
          <t>Tilapia</t>
        </is>
      </c>
      <c r="C53" s="311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95">
      <c r="B54" s="83" t="inlineStr">
        <is>
          <t>Chapata</t>
        </is>
      </c>
      <c r="C54" s="326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95">
      <c r="B55" s="90" t="inlineStr">
        <is>
          <t>Bistek de Puerco</t>
        </is>
      </c>
      <c r="C55" s="311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95">
      <c r="B56" s="83" t="inlineStr">
        <is>
          <t>Sal Fina</t>
        </is>
      </c>
      <c r="C56" s="326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95">
      <c r="B57" s="90" t="inlineStr">
        <is>
          <t>Coca Cola</t>
        </is>
      </c>
      <c r="C57" s="311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95">
      <c r="B58" s="83" t="inlineStr">
        <is>
          <t>Leche Alpura</t>
        </is>
      </c>
      <c r="C58" s="326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95">
      <c r="B59" s="90" t="inlineStr">
        <is>
          <t>Crema Ácida</t>
        </is>
      </c>
      <c r="C59" s="311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95">
      <c r="B60" s="83" t="inlineStr">
        <is>
          <t>Salsa / Tomate Lata</t>
        </is>
      </c>
      <c r="C60" s="326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95">
      <c r="B61" s="90" t="inlineStr">
        <is>
          <t>Champiñones</t>
        </is>
      </c>
      <c r="C61" s="311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95">
      <c r="B62" s="83" t="inlineStr">
        <is>
          <t>Tocino</t>
        </is>
      </c>
      <c r="C62" s="326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95">
      <c r="B63" s="90" t="inlineStr">
        <is>
          <t>Bistec Cerdo</t>
        </is>
      </c>
      <c r="C63" s="311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95">
      <c r="B64" s="83" t="inlineStr">
        <is>
          <t>Pierna Cerdo</t>
        </is>
      </c>
      <c r="C64" s="326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95">
      <c r="B65" s="90" t="inlineStr">
        <is>
          <t>Muslo con Hueso</t>
        </is>
      </c>
      <c r="C65" s="311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95">
      <c r="B66" s="83" t="inlineStr">
        <is>
          <t>Elote en Lata</t>
        </is>
      </c>
      <c r="C66" s="326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95" thickBot="1">
      <c r="B67" s="90" t="inlineStr">
        <is>
          <t>Cebolla</t>
        </is>
      </c>
      <c r="C67" s="311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95" thickBot="1">
      <c r="B68" s="83" t="inlineStr">
        <is>
          <t>Queso Panela</t>
        </is>
      </c>
      <c r="C68" s="326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95" thickBot="1">
      <c r="B69" s="90" t="inlineStr">
        <is>
          <t>Microfibra / Limpieza</t>
        </is>
      </c>
      <c r="C69" s="311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95" thickBot="1">
      <c r="B70" s="83" t="inlineStr">
        <is>
          <t>Concha Chocolate</t>
        </is>
      </c>
      <c r="C70" s="326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95" thickBot="1">
      <c r="B71" s="90" t="inlineStr">
        <is>
          <t>Rosca Marmoleada</t>
        </is>
      </c>
      <c r="C71" s="311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95" thickBot="1">
      <c r="B72" s="83" t="inlineStr">
        <is>
          <t>Frijol Bayos</t>
        </is>
      </c>
      <c r="C72" s="326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95" thickBot="1">
      <c r="B73" s="90" t="inlineStr">
        <is>
          <t>Huevo Bachoco</t>
        </is>
      </c>
      <c r="C73" s="311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95" thickBot="1">
      <c r="B74" s="83" t="n"/>
      <c r="C74" s="326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95" thickBot="1">
      <c r="B75" s="90" t="n"/>
      <c r="C75" s="311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95" thickBot="1">
      <c r="B76" s="83" t="n"/>
      <c r="C76" s="326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95" thickBot="1">
      <c r="B77" s="90" t="n"/>
      <c r="C77" s="311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95" thickBot="1">
      <c r="B78" s="83" t="n"/>
      <c r="C78" s="326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95" thickBot="1">
      <c r="B79" s="90" t="n"/>
      <c r="C79" s="311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95" thickBot="1">
      <c r="B80" s="83" t="n"/>
      <c r="C80" s="326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95" thickBot="1">
      <c r="B81" s="90" t="n"/>
      <c r="C81" s="311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95" thickBot="1">
      <c r="B82" s="83" t="n"/>
      <c r="C82" s="326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95" thickBot="1">
      <c r="B83" s="90" t="n"/>
      <c r="C83" s="311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95" thickBot="1">
      <c r="B84" s="83" t="n"/>
      <c r="C84" s="326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95" thickBot="1">
      <c r="B85" s="90" t="n"/>
      <c r="C85" s="311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95" thickBot="1">
      <c r="B86" s="83" t="n"/>
      <c r="C86" s="326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95" thickBot="1">
      <c r="B87" s="90" t="n"/>
      <c r="C87" s="311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95" thickBot="1">
      <c r="B88" s="83" t="n"/>
      <c r="C88" s="326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95" thickBot="1">
      <c r="B89" s="90" t="n"/>
      <c r="C89" s="311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95" thickBot="1">
      <c r="B90" s="83" t="n"/>
      <c r="C90" s="326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95" thickBot="1">
      <c r="B91" s="90" t="n"/>
      <c r="C91" s="311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95" thickBot="1">
      <c r="B92" s="83" t="n"/>
      <c r="C92" s="326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95" thickBot="1">
      <c r="B93" s="90" t="n"/>
      <c r="C93" s="311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95" thickBot="1">
      <c r="B94" s="83" t="n"/>
      <c r="C94" s="326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95" thickBot="1">
      <c r="B95" s="90" t="n"/>
      <c r="C95" s="311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95" thickBot="1">
      <c r="B96" s="83" t="n"/>
      <c r="C96" s="326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95" thickBot="1">
      <c r="B97" s="90" t="n"/>
      <c r="C97" s="311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95" thickBot="1">
      <c r="B98" s="83" t="n"/>
      <c r="C98" s="326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95" thickBot="1">
      <c r="B99" s="90" t="n"/>
      <c r="C99" s="311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95" thickBot="1">
      <c r="B100" s="83" t="n"/>
      <c r="C100" s="326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95" thickBot="1">
      <c r="B101" s="90" t="n"/>
      <c r="C101" s="311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95" thickBot="1">
      <c r="B102" s="83" t="n"/>
      <c r="C102" s="326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95" thickBot="1">
      <c r="B103" s="90" t="n"/>
      <c r="C103" s="311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95" thickBot="1">
      <c r="B104" s="83" t="n"/>
      <c r="C104" s="326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95" thickBot="1">
      <c r="B105" s="90" t="n"/>
      <c r="C105" s="311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95" thickBot="1">
      <c r="B106" s="83" t="n"/>
      <c r="C106" s="326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95" thickBot="1">
      <c r="B107" s="90" t="n"/>
      <c r="C107" s="311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95" thickBot="1">
      <c r="B108" s="83" t="n"/>
      <c r="C108" s="326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95" thickBot="1">
      <c r="B109" s="90" t="n"/>
      <c r="C109" s="311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95" thickBot="1">
      <c r="B110" s="83" t="n"/>
      <c r="C110" s="326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95" thickBot="1">
      <c r="B111" s="90" t="n"/>
      <c r="C111" s="311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95" thickBot="1">
      <c r="B112" s="83" t="n"/>
      <c r="C112" s="326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95" thickBot="1">
      <c r="B113" s="90" t="n"/>
      <c r="C113" s="311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95" thickBot="1">
      <c r="B114" s="83" t="n"/>
      <c r="C114" s="326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95" thickBot="1">
      <c r="B115" s="90" t="n"/>
      <c r="C115" s="311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95" thickBot="1">
      <c r="B116" s="83" t="n"/>
      <c r="C116" s="326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95" thickBot="1">
      <c r="B117" s="90" t="n"/>
      <c r="C117" s="311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95" thickBot="1">
      <c r="B118" s="83" t="n"/>
      <c r="C118" s="326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95" thickBot="1">
      <c r="B119" s="90" t="n"/>
      <c r="C119" s="311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95" thickBot="1">
      <c r="B120" s="83" t="n"/>
      <c r="C120" s="326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95" thickBot="1">
      <c r="B121" s="90" t="n"/>
      <c r="C121" s="311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95" thickBot="1">
      <c r="B122" s="83" t="n"/>
      <c r="C122" s="326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95" thickBot="1">
      <c r="B123" s="90" t="n"/>
      <c r="C123" s="311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95" thickBot="1">
      <c r="B124" s="83" t="n"/>
      <c r="C124" s="326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95" thickBot="1">
      <c r="B125" s="90" t="n"/>
      <c r="C125" s="311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95" thickBot="1">
      <c r="B126" s="83" t="n"/>
      <c r="C126" s="326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95" thickBot="1">
      <c r="B127" s="90" t="n"/>
      <c r="C127" s="311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95" thickBot="1">
      <c r="B128" s="83" t="n"/>
      <c r="C128" s="326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95" thickBot="1">
      <c r="B129" s="90" t="n"/>
      <c r="C129" s="311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95" thickBot="1">
      <c r="B130" s="83" t="n"/>
      <c r="C130" s="326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95" thickBot="1">
      <c r="B131" s="90" t="n"/>
      <c r="C131" s="311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95" thickBot="1">
      <c r="B132" s="83" t="n"/>
      <c r="C132" s="326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95" thickBot="1">
      <c r="B133" s="90" t="n"/>
      <c r="C133" s="311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95" thickBot="1">
      <c r="B134" s="83" t="n"/>
      <c r="C134" s="326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95" thickBot="1">
      <c r="B135" s="90" t="n"/>
      <c r="C135" s="311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95" thickBot="1">
      <c r="B136" s="83" t="n"/>
      <c r="C136" s="326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95" thickBot="1">
      <c r="B137" s="90" t="n"/>
      <c r="C137" s="311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95" thickBot="1">
      <c r="B138" s="83" t="n"/>
      <c r="C138" s="326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95" thickBot="1">
      <c r="B139" s="90" t="n"/>
      <c r="C139" s="311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95" thickBot="1">
      <c r="B140" s="83" t="n"/>
      <c r="C140" s="326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95" thickBot="1">
      <c r="B141" s="90" t="n"/>
      <c r="C141" s="311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95" thickBot="1">
      <c r="B142" s="83" t="n"/>
      <c r="C142" s="326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95" thickBot="1">
      <c r="B143" s="90" t="n"/>
      <c r="C143" s="311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95" thickBot="1">
      <c r="B144" s="83" t="n"/>
      <c r="C144" s="326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95" thickBot="1">
      <c r="B145" s="90" t="n"/>
      <c r="C145" s="311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95" thickBot="1">
      <c r="B146" s="83" t="n"/>
      <c r="C146" s="326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95" thickBot="1">
      <c r="B147" s="90" t="n"/>
      <c r="C147" s="311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95" thickBot="1">
      <c r="B148" s="83" t="n"/>
      <c r="C148" s="326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95" thickBot="1">
      <c r="B149" s="90" t="n"/>
      <c r="C149" s="311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95" thickBot="1">
      <c r="B150" s="83" t="n"/>
      <c r="C150" s="326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95" thickBot="1">
      <c r="B151" s="90" t="n"/>
      <c r="C151" s="311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95" thickBot="1">
      <c r="B152" s="83" t="n"/>
      <c r="C152" s="326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95" thickBot="1">
      <c r="B153" s="90" t="n"/>
      <c r="C153" s="311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95" thickBot="1">
      <c r="B154" s="83" t="n"/>
      <c r="C154" s="326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95" thickBot="1">
      <c r="B155" s="90" t="n"/>
      <c r="C155" s="311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95" thickBot="1">
      <c r="B156" s="83" t="n"/>
      <c r="C156" s="326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95" thickBot="1">
      <c r="B157" s="90" t="n"/>
      <c r="C157" s="311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95" thickBot="1">
      <c r="B158" s="83" t="n"/>
      <c r="C158" s="326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95" thickBot="1">
      <c r="B159" s="90" t="n"/>
      <c r="C159" s="311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95" thickBot="1">
      <c r="B160" s="83" t="n"/>
      <c r="C160" s="326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95" thickBot="1">
      <c r="B161" s="90" t="n"/>
      <c r="C161" s="311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95" thickBot="1">
      <c r="B162" s="83" t="n"/>
      <c r="C162" s="326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95" thickBot="1">
      <c r="B163" s="90" t="n"/>
      <c r="C163" s="311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95" thickBot="1">
      <c r="B164" s="83" t="n"/>
      <c r="C164" s="326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95" thickBot="1">
      <c r="B165" s="90" t="n"/>
      <c r="C165" s="311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95" thickBot="1">
      <c r="B166" s="83" t="n"/>
      <c r="C166" s="326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95" thickBot="1">
      <c r="B167" s="90" t="n"/>
      <c r="C167" s="311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95" thickBot="1">
      <c r="B168" s="83" t="n"/>
      <c r="C168" s="326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95" thickBot="1">
      <c r="B169" s="90" t="n"/>
      <c r="C169" s="311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95" thickBot="1">
      <c r="B170" s="83" t="n"/>
      <c r="C170" s="326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95" thickBot="1">
      <c r="B171" s="90" t="n"/>
      <c r="C171" s="311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95" thickBot="1">
      <c r="B172" s="83" t="n"/>
      <c r="C172" s="326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95" thickBot="1">
      <c r="B173" s="90" t="n"/>
      <c r="C173" s="311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95" thickBot="1">
      <c r="B174" s="83" t="n"/>
      <c r="C174" s="326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95" thickBot="1">
      <c r="B175" s="90" t="n"/>
      <c r="C175" s="311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95" thickBot="1">
      <c r="B176" s="83" t="n"/>
      <c r="C176" s="326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95" thickBot="1">
      <c r="B177" s="90" t="n"/>
      <c r="C177" s="311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95" thickBot="1">
      <c r="B178" s="83" t="n"/>
      <c r="C178" s="326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95" thickBot="1">
      <c r="B179" s="90" t="n"/>
      <c r="C179" s="311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95" thickBot="1">
      <c r="B180" s="83" t="n"/>
      <c r="C180" s="326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95" thickBot="1">
      <c r="B181" s="90" t="n"/>
      <c r="C181" s="311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95" thickBot="1">
      <c r="B182" s="83" t="n"/>
      <c r="C182" s="326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95" thickBot="1">
      <c r="B183" s="90" t="n"/>
      <c r="C183" s="311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95" thickBot="1">
      <c r="B184" s="83" t="n"/>
      <c r="C184" s="326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95" thickBot="1">
      <c r="B185" s="90" t="n"/>
      <c r="C185" s="311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95" thickBot="1">
      <c r="B186" s="83" t="n"/>
      <c r="C186" s="326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95" thickBot="1">
      <c r="B187" s="90" t="n"/>
      <c r="C187" s="311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95" thickBot="1">
      <c r="B188" s="83" t="n"/>
      <c r="C188" s="326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95" thickBot="1">
      <c r="B189" s="90" t="n"/>
      <c r="C189" s="311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95" thickBot="1">
      <c r="B190" s="83" t="n"/>
      <c r="C190" s="326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95" thickBot="1">
      <c r="B191" s="90" t="n"/>
      <c r="C191" s="311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95" thickBot="1">
      <c r="B192" s="83" t="n"/>
      <c r="C192" s="326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95" thickBot="1">
      <c r="B193" s="90" t="n"/>
      <c r="C193" s="311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95" thickBot="1">
      <c r="B194" s="83" t="n"/>
      <c r="C194" s="326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95" thickBot="1">
      <c r="B195" s="90" t="n"/>
      <c r="C195" s="311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95" thickBot="1">
      <c r="B196" s="83" t="n"/>
      <c r="C196" s="326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95" thickBot="1">
      <c r="B197" s="90" t="n"/>
      <c r="C197" s="311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95" thickBot="1">
      <c r="B198" s="83" t="n"/>
      <c r="C198" s="326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95" thickBot="1">
      <c r="B199" s="90" t="n"/>
      <c r="C199" s="311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95" thickBot="1">
      <c r="B200" s="83" t="n"/>
      <c r="C200" s="326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95" thickBot="1">
      <c r="B201" s="90" t="n"/>
      <c r="C201" s="311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95" thickBot="1">
      <c r="B202" s="83" t="n"/>
      <c r="C202" s="326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95" thickBot="1">
      <c r="B203" s="90" t="n"/>
      <c r="C203" s="311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95" thickBot="1">
      <c r="B204" s="83" t="n"/>
      <c r="C204" s="326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95" thickBot="1">
      <c r="B205" s="90" t="n"/>
      <c r="C205" s="311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95" thickBot="1">
      <c r="B206" s="83" t="n"/>
      <c r="C206" s="326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95" thickBot="1">
      <c r="B207" s="90" t="n"/>
      <c r="C207" s="311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95" thickBot="1">
      <c r="B208" s="83" t="n"/>
      <c r="C208" s="326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95" thickBot="1">
      <c r="B209" s="90" t="n"/>
      <c r="C209" s="311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95" thickBot="1">
      <c r="B210" s="83" t="n"/>
      <c r="C210" s="326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95" thickBot="1">
      <c r="B211" s="90" t="n"/>
      <c r="C211" s="311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95" thickBot="1">
      <c r="B212" s="83" t="n"/>
      <c r="C212" s="326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95" thickBot="1">
      <c r="B213" s="90" t="n"/>
      <c r="C213" s="311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95" thickBot="1">
      <c r="B214" s="83" t="n"/>
      <c r="C214" s="326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95" thickBot="1">
      <c r="B215" s="90" t="n"/>
      <c r="C215" s="311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95" thickBot="1">
      <c r="B216" s="83" t="n"/>
      <c r="C216" s="326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95" thickBot="1">
      <c r="B217" s="90" t="n"/>
      <c r="C217" s="311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95" thickBot="1">
      <c r="B218" s="83" t="n"/>
      <c r="C218" s="326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95" thickBot="1">
      <c r="B219" s="90" t="n"/>
      <c r="C219" s="311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95" thickBot="1">
      <c r="B220" s="83" t="n"/>
      <c r="C220" s="326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95" thickBot="1">
      <c r="B221" s="90" t="n"/>
      <c r="C221" s="311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95" thickBot="1">
      <c r="B222" s="83" t="n"/>
      <c r="C222" s="326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95" thickBot="1">
      <c r="B223" s="90" t="n"/>
      <c r="C223" s="311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95" thickBot="1">
      <c r="B224" s="83" t="n"/>
      <c r="C224" s="326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95" thickBot="1">
      <c r="B225" s="90" t="n"/>
      <c r="C225" s="311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95" thickBot="1">
      <c r="B226" s="83" t="n"/>
      <c r="C226" s="326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95" min="1" max="1"/>
    <col width="32.5546875" customWidth="1" style="295" min="2" max="2"/>
    <col width="19.44140625" bestFit="1" customWidth="1" style="295" min="3" max="3"/>
    <col width="15.21875" customWidth="1" style="295" min="4" max="4"/>
    <col width="13.88671875" customWidth="1" style="295" min="5" max="6"/>
    <col width="12.33203125" customWidth="1" style="295" min="7" max="7"/>
    <col width="12.88671875" customWidth="1" style="295" min="8" max="8"/>
    <col width="7.33203125" bestFit="1" customWidth="1" style="295" min="9" max="9"/>
    <col width="7.21875" bestFit="1" customWidth="1" style="295" min="10" max="10"/>
    <col width="11" bestFit="1" customWidth="1" style="295" min="11" max="11"/>
    <col width="10.77734375" bestFit="1" customWidth="1" style="295" min="12" max="12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95">
      <c r="A2" s="300" t="inlineStr">
        <is>
          <t>👥  LOKA — STAFF &amp; PAYROLL</t>
        </is>
      </c>
      <c r="D2" s="294" t="inlineStr">
        <is>
          <t>Weekly schedule + auto payroll calculation</t>
        </is>
      </c>
    </row>
    <row r="3" ht="3.75" customHeight="1" s="295"/>
    <row r="4" ht="7.5" customHeight="1" s="295"/>
    <row r="5" ht="7.5" customHeight="1" s="295" thickBot="1"/>
    <row r="6" ht="21.75" customHeight="1" s="295" thickBot="1">
      <c r="A6" s="296" t="inlineStr">
        <is>
          <t xml:space="preserve">  STAFF SCHEDULE  —  Week of:</t>
        </is>
      </c>
      <c r="B6" s="297" t="n"/>
      <c r="C6" s="297" t="n"/>
      <c r="D6" s="208">
        <f>TODAY()-WEEKDAY(TODAY(),2)+1</f>
        <v/>
      </c>
      <c r="E6" s="299" t="n"/>
      <c r="F6" s="299" t="n"/>
      <c r="G6" s="299" t="n"/>
      <c r="H6" s="299" t="n"/>
      <c r="I6" s="299" t="n"/>
      <c r="J6" s="299" t="n"/>
      <c r="K6" s="299" t="n"/>
      <c r="L6" s="299" t="n"/>
    </row>
    <row r="7" ht="27.75" customHeight="1" s="295" thickBot="1">
      <c r="A7" s="307" t="inlineStr">
        <is>
          <t>Staff Name</t>
        </is>
      </c>
      <c r="B7" s="307" t="inlineStr">
        <is>
          <t>Role</t>
        </is>
      </c>
      <c r="C7" s="307" t="inlineStr">
        <is>
          <t>Daily Rate ($)</t>
        </is>
      </c>
      <c r="D7" s="307" t="inlineStr">
        <is>
          <t>Mon</t>
        </is>
      </c>
      <c r="E7" s="307" t="inlineStr">
        <is>
          <t>Tue</t>
        </is>
      </c>
      <c r="F7" s="307" t="inlineStr">
        <is>
          <t>Wed</t>
        </is>
      </c>
      <c r="G7" s="307" t="inlineStr">
        <is>
          <t>Thu</t>
        </is>
      </c>
      <c r="H7" s="307" t="inlineStr">
        <is>
          <t>Fri</t>
        </is>
      </c>
      <c r="I7" s="307" t="inlineStr">
        <is>
          <t>Sat</t>
        </is>
      </c>
      <c r="J7" s="307" t="inlineStr">
        <is>
          <t>Sun</t>
        </is>
      </c>
      <c r="K7" s="307" t="inlineStr">
        <is>
          <t>Days Worked</t>
        </is>
      </c>
      <c r="L7" s="307" t="inlineStr">
        <is>
          <t>Week Pay ($)</t>
        </is>
      </c>
    </row>
    <row r="8" ht="19.5" customHeight="1" s="295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95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95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95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95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95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95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95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95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95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95"/>
    <row r="19" ht="19.5" customHeight="1" s="295" thickBot="1"/>
    <row r="20" ht="27.75" customHeight="1" s="295" thickBot="1">
      <c r="A20" s="296" t="inlineStr">
        <is>
          <t xml:space="preserve">  MONTHLY PAYROLL PROJECTION</t>
        </is>
      </c>
      <c r="B20" s="297" t="n"/>
      <c r="C20" s="297" t="n"/>
      <c r="D20" s="297" t="n"/>
      <c r="E20" s="297" t="n"/>
      <c r="F20" s="297" t="n"/>
      <c r="G20" s="297" t="n"/>
      <c r="H20" s="297" t="n"/>
      <c r="I20" s="297" t="n"/>
      <c r="J20" s="297" t="n"/>
      <c r="K20" s="297" t="n"/>
      <c r="L20" s="297" t="n"/>
    </row>
    <row r="21" ht="18" customHeight="1" s="295">
      <c r="A21" s="307" t="inlineStr">
        <is>
          <t>Staff Name</t>
        </is>
      </c>
      <c r="B21" s="307" t="inlineStr">
        <is>
          <t>Role</t>
        </is>
      </c>
      <c r="C21" s="307" t="inlineStr">
        <is>
          <t>Week Pay ($)</t>
        </is>
      </c>
      <c r="D21" s="307" t="inlineStr">
        <is>
          <t>x Weeks/Month</t>
        </is>
      </c>
      <c r="E21" s="307" t="inlineStr">
        <is>
          <t>Monthly ($)</t>
        </is>
      </c>
      <c r="F21" s="307" t="inlineStr">
        <is>
          <t>IMSS / Benefits %</t>
        </is>
      </c>
      <c r="G21" s="307" t="inlineStr">
        <is>
          <t>Total Monthly Cost ($)</t>
        </is>
      </c>
      <c r="H21" s="307" t="inlineStr">
        <is>
          <t>Notes</t>
        </is>
      </c>
    </row>
    <row r="22" ht="18" customHeight="1" s="295">
      <c r="A22" s="109">
        <f>A8</f>
        <v/>
      </c>
      <c r="B22" s="326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95">
      <c r="A23" s="115">
        <f>A9</f>
        <v/>
      </c>
      <c r="B23" s="311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95">
      <c r="A24" s="109">
        <f>A10</f>
        <v/>
      </c>
      <c r="B24" s="326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95">
      <c r="A25" s="115">
        <f>A11</f>
        <v/>
      </c>
      <c r="B25" s="311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95">
      <c r="A26" s="109">
        <f>A12</f>
        <v/>
      </c>
      <c r="B26" s="326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95">
      <c r="A27" s="115">
        <f>A13</f>
        <v/>
      </c>
      <c r="B27" s="311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95">
      <c r="A28" s="109">
        <f>A14</f>
        <v/>
      </c>
      <c r="B28" s="326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95">
      <c r="A29" s="115">
        <f>A15</f>
        <v/>
      </c>
      <c r="B29" s="299" t="n"/>
      <c r="C29" s="299" t="n"/>
      <c r="D29" s="299" t="n"/>
      <c r="E29" s="210">
        <f>C29*D29</f>
        <v/>
      </c>
      <c r="F29" s="308" t="n"/>
      <c r="G29" s="120">
        <f>E29*(1+F29)</f>
        <v/>
      </c>
      <c r="H29" s="96" t="n"/>
    </row>
    <row r="30" ht="17.4" customHeight="1" s="295">
      <c r="A30" s="298" t="inlineStr">
        <is>
          <t>TOTAL MONTHLY PAYROLL COST</t>
        </is>
      </c>
      <c r="B30" s="299" t="n"/>
      <c r="C30" s="299" t="n"/>
      <c r="D30" s="299" t="n"/>
      <c r="E30" s="299" t="n"/>
      <c r="F30" s="308" t="n"/>
      <c r="G30" s="108">
        <f>SUM(G21:G28)</f>
        <v/>
      </c>
    </row>
    <row r="33" ht="15.6" customHeight="1" s="295">
      <c r="A33" s="211" t="inlineStr">
        <is>
          <t>── WEEKLY FIXED COSTS &amp; BREAK-EVEN TARGETS ──</t>
        </is>
      </c>
      <c r="B33" s="211" t="n"/>
      <c r="C33" s="211" t="n"/>
      <c r="D33" s="211" t="n"/>
      <c r="E33" s="211" t="n"/>
      <c r="F33" s="211" t="n"/>
      <c r="G33" s="211" t="n"/>
      <c r="H33" s="211" t="n"/>
    </row>
    <row r="34">
      <c r="A34" s="212" t="inlineStr">
        <is>
          <t>COST ITEM</t>
        </is>
      </c>
      <c r="B34" s="212" t="inlineStr">
        <is>
          <t>WEEKLY ($)</t>
        </is>
      </c>
      <c r="C34" s="212" t="inlineStr">
        <is>
          <t>MONTHLY EST. ($)</t>
        </is>
      </c>
      <c r="D34" s="212" t="inlineStr">
        <is>
          <t>NOTES</t>
        </is>
      </c>
      <c r="E34" s="212" t="n"/>
      <c r="F34" s="212" t="n"/>
      <c r="G34" s="212" t="n"/>
      <c r="H34" s="212" t="n"/>
    </row>
    <row r="35">
      <c r="A35" s="209" t="inlineStr">
        <is>
          <t>John — Head Chef Salary</t>
        </is>
      </c>
      <c r="B35" s="213" t="n">
        <v>3750</v>
      </c>
      <c r="C35" s="214" t="n">
        <v>15000</v>
      </c>
      <c r="D35" s="209" t="inlineStr">
        <is>
          <t>Confirmed weekly rate</t>
        </is>
      </c>
    </row>
    <row r="36">
      <c r="A36" s="215" t="inlineStr">
        <is>
          <t>Debi — Limpieza Salary</t>
        </is>
      </c>
      <c r="B36" s="216" t="n">
        <v>1500</v>
      </c>
      <c r="C36" s="217" t="n">
        <v>6000</v>
      </c>
      <c r="D36" s="215" t="inlineStr">
        <is>
          <t>Confirmed weekly rate</t>
        </is>
      </c>
    </row>
    <row r="37">
      <c r="A37" t="inlineStr">
        <is>
          <t>Cesar — Mesero Salary (RESIGNED)</t>
        </is>
      </c>
      <c r="B37" s="215" t="n">
        <v>0</v>
      </c>
      <c r="C37" s="236" t="n">
        <v>0</v>
      </c>
      <c r="D37" s="237" t="inlineStr">
        <is>
          <t>Resigned — Week 4 paid in full · removed from forward fixed costs</t>
        </is>
      </c>
      <c r="E37" s="238" t="n"/>
    </row>
    <row r="38">
      <c r="A38" t="inlineStr">
        <is>
          <t>Samu — Ayudante Salary</t>
        </is>
      </c>
      <c r="B38" s="209" t="n">
        <v>800</v>
      </c>
      <c r="C38" s="239" t="n">
        <v>3200</v>
      </c>
      <c r="D38" s="240" t="inlineStr">
        <is>
          <t>Confirmed — $800/week | $160/day | 5 days Mon–Fri | Start 9 Jun 2026</t>
        </is>
      </c>
      <c r="E38" s="241" t="n"/>
    </row>
    <row r="39">
      <c r="A39" s="209" t="inlineStr">
        <is>
          <t>Rent + Maintenance (actual — $20,000/mo)</t>
        </is>
      </c>
      <c r="B39" s="213" t="n">
        <v>5000</v>
      </c>
      <c r="C39" s="214" t="n">
        <v>20000</v>
      </c>
      <c r="D39" s="209" t="inlineStr">
        <is>
          <t>Confirmed — $20,000/month actual</t>
        </is>
      </c>
    </row>
    <row r="40">
      <c r="A40" s="215" t="inlineStr">
        <is>
          <t>Utilities — Electricity + Gas (estimated)</t>
        </is>
      </c>
      <c r="B40" s="216" t="n">
        <v>1000</v>
      </c>
      <c r="C40" s="217" t="n">
        <v>4000</v>
      </c>
      <c r="D40" s="215" t="inlineStr">
        <is>
          <t>⏳ Approx — bills pending · electricity + gas</t>
        </is>
      </c>
    </row>
    <row r="41">
      <c r="A41" s="212" t="inlineStr">
        <is>
          <t>TOTAL FIXED COSTS (current)</t>
        </is>
      </c>
      <c r="B41" s="218">
        <f>SUM(B35:B40)</f>
        <v/>
      </c>
      <c r="C41" s="218">
        <f>SUM(C35:C40)</f>
        <v/>
      </c>
      <c r="D41" s="212" t="inlineStr">
        <is>
          <t>Incl. rent + maintenance + utilities est.</t>
        </is>
      </c>
    </row>
    <row r="43">
      <c r="A43" s="219" t="inlineStr">
        <is>
          <t>── MESERO STATUS — ✅ CESAR + SAMU ACTIVE FROM 9 JUN 2026 ──</t>
        </is>
      </c>
      <c r="B43" s="219" t="n"/>
      <c r="C43" s="219" t="n"/>
      <c r="D43" s="219" t="n"/>
      <c r="E43" s="219" t="n"/>
      <c r="F43" s="219" t="n"/>
      <c r="G43" s="219" t="n"/>
      <c r="H43" s="219" t="n"/>
    </row>
    <row r="44">
      <c r="A44" s="209" t="inlineStr">
        <is>
          <t>Judith — Mesera Salary (historical — resigned 7 Jun)</t>
        </is>
      </c>
      <c r="B44" s="213" t="n">
        <v>2000</v>
      </c>
      <c r="C44" s="214" t="n">
        <v>8000</v>
      </c>
      <c r="D44" s="209" t="inlineStr">
        <is>
          <t>Confirmed — $2,000/week · $333.33/day · absent days deducted</t>
        </is>
      </c>
    </row>
    <row r="45" ht="15.6" customHeight="1" s="295">
      <c r="A45" s="219" t="inlineStr">
        <is>
          <t>Current roster: John + Debi + Samu (no mesero)</t>
        </is>
      </c>
      <c r="B45" s="220" t="n">
        <v>12050</v>
      </c>
      <c r="C45" s="220" t="n">
        <v>23750</v>
      </c>
      <c r="D45" s="220" t="n">
        <v>24550</v>
      </c>
      <c r="E45" s="220" t="n">
        <v>3758</v>
      </c>
      <c r="F45" s="220" t="inlineStr">
        <is>
          <t>Cesar resigned — fixed costs down $2,000/wk</t>
        </is>
      </c>
      <c r="G45" s="220" t="inlineStr">
        <is>
          <t>Break-even ≈ $3,758/day (fixed $12,050 + variable $10,500, ÷6 days)</t>
        </is>
      </c>
      <c r="H45" s="220" t="n"/>
    </row>
    <row r="47" ht="15.6" customHeight="1" s="295">
      <c r="A47" s="211" t="inlineStr">
        <is>
          <t>── BREAK-EVEN &amp; WEEKLY REVENUE TARGETS ──</t>
        </is>
      </c>
      <c r="B47" s="211" t="n"/>
      <c r="C47" s="211" t="n"/>
      <c r="D47" s="211" t="n"/>
      <c r="E47" s="211" t="n"/>
      <c r="F47" s="211" t="n"/>
      <c r="G47" s="211" t="n"/>
      <c r="H47" s="211" t="n"/>
    </row>
    <row r="48">
      <c r="A48" s="212" t="inlineStr">
        <is>
          <t>SCENARIO</t>
        </is>
      </c>
      <c r="B48" s="212" t="inlineStr">
        <is>
          <t>Fixed Costs ($)</t>
        </is>
      </c>
      <c r="C48" s="212" t="inlineStr">
        <is>
          <t>Avg Variable Costs ($)</t>
        </is>
      </c>
      <c r="D48" s="212" t="inlineStr">
        <is>
          <t>MIN Weekly Revenue ($)</t>
        </is>
      </c>
      <c r="E48" s="212" t="inlineStr">
        <is>
          <t>MIN Daily Revenue ($)</t>
        </is>
      </c>
      <c r="F48" s="212" t="inlineStr">
        <is>
          <t>Current Avg/Day ($)</t>
        </is>
      </c>
      <c r="G48" s="212" t="inlineStr">
        <is>
          <t>STATUS</t>
        </is>
      </c>
      <c r="H48" s="212" t="n"/>
    </row>
    <row r="49">
      <c r="A49" s="220" t="inlineStr">
        <is>
          <t>Without Mesero (NOW)</t>
        </is>
      </c>
      <c r="B49" s="221" t="n">
        <v>11250</v>
      </c>
      <c r="C49" s="222" t="n">
        <v>10500</v>
      </c>
      <c r="D49" s="223" t="n">
        <v>21750</v>
      </c>
      <c r="E49" s="224" t="n">
        <v>3625</v>
      </c>
      <c r="F49" s="220" t="n">
        <v>4011</v>
      </c>
      <c r="G49" s="220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25" t="inlineStr">
        <is>
          <t>With Mesero (~$2,250)</t>
        </is>
      </c>
      <c r="B50" s="226" t="n">
        <v>13500</v>
      </c>
      <c r="C50" s="227" t="n">
        <v>10500</v>
      </c>
      <c r="D50" s="228" t="n">
        <v>24000</v>
      </c>
      <c r="E50" s="229" t="n">
        <v>4000</v>
      </c>
      <c r="F50" s="225" t="n">
        <v>4011</v>
      </c>
      <c r="G50" s="225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0" t="inlineStr">
        <is>
          <t>Safety buffer (+15%)</t>
        </is>
      </c>
      <c r="B51" s="231" t="n">
        <v>11250</v>
      </c>
      <c r="C51" s="232" t="n">
        <v>10500</v>
      </c>
      <c r="D51" s="233" t="n">
        <v>25012</v>
      </c>
      <c r="E51" s="234" t="n">
        <v>4169</v>
      </c>
      <c r="F51" s="230" t="n">
        <v>4011</v>
      </c>
      <c r="G51" s="230" t="inlineStr">
        <is>
          <t>Target for healthy buffer: $4,169/day</t>
        </is>
      </c>
    </row>
    <row r="53">
      <c r="A53" s="235" t="inlineStr">
        <is>
          <t>NOTES:</t>
        </is>
      </c>
      <c r="B53" s="235" t="n"/>
      <c r="C53" s="235" t="n"/>
      <c r="D53" s="235" t="n"/>
      <c r="E53" s="235" t="n"/>
      <c r="F53" s="235" t="n"/>
      <c r="G53" s="235" t="n"/>
      <c r="H53" s="235" t="n"/>
    </row>
    <row r="54">
      <c r="A54" s="235" t="inlineStr">
        <is>
          <t>Variable costs = avg ingredients + supplies per week based on Weeks 1-2 actual data (~$10,500)</t>
        </is>
      </c>
      <c r="B54" s="235" t="n"/>
      <c r="C54" s="235" t="n"/>
      <c r="D54" s="235" t="n"/>
      <c r="E54" s="235" t="n"/>
      <c r="F54" s="235" t="n"/>
      <c r="G54" s="235" t="n"/>
      <c r="H54" s="235" t="n"/>
    </row>
    <row r="55">
      <c r="A55" s="235" t="inlineStr">
        <is>
          <t>Break-even revised: Rent+Maintenance confirmed $20,000/mo · Utilities est. $4,000/mo → Total overhead $24,000/mo</t>
        </is>
      </c>
      <c r="B55" s="235" t="n"/>
      <c r="C55" s="235" t="n"/>
      <c r="D55" s="235" t="n"/>
      <c r="E55" s="235" t="n"/>
      <c r="F55" s="235" t="n"/>
      <c r="G55" s="235" t="n"/>
      <c r="H55" s="235" t="n"/>
    </row>
    <row r="56">
      <c r="A56" s="235" t="inlineStr">
        <is>
          <t>Min daily (no mesero): $3,625 · With mesero: $4,000 · Comfortable target: $4,169+/day</t>
        </is>
      </c>
      <c r="B56" s="235" t="n"/>
      <c r="C56" s="235" t="n"/>
      <c r="D56" s="235" t="n"/>
      <c r="E56" s="235" t="n"/>
      <c r="F56" s="235" t="n"/>
      <c r="G56" s="235" t="n"/>
      <c r="H56" s="235" t="n"/>
    </row>
    <row r="57">
      <c r="A57" s="235" t="inlineStr">
        <is>
          <t>Utilities (electricity+gas) ~$4,000/mo is ESTIMATED — update when bills arrive</t>
        </is>
      </c>
      <c r="B57" s="235" t="n"/>
      <c r="C57" s="235" t="n"/>
      <c r="D57" s="235" t="n"/>
      <c r="E57" s="235" t="n"/>
      <c r="F57" s="235" t="n"/>
      <c r="G57" s="235" t="n"/>
      <c r="H57" s="235" t="n"/>
    </row>
    <row r="59" ht="15.6" customHeight="1" s="295"/>
    <row r="61" ht="15.6" customHeight="1" s="295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242" t="n">
        <v>46165</v>
      </c>
      <c r="B63" t="inlineStr">
        <is>
          <t>John (6 dias)</t>
        </is>
      </c>
      <c r="D63" s="247" t="n">
        <v>515</v>
      </c>
    </row>
    <row r="64">
      <c r="A64" s="242" t="n">
        <v>46165</v>
      </c>
      <c r="B64" t="inlineStr">
        <is>
          <t>Debi (6 dias)</t>
        </is>
      </c>
      <c r="D64" s="247" t="n">
        <v>515</v>
      </c>
    </row>
    <row r="65">
      <c r="A65" s="242" t="n">
        <v>46165</v>
      </c>
      <c r="B65" t="inlineStr">
        <is>
          <t>Victor (2 dias)</t>
        </is>
      </c>
      <c r="D65" s="247" t="n">
        <v>168</v>
      </c>
    </row>
    <row r="66">
      <c r="A66" s="242" t="n">
        <v>46174</v>
      </c>
      <c r="B66" t="inlineStr">
        <is>
          <t>John (Week 2)</t>
        </is>
      </c>
      <c r="D66" s="247" t="n">
        <v>350</v>
      </c>
    </row>
    <row r="67">
      <c r="A67" s="242" t="n">
        <v>46174</v>
      </c>
      <c r="B67" t="inlineStr">
        <is>
          <t>Duvi/Debi (Week 2)</t>
        </is>
      </c>
      <c r="D67" s="247" t="n">
        <v>350</v>
      </c>
    </row>
    <row r="68">
      <c r="A68" s="242" t="n">
        <v>46186</v>
      </c>
      <c r="B68" t="inlineStr">
        <is>
          <t>John (Week 4)</t>
        </is>
      </c>
      <c r="D68" s="247" t="n">
        <v>200</v>
      </c>
    </row>
    <row r="69">
      <c r="A69" s="242" t="n">
        <v>46186</v>
      </c>
      <c r="B69" t="inlineStr">
        <is>
          <t>Duvi/Debi (Week 4)</t>
        </is>
      </c>
      <c r="D69" s="247" t="n">
        <v>200</v>
      </c>
    </row>
    <row r="70">
      <c r="A70" s="242" t="n">
        <v>46186</v>
      </c>
      <c r="B70" t="inlineStr">
        <is>
          <t>Cesar (Week 4)</t>
        </is>
      </c>
      <c r="D70" s="247" t="n">
        <v>126</v>
      </c>
    </row>
    <row r="71">
      <c r="A71" s="242" t="n">
        <v>46186</v>
      </c>
      <c r="B71" t="inlineStr">
        <is>
          <t>Samu (Week 4)</t>
        </is>
      </c>
      <c r="D71" s="247" t="n">
        <v>126</v>
      </c>
    </row>
    <row r="72">
      <c r="A72" s="399" t="n">
        <v>46192</v>
      </c>
      <c r="B72" t="inlineStr">
        <is>
          <t>Duvi/Debi (Week 5 partial)</t>
        </is>
      </c>
      <c r="D72" s="247" t="n">
        <v>120</v>
      </c>
    </row>
    <row r="73">
      <c r="A73" s="399" t="n">
        <v>46192</v>
      </c>
      <c r="B73" t="inlineStr">
        <is>
          <t>John (Week 5 partial)</t>
        </is>
      </c>
      <c r="D73" s="247" t="n">
        <v>150</v>
      </c>
    </row>
    <row r="74">
      <c r="A74" s="399" t="n"/>
      <c r="D74" s="247" t="n"/>
    </row>
    <row r="75">
      <c r="A75" s="399" t="n"/>
      <c r="D75" s="247" t="n"/>
    </row>
    <row r="76">
      <c r="A76" s="399" t="n"/>
      <c r="D76" s="247" t="n"/>
    </row>
    <row r="77">
      <c r="A77" s="399" t="n"/>
      <c r="D77" s="247" t="n"/>
    </row>
    <row r="78">
      <c r="A78" s="399" t="n"/>
      <c r="D78" s="247" t="n"/>
    </row>
    <row r="79">
      <c r="A79" s="399" t="n"/>
      <c r="D79" s="247" t="n"/>
    </row>
    <row r="80">
      <c r="A80" s="399" t="n"/>
      <c r="D80" s="247" t="n"/>
    </row>
    <row r="81">
      <c r="A81" s="399" t="n"/>
      <c r="D81" s="247" t="n"/>
    </row>
    <row r="82">
      <c r="A82" s="399" t="n"/>
      <c r="D82" s="247" t="n"/>
    </row>
    <row r="83">
      <c r="A83" s="399" t="n"/>
      <c r="D83" s="247" t="n"/>
    </row>
    <row r="84">
      <c r="A84" s="399" t="n"/>
      <c r="D84" s="247" t="n"/>
    </row>
    <row r="85">
      <c r="A85" s="399" t="n"/>
      <c r="D85" s="247" t="n"/>
    </row>
    <row r="86">
      <c r="A86" s="399" t="n"/>
      <c r="D86" s="247" t="n"/>
    </row>
    <row r="87">
      <c r="A87" s="399" t="n"/>
      <c r="D87" s="247" t="n"/>
    </row>
    <row r="88">
      <c r="A88" s="399" t="n"/>
      <c r="D88" s="247" t="n"/>
    </row>
    <row r="89">
      <c r="A89" s="399" t="n"/>
      <c r="D89" s="247" t="n"/>
    </row>
    <row r="90">
      <c r="A90" s="399" t="n"/>
      <c r="D90" s="247" t="n"/>
    </row>
    <row r="91">
      <c r="A91" s="399" t="n"/>
      <c r="D91" s="247" t="n"/>
    </row>
    <row r="92">
      <c r="A92" s="399" t="n"/>
      <c r="D92" s="247" t="n"/>
    </row>
    <row r="93">
      <c r="B93" t="inlineStr">
        <is>
          <t>TOTAL TIPS PASSED THROUGH</t>
        </is>
      </c>
      <c r="D93" s="247">
        <f>SUM(D63:D92)</f>
        <v/>
      </c>
    </row>
    <row r="94">
      <c r="A94" t="inlineStr">
        <is>
          <t>Customer tips collected &amp; handed to staff. Excluded from P&amp;L — nets to zero (received = paid).</t>
        </is>
      </c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47" t="n">
        <v>20283</v>
      </c>
    </row>
    <row r="98">
      <c r="A98" t="inlineStr">
        <is>
          <t>Adjustment: restaurant cash added to tips + Mercado Pago commission (vs running estimate)</t>
        </is>
      </c>
      <c r="D98" s="247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95" min="1" max="1"/>
    <col width="14" customWidth="1" style="295" min="2" max="2"/>
    <col width="22" customWidth="1" style="295" min="3" max="3"/>
    <col width="20" customWidth="1" style="295" min="4" max="4"/>
    <col width="12" customWidth="1" style="295" min="5" max="5"/>
    <col width="10" customWidth="1" style="295" min="6" max="6"/>
    <col width="12" customWidth="1" style="295" min="7" max="7"/>
    <col width="14" customWidth="1" style="295" min="8" max="9"/>
    <col width="18" customWidth="1" style="295" min="10" max="10"/>
    <col width="16" customWidth="1" style="295" min="11" max="11"/>
  </cols>
  <sheetData>
    <row r="1" ht="4.5" customHeight="1" s="295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95">
      <c r="A2" s="365" t="inlineStr">
        <is>
          <t>🚚  LOKA — SUPPLIER ORDERS</t>
        </is>
      </c>
      <c r="F2" s="338" t="inlineStr">
        <is>
          <t>Track purchase orders from suppliers</t>
        </is>
      </c>
    </row>
    <row r="3" ht="3.75" customHeight="1" s="295">
      <c r="A3" s="348" t="n"/>
    </row>
    <row r="4" ht="7.5" customHeight="1" s="295"/>
    <row r="5" ht="18" customHeight="1" s="295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95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95"/>
    <row r="8" ht="19.5" customHeight="1" s="295">
      <c r="B8" s="374" t="n"/>
      <c r="C8" s="299" t="n"/>
      <c r="D8" s="299" t="n"/>
      <c r="E8" s="299" t="n"/>
      <c r="F8" s="299" t="n"/>
      <c r="G8" s="299" t="n"/>
      <c r="H8" s="299" t="n"/>
      <c r="I8" s="299" t="n"/>
      <c r="J8" s="299" t="n"/>
      <c r="K8" s="299" t="n"/>
    </row>
    <row r="9" ht="27.75" customHeight="1" s="295">
      <c r="B9" s="307" t="n"/>
      <c r="C9" s="307" t="n"/>
      <c r="D9" s="307" t="n"/>
      <c r="E9" s="307" t="n"/>
      <c r="F9" s="307" t="n"/>
      <c r="G9" s="307" t="n"/>
      <c r="H9" s="307" t="n"/>
      <c r="I9" s="307" t="n"/>
      <c r="J9" s="307" t="n"/>
      <c r="K9" s="307" t="n"/>
    </row>
    <row r="10" ht="15.75" customHeight="1" s="295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95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95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95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95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95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95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95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95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95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95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95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95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95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95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95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95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95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95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95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95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95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95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95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95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95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95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95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95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95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95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95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95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95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95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95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95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95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95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95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95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95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95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95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95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95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95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95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95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95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95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95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95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95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95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95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95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95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95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95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95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95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95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95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95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95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95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95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95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95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95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95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95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95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95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95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95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95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95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95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95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95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95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95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95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95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95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95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95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95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95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95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95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95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95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95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95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95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95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95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95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95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95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95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95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95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95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95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95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95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95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95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95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95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95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95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95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95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95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95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95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95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95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95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95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95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95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95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95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95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95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95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95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95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95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95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95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95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95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95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95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95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95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95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95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95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95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95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95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95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95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95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95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95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95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95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95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95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95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95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95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95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95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95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95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95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95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95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95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95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95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95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95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95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95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95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95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95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95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95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95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95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95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95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95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95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95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95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95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95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95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95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95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95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95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95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95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95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95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95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95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95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95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95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95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95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95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95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95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95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95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95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95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95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95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95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95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95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95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95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95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95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95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95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95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95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95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95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95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95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95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95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95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95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95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95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95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95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95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95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95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95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95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95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95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95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95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95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95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95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95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95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95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95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95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95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95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95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95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95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95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95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95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95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95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95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95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95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95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95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95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95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95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95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95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95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95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95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95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95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95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95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95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95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95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95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95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95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95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95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95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95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95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95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95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95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95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95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95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95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95" min="2" max="2"/>
    <col width="14.33203125" bestFit="1" customWidth="1" style="295" min="3" max="3"/>
    <col width="44" bestFit="1" customWidth="1" style="295" min="4" max="4"/>
    <col width="87.77734375" bestFit="1" customWidth="1" style="295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95" min="1" max="1"/>
    <col width="15" customWidth="1" style="295" min="2" max="8"/>
    <col width="18" customWidth="1" style="295" min="9" max="9"/>
  </cols>
  <sheetData>
    <row r="1" ht="24" customHeight="1" s="295">
      <c r="A1" s="37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95">
      <c r="A2" s="365" t="n"/>
      <c r="E2" s="338" t="n"/>
    </row>
    <row r="3" ht="3.75" customHeight="1" s="295">
      <c r="A3" s="253" t="inlineStr">
        <is>
          <t>SUMMARY</t>
        </is>
      </c>
      <c r="B3" s="254" t="inlineStr">
        <is>
          <t>May 2026</t>
        </is>
      </c>
      <c r="C3" s="254" t="inlineStr">
        <is>
          <t>Jun 2026</t>
        </is>
      </c>
    </row>
    <row r="4" ht="7.5" customHeight="1" s="295">
      <c r="A4" s="251" t="inlineStr">
        <is>
          <t>Total Income</t>
        </is>
      </c>
      <c r="B4" s="252" t="n">
        <v>52949</v>
      </c>
      <c r="C4" s="252" t="n">
        <v>62500</v>
      </c>
    </row>
    <row r="5" ht="9.75" customHeight="1" s="295">
      <c r="A5" s="251" t="inlineStr">
        <is>
          <t>Total Expenses</t>
        </is>
      </c>
      <c r="B5" s="252" t="n">
        <v>32919.63</v>
      </c>
      <c r="C5" s="252" t="n">
        <v>77086.48</v>
      </c>
    </row>
    <row r="6" ht="21.75" customHeight="1" s="295">
      <c r="A6" s="255" t="inlineStr">
        <is>
          <t>NET PROFIT / LOSS</t>
        </is>
      </c>
      <c r="B6" s="256" t="n">
        <v>20029.37</v>
      </c>
      <c r="C6" s="257" t="n">
        <v>-14586.48</v>
      </c>
    </row>
    <row r="7" ht="7.5" customHeight="1" s="295">
      <c r="A7" s="251" t="inlineStr">
        <is>
          <t>Trading Days</t>
        </is>
      </c>
      <c r="B7" s="252" t="n">
        <v>14</v>
      </c>
      <c r="C7" s="252" t="n">
        <v>16</v>
      </c>
    </row>
    <row r="8" ht="27.75" customHeight="1" s="295">
      <c r="A8" s="251" t="inlineStr">
        <is>
          <t>Avg Income / Day</t>
        </is>
      </c>
      <c r="B8" s="258" t="n">
        <v>3782.07</v>
      </c>
      <c r="C8" s="258" t="n">
        <v>3906.25</v>
      </c>
      <c r="D8" s="307" t="n"/>
      <c r="E8" s="307" t="n"/>
      <c r="F8" s="307" t="n"/>
      <c r="G8" s="307" t="n"/>
      <c r="H8" s="307" t="n"/>
      <c r="I8" s="307" t="n"/>
    </row>
    <row r="9" ht="19.5" customHeight="1" s="295">
      <c r="B9" s="296" t="n"/>
    </row>
    <row r="10" ht="18" customHeight="1" s="295">
      <c r="A10" s="254" t="inlineStr">
        <is>
          <t>INCOME BY TYPE</t>
        </is>
      </c>
      <c r="B10" s="259" t="inlineStr">
        <is>
          <t>May 2026</t>
        </is>
      </c>
      <c r="C10" s="260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95">
      <c r="A11" s="251" t="inlineStr">
        <is>
          <t>Card</t>
        </is>
      </c>
      <c r="B11" s="261" t="n">
        <v>26684</v>
      </c>
      <c r="C11" s="252" t="n">
        <v>31492</v>
      </c>
    </row>
    <row r="12" ht="18" customHeight="1" s="295">
      <c r="A12" s="251" t="inlineStr">
        <is>
          <t>Cash</t>
        </is>
      </c>
      <c r="B12" s="262" t="n">
        <v>26265</v>
      </c>
      <c r="C12" s="263" t="n">
        <v>29661</v>
      </c>
      <c r="D12" s="93" t="n"/>
      <c r="E12" s="93" t="n"/>
      <c r="F12" s="93" t="n"/>
      <c r="G12" s="93" t="n"/>
      <c r="H12" s="93" t="n"/>
      <c r="I12" s="135" t="n"/>
    </row>
    <row r="13" ht="18" customHeight="1" s="295">
      <c r="A13" s="251" t="inlineStr">
        <is>
          <t>Transfer</t>
        </is>
      </c>
      <c r="B13" s="264" t="n">
        <v>0</v>
      </c>
      <c r="C13" s="265" t="n">
        <v>1347</v>
      </c>
      <c r="D13" s="86" t="n"/>
      <c r="E13" s="86" t="n"/>
      <c r="F13" s="86" t="n"/>
      <c r="G13" s="86" t="n"/>
      <c r="H13" s="86" t="n"/>
      <c r="I13" s="137" t="n"/>
    </row>
    <row r="14" ht="18" customHeight="1" s="295">
      <c r="B14" s="138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95">
      <c r="A15" s="254" t="inlineStr">
        <is>
          <t>EXPENSES BY CATEGORY (high to low)</t>
        </is>
      </c>
      <c r="B15" s="259" t="inlineStr">
        <is>
          <t>May 2026</t>
        </is>
      </c>
      <c r="C15" s="260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95">
      <c r="A16" s="251" t="inlineStr">
        <is>
          <t>Staff - Salary</t>
        </is>
      </c>
      <c r="B16" s="266" t="n">
        <v>10666</v>
      </c>
      <c r="C16" s="267" t="n">
        <v>14956.65</v>
      </c>
      <c r="D16" s="140" t="n"/>
      <c r="E16" s="140" t="n"/>
      <c r="F16" s="140" t="n"/>
      <c r="G16" s="140" t="n"/>
      <c r="H16" s="140" t="n"/>
      <c r="I16" s="140" t="n"/>
    </row>
    <row r="17" ht="19.5" customHeight="1" s="295">
      <c r="A17" s="251" t="inlineStr">
        <is>
          <t>Ingredients - Meat</t>
        </is>
      </c>
      <c r="B17" s="261" t="n">
        <v>5617.49</v>
      </c>
      <c r="C17" s="252" t="n">
        <v>15580.48</v>
      </c>
    </row>
    <row r="18" ht="18" customHeight="1" s="295">
      <c r="A18" s="251" t="inlineStr">
        <is>
          <t>Rent</t>
        </is>
      </c>
      <c r="B18" s="262" t="n">
        <v>0</v>
      </c>
      <c r="C18" s="263" t="n">
        <v>15000</v>
      </c>
      <c r="D18" s="93" t="n"/>
      <c r="E18" s="93" t="n"/>
      <c r="F18" s="93" t="n"/>
      <c r="G18" s="93" t="n"/>
      <c r="H18" s="93" t="n"/>
      <c r="I18" s="135" t="n"/>
    </row>
    <row r="19" ht="18" customHeight="1" s="295">
      <c r="A19" s="251" t="inlineStr">
        <is>
          <t>Ingredients - Beverages</t>
        </is>
      </c>
      <c r="B19" s="264" t="n">
        <v>905.23</v>
      </c>
      <c r="C19" s="265" t="n">
        <v>5867.39</v>
      </c>
      <c r="D19" s="86" t="n"/>
      <c r="E19" s="86" t="n"/>
      <c r="F19" s="86" t="n"/>
      <c r="G19" s="86" t="n"/>
      <c r="H19" s="86" t="n"/>
      <c r="I19" s="137" t="n"/>
    </row>
    <row r="20" ht="18" customHeight="1" s="295">
      <c r="A20" s="251" t="inlineStr">
        <is>
          <t>Ingredients - Vegetables</t>
        </is>
      </c>
      <c r="B20" s="262" t="n">
        <v>3439.79</v>
      </c>
      <c r="C20" s="263" t="n">
        <v>3248.63</v>
      </c>
      <c r="D20" s="93" t="n"/>
      <c r="E20" s="93" t="n"/>
      <c r="F20" s="93" t="n"/>
      <c r="G20" s="93" t="n"/>
      <c r="H20" s="93" t="n"/>
      <c r="I20" s="135" t="n"/>
    </row>
    <row r="21" ht="18" customHeight="1" s="295">
      <c r="A21" s="251" t="inlineStr">
        <is>
          <t>Ingredients - Pantry</t>
        </is>
      </c>
      <c r="B21" s="264" t="n">
        <v>3505.54</v>
      </c>
      <c r="C21" s="265" t="n">
        <v>2833.76</v>
      </c>
      <c r="D21" s="86" t="n"/>
      <c r="E21" s="86" t="n"/>
      <c r="F21" s="86" t="n"/>
      <c r="G21" s="86" t="n"/>
      <c r="H21" s="86" t="n"/>
      <c r="I21" s="137" t="n"/>
    </row>
    <row r="22" ht="18" customHeight="1" s="295">
      <c r="A22" s="251" t="inlineStr">
        <is>
          <t>Ingredients - Dairy</t>
        </is>
      </c>
      <c r="B22" s="262" t="n">
        <v>2388.12</v>
      </c>
      <c r="C22" s="263" t="n">
        <v>2732.39</v>
      </c>
      <c r="D22" s="93" t="n"/>
      <c r="E22" s="93" t="n"/>
      <c r="F22" s="93" t="n"/>
      <c r="G22" s="93" t="n"/>
      <c r="H22" s="93" t="n"/>
      <c r="I22" s="135" t="n"/>
    </row>
    <row r="23" ht="18" customHeight="1" s="295">
      <c r="A23" s="251" t="inlineStr">
        <is>
          <t>Maintenance</t>
        </is>
      </c>
      <c r="B23" s="268" t="n">
        <v>0</v>
      </c>
      <c r="C23" s="269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95">
      <c r="A24" s="251" t="inlineStr">
        <is>
          <t>Supermarket / General</t>
        </is>
      </c>
      <c r="B24" s="270" t="n">
        <v>698</v>
      </c>
      <c r="C24" s="271" t="n">
        <v>4124.8</v>
      </c>
      <c r="D24" s="141" t="n"/>
      <c r="E24" s="141" t="n"/>
      <c r="F24" s="141" t="n"/>
      <c r="G24" s="141" t="n"/>
      <c r="H24" s="141" t="n"/>
      <c r="I24" s="141" t="n"/>
    </row>
    <row r="25" ht="18" customHeight="1" s="295">
      <c r="A25" s="251" t="inlineStr">
        <is>
          <t>Supplies / Other</t>
        </is>
      </c>
      <c r="B25" s="272" t="n">
        <v>628.2</v>
      </c>
      <c r="C25" s="273" t="n">
        <v>3767.65</v>
      </c>
      <c r="D25" s="142" t="n"/>
      <c r="E25" s="142" t="n"/>
      <c r="F25" s="142" t="n"/>
      <c r="G25" s="142" t="n"/>
      <c r="H25" s="142" t="n"/>
      <c r="I25" s="142" t="n"/>
    </row>
    <row r="26" ht="18" customHeight="1" s="295">
      <c r="A26" s="251" t="inlineStr">
        <is>
          <t>Ingredients - Bread</t>
        </is>
      </c>
      <c r="B26" s="262" t="n">
        <v>1976.5</v>
      </c>
      <c r="C26" s="263" t="n">
        <v>1024.54</v>
      </c>
      <c r="D26" s="93" t="n"/>
      <c r="E26" s="93" t="n"/>
      <c r="F26" s="93" t="n"/>
      <c r="G26" s="93" t="n"/>
      <c r="H26" s="93" t="n"/>
      <c r="I26" s="135" t="n"/>
    </row>
    <row r="27" ht="18" customHeight="1" s="295">
      <c r="A27" s="251" t="inlineStr">
        <is>
          <t>Ingredients - Meat &amp; Fish</t>
        </is>
      </c>
      <c r="B27" s="264" t="n">
        <v>1540.7</v>
      </c>
      <c r="C27" s="265" t="n">
        <v>901.4</v>
      </c>
      <c r="D27" s="86" t="n"/>
      <c r="E27" s="86" t="n"/>
      <c r="F27" s="86" t="n"/>
      <c r="G27" s="86" t="n"/>
      <c r="H27" s="86" t="n"/>
      <c r="I27" s="137" t="n"/>
    </row>
    <row r="28" ht="18" customHeight="1" s="295">
      <c r="A28" s="251" t="inlineStr">
        <is>
          <t>Ingredients - Fruit</t>
        </is>
      </c>
      <c r="B28" s="274" t="n">
        <v>794.0599999999999</v>
      </c>
      <c r="C28" s="275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95">
      <c r="A29" s="251" t="inlineStr">
        <is>
          <t>Ingredients - Other</t>
        </is>
      </c>
      <c r="B29" s="266" t="n">
        <v>0</v>
      </c>
      <c r="C29" s="267" t="n">
        <v>608</v>
      </c>
      <c r="D29" s="140" t="n"/>
      <c r="E29" s="140" t="n"/>
      <c r="F29" s="140" t="n"/>
      <c r="G29" s="140" t="n"/>
      <c r="H29" s="140" t="n"/>
      <c r="I29" s="140" t="n"/>
    </row>
    <row r="30" ht="19.5" customHeight="1" s="295">
      <c r="A30" s="251" t="inlineStr">
        <is>
          <t>Staff - Advance</t>
        </is>
      </c>
      <c r="B30" s="261" t="n">
        <v>500</v>
      </c>
      <c r="C30" s="252" t="n">
        <v>0</v>
      </c>
    </row>
    <row r="31" ht="18" customHeight="1" s="295">
      <c r="A31" s="251" t="inlineStr">
        <is>
          <t>Utilities / Internet</t>
        </is>
      </c>
      <c r="B31" s="276" t="n">
        <v>0</v>
      </c>
      <c r="C31" s="265" t="n">
        <v>349</v>
      </c>
      <c r="D31" s="111" t="n"/>
      <c r="E31" s="111" t="n"/>
      <c r="F31" s="111" t="n"/>
      <c r="G31" s="111" t="n"/>
      <c r="H31" s="111" t="n"/>
      <c r="I31" s="143" t="n"/>
    </row>
    <row r="32" ht="18" customHeight="1" s="295">
      <c r="A32" s="251" t="inlineStr">
        <is>
          <t>Ingredients - Desserts</t>
        </is>
      </c>
      <c r="B32" s="277" t="n">
        <v>260</v>
      </c>
      <c r="C32" s="278" t="n">
        <v>0</v>
      </c>
      <c r="D32" s="144" t="n"/>
      <c r="E32" s="144" t="n"/>
      <c r="F32" s="144" t="n"/>
      <c r="G32" s="144" t="n"/>
      <c r="H32" s="144" t="n"/>
      <c r="I32" s="144" t="n"/>
    </row>
    <row r="33" ht="18" customHeight="1" s="295">
      <c r="A33" s="255" t="inlineStr">
        <is>
          <t>Ingredients - Produce</t>
        </is>
      </c>
      <c r="B33" s="279" t="n">
        <v>0</v>
      </c>
      <c r="C33" s="257" t="n">
        <v>48</v>
      </c>
      <c r="D33" s="111" t="n"/>
      <c r="E33" s="111" t="n"/>
      <c r="F33" s="111" t="n"/>
      <c r="G33" s="111" t="n"/>
      <c r="H33" s="111" t="n"/>
      <c r="I33" s="143" t="n"/>
    </row>
    <row r="34" ht="18" customHeight="1" s="295">
      <c r="A34" s="255" t="inlineStr">
        <is>
          <t>TOTAL EXPENSES</t>
        </is>
      </c>
      <c r="B34" s="287" t="n">
        <v>32919.63</v>
      </c>
      <c r="C34" s="288" t="n">
        <v>77086.48</v>
      </c>
      <c r="D34" s="144" t="n"/>
      <c r="E34" s="144" t="n"/>
      <c r="F34" s="144" t="n"/>
      <c r="G34" s="144" t="n"/>
      <c r="H34" s="144" t="n"/>
      <c r="I34" s="144" t="n"/>
    </row>
    <row r="35" ht="7.5" customHeight="1" s="295"/>
    <row r="36" ht="19.5" customHeight="1" s="295">
      <c r="B36" s="296" t="n"/>
    </row>
    <row r="37" ht="27.75" customHeight="1" s="295">
      <c r="B37" s="307" t="n"/>
      <c r="C37" s="307" t="n"/>
      <c r="D37" s="307" t="n"/>
      <c r="E37" s="307" t="n"/>
      <c r="F37" s="307" t="n"/>
      <c r="G37" s="307" t="n"/>
      <c r="H37" s="307" t="n"/>
      <c r="I37" s="307" t="n"/>
    </row>
    <row r="38" ht="18" customHeight="1" s="295">
      <c r="B38" s="133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95">
      <c r="B39" s="134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95">
      <c r="B40" s="136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95">
      <c r="B41" s="138" t="n"/>
      <c r="C41" s="145" t="n"/>
      <c r="D41" s="145" t="n"/>
      <c r="E41" s="145" t="n"/>
      <c r="F41" s="145" t="n"/>
      <c r="G41" s="145" t="n"/>
      <c r="H41" s="145" t="n"/>
      <c r="I41" s="145" t="n"/>
    </row>
    <row r="42" ht="18" customHeight="1" s="295">
      <c r="B42" s="139" t="n"/>
      <c r="C42" s="146" t="n"/>
      <c r="D42" s="146" t="n"/>
      <c r="E42" s="146" t="n"/>
      <c r="F42" s="146" t="n"/>
      <c r="G42" s="146" t="n"/>
      <c r="H42" s="146" t="n"/>
      <c r="I42" s="146" t="n"/>
    </row>
    <row r="43" ht="18" customHeight="1" s="295">
      <c r="B43" s="133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95">
      <c r="B44" s="134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95">
      <c r="B45" s="136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95">
      <c r="B46" s="134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95">
      <c r="B47" s="136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95">
      <c r="B48" s="134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95">
      <c r="B49" s="138" t="n"/>
      <c r="C49" s="145" t="n"/>
      <c r="D49" s="145" t="n"/>
      <c r="E49" s="145" t="n"/>
      <c r="F49" s="145" t="n"/>
      <c r="G49" s="145" t="n"/>
      <c r="H49" s="145" t="n"/>
      <c r="I49" s="145" t="n"/>
    </row>
    <row r="50" ht="18" customHeight="1" s="295">
      <c r="B50" s="147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95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95">
      <c r="B52" s="134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95">
      <c r="B53" s="136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95">
      <c r="B54" s="139" t="n"/>
      <c r="C54" s="146" t="n"/>
      <c r="D54" s="146" t="n"/>
      <c r="E54" s="146" t="n"/>
      <c r="F54" s="146" t="n"/>
      <c r="G54" s="146" t="n"/>
      <c r="H54" s="146" t="n"/>
      <c r="I54" s="146" t="n"/>
    </row>
    <row r="55" ht="18" customHeight="1" s="295">
      <c r="B55" s="148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95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95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95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95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295" min="1" max="1"/>
    <col width="46" customWidth="1" style="295" min="2" max="2"/>
    <col width="18" customWidth="1" style="295" min="3" max="4"/>
    <col width="22" customWidth="1" style="295" min="5" max="5"/>
    <col width="18" customWidth="1" style="295" min="6" max="6"/>
    <col width="22" customWidth="1" style="295" min="7" max="7"/>
    <col width="40" customWidth="1" style="295" min="8" max="8"/>
  </cols>
  <sheetData>
    <row r="1" ht="25.95" customHeight="1" s="295">
      <c r="A1" s="376" t="inlineStr">
        <is>
          <t>LOHITH — OWNER LEDGER &amp; PERSONAL BALANCE TRACKER</t>
        </is>
      </c>
    </row>
    <row r="3" ht="30" customHeight="1" s="295">
      <c r="A3" s="249" t="inlineStr">
        <is>
          <t>Date</t>
        </is>
      </c>
      <c r="B3" s="249" t="inlineStr">
        <is>
          <t>Description</t>
        </is>
      </c>
      <c r="C3" s="249" t="inlineStr">
        <is>
          <t>Type</t>
        </is>
      </c>
      <c r="D3" s="249" t="inlineStr">
        <is>
          <t>Spent by Lohith ($)</t>
        </is>
      </c>
      <c r="E3" s="249" t="inlineStr">
        <is>
          <t>Transferred to Lohith ($)</t>
        </is>
      </c>
      <c r="F3" s="249" t="inlineStr">
        <is>
          <t>Running Balance ($)</t>
        </is>
      </c>
      <c r="G3" s="249" t="inlineStr">
        <is>
          <t>Status</t>
        </is>
      </c>
      <c r="H3" s="249" t="inlineStr">
        <is>
          <t>Notes</t>
        </is>
      </c>
    </row>
    <row r="4">
      <c r="A4" s="250" t="n">
        <v>46174</v>
      </c>
      <c r="B4" s="251" t="inlineStr">
        <is>
          <t>Telmex Internet Bill (Mayo)</t>
        </is>
      </c>
      <c r="C4" s="251" t="inlineStr">
        <is>
          <t>Expense - Personal</t>
        </is>
      </c>
      <c r="D4" s="252" t="n">
        <v>349</v>
      </c>
      <c r="E4" s="251" t="n"/>
      <c r="F4" s="252">
        <f>IFERROR(D4-E4,0)</f>
        <v/>
      </c>
      <c r="G4" s="251" t="inlineStr">
        <is>
          <t>⏳ Reimburse</t>
        </is>
      </c>
      <c r="H4" s="251" t="inlineStr">
        <is>
          <t>Paid by Lohith — ⏳ Reimburse</t>
        </is>
      </c>
    </row>
    <row r="5">
      <c r="A5" s="250" t="n">
        <v>46174</v>
      </c>
      <c r="B5" s="251" t="inlineStr">
        <is>
          <t>Customer Transfer — Jun 1</t>
        </is>
      </c>
      <c r="C5" s="251" t="inlineStr">
        <is>
          <t>Transfer Received</t>
        </is>
      </c>
      <c r="D5" s="251" t="n"/>
      <c r="E5" s="252" t="n">
        <v>310</v>
      </c>
      <c r="F5" s="252">
        <f>IFERROR(F4+D5-E5,0)</f>
        <v/>
      </c>
      <c r="G5" s="251" t="inlineStr">
        <is>
          <t>✅</t>
        </is>
      </c>
      <c r="H5" s="251" t="inlineStr">
        <is>
          <t>✅ Received in Lohith account</t>
        </is>
      </c>
    </row>
    <row r="6">
      <c r="A6" s="250" t="n">
        <v>46175</v>
      </c>
      <c r="B6" s="251" t="inlineStr">
        <is>
          <t>Customer Transfer — Jun 2</t>
        </is>
      </c>
      <c r="C6" s="251" t="inlineStr">
        <is>
          <t>Transfer Received</t>
        </is>
      </c>
      <c r="D6" s="251" t="n"/>
      <c r="E6" s="252" t="n">
        <v>283</v>
      </c>
      <c r="F6" s="252">
        <f>IFERROR(F5+D6-E6,0)</f>
        <v/>
      </c>
      <c r="G6" s="251" t="inlineStr">
        <is>
          <t>✅</t>
        </is>
      </c>
      <c r="H6" s="251" t="inlineStr">
        <is>
          <t>✅ Received in Lohith account</t>
        </is>
      </c>
    </row>
    <row r="7">
      <c r="A7" s="250" t="n">
        <v>46176</v>
      </c>
      <c r="B7" s="251" t="inlineStr">
        <is>
          <t>Customer Transfer — Jun 3</t>
        </is>
      </c>
      <c r="C7" s="251" t="inlineStr">
        <is>
          <t>Transfer Received</t>
        </is>
      </c>
      <c r="D7" s="251" t="n"/>
      <c r="E7" s="252" t="n">
        <v>120</v>
      </c>
      <c r="F7" s="252">
        <f>IFERROR(F6+D7-E7,0)</f>
        <v/>
      </c>
      <c r="G7" s="251" t="inlineStr">
        <is>
          <t>✅</t>
        </is>
      </c>
      <c r="H7" s="251" t="inlineStr">
        <is>
          <t>✅ Received in Lohith account</t>
        </is>
      </c>
    </row>
    <row r="8">
      <c r="A8" s="250" t="n">
        <v>46177</v>
      </c>
      <c r="B8" s="251" t="inlineStr">
        <is>
          <t>Personal expenses — Huevos, Ajonjoli, Verduras</t>
        </is>
      </c>
      <c r="C8" s="251" t="inlineStr">
        <is>
          <t>Expense - Personal</t>
        </is>
      </c>
      <c r="D8" s="252" t="n">
        <v>358</v>
      </c>
      <c r="E8" s="251" t="n"/>
      <c r="F8" s="252">
        <f>IFERROR(F7+D8-E8,0)</f>
        <v/>
      </c>
      <c r="G8" s="251" t="inlineStr">
        <is>
          <t>⏳ Reimburse</t>
        </is>
      </c>
      <c r="H8" s="251" t="inlineStr">
        <is>
          <t>$69 Huevos + $44 Ajonjoli Blanco + $45 Ajonjoli Negro + $200 Verduras</t>
        </is>
      </c>
    </row>
    <row r="9">
      <c r="A9" s="250" t="n">
        <v>46177</v>
      </c>
      <c r="B9" s="251" t="inlineStr">
        <is>
          <t>Cash settlement — $6 added to restaurant</t>
        </is>
      </c>
      <c r="C9" s="251" t="inlineStr">
        <is>
          <t>Expense - Personal</t>
        </is>
      </c>
      <c r="D9" s="252" t="n">
        <v>6</v>
      </c>
      <c r="E9" s="251" t="n"/>
      <c r="F9" s="252">
        <f>IFERROR(F8+D9-E9,0)</f>
        <v/>
      </c>
      <c r="G9" s="251" t="inlineStr">
        <is>
          <t>✅ Settled</t>
        </is>
      </c>
      <c r="H9" s="251" t="inlineStr">
        <is>
          <t>Lohith added $6 cash to restaurant — balance now ZERO</t>
        </is>
      </c>
    </row>
    <row r="10">
      <c r="A10" s="250" t="n">
        <v>46178</v>
      </c>
      <c r="B10" s="251" t="inlineStr">
        <is>
          <t>Customer Transfer — Jun 5</t>
        </is>
      </c>
      <c r="C10" s="251" t="inlineStr">
        <is>
          <t>Transfer Received</t>
        </is>
      </c>
      <c r="D10" s="251" t="n"/>
      <c r="E10" s="252" t="n">
        <v>135</v>
      </c>
      <c r="F10" s="252">
        <f>IFERROR(F9+D10-E10,0)</f>
        <v/>
      </c>
      <c r="G10" s="251" t="inlineStr">
        <is>
          <t>✅ Received</t>
        </is>
      </c>
      <c r="H10" s="251" t="inlineStr">
        <is>
          <t>✅ Received in Lohith account — Jun 5</t>
        </is>
      </c>
    </row>
    <row r="11">
      <c r="A11" s="250" t="n">
        <v>46177</v>
      </c>
      <c r="B11" s="251" t="inlineStr">
        <is>
          <t>Renta + Mantenimiento Junio 2026</t>
        </is>
      </c>
      <c r="C11" s="251" t="inlineStr">
        <is>
          <t>Expense - Personal</t>
        </is>
      </c>
      <c r="D11" s="252" t="n">
        <v>20000</v>
      </c>
      <c r="E11" s="251" t="n"/>
      <c r="F11" s="252">
        <f>IFERROR(F10+D11-E11,0)</f>
        <v/>
      </c>
      <c r="G11" s="251" t="inlineStr">
        <is>
          <t>⏳ Reimburse</t>
        </is>
      </c>
      <c r="H11" s="251" t="inlineStr">
        <is>
          <t>Rent $15,000 + Maintenance $5,000 — paid personally by Lohith on 4 Jun</t>
        </is>
      </c>
    </row>
    <row r="12">
      <c r="A12" s="250" t="n">
        <v>46181</v>
      </c>
      <c r="B12" s="251" t="inlineStr">
        <is>
          <t>Customer Transfer — Jun 8</t>
        </is>
      </c>
      <c r="C12" s="251" t="inlineStr">
        <is>
          <t>Transfer Received</t>
        </is>
      </c>
      <c r="D12" s="251" t="n"/>
      <c r="E12" s="252" t="n">
        <v>99</v>
      </c>
      <c r="F12" s="252">
        <f>IFERROR(F11+D12-E12,0)</f>
        <v/>
      </c>
      <c r="G12" s="251" t="inlineStr">
        <is>
          <t>✅ Received</t>
        </is>
      </c>
      <c r="H12" s="251" t="inlineStr">
        <is>
          <t>✅ Received in Lohith account — Jun 8</t>
        </is>
      </c>
    </row>
    <row r="13">
      <c r="A13" s="250" t="n">
        <v>46183</v>
      </c>
      <c r="B13" s="251" t="inlineStr">
        <is>
          <t>Chedraui Paseo — Groceries (elote, chile, tomate, tortillas, bolillo)</t>
        </is>
      </c>
      <c r="C13" s="251" t="inlineStr">
        <is>
          <t>Expense - Personal</t>
        </is>
      </c>
      <c r="D13" s="252" t="n">
        <v>236.81</v>
      </c>
      <c r="E13" s="251" t="n"/>
      <c r="F13" s="252">
        <f>IFERROR(F12+D13-E13,0)</f>
        <v/>
      </c>
      <c r="G13" s="251" t="inlineStr">
        <is>
          <t>⏳ Reimburse</t>
        </is>
      </c>
      <c r="H13" s="251" t="inlineStr">
        <is>
          <t>Paid personally by Lohith — HSBC **5543</t>
        </is>
      </c>
    </row>
    <row r="14">
      <c r="A14" s="250" t="n">
        <v>46183</v>
      </c>
      <c r="B14" s="251" t="inlineStr">
        <is>
          <t>Office Depot — Comanda Restaurante</t>
        </is>
      </c>
      <c r="C14" s="251" t="inlineStr">
        <is>
          <t>Expense - Personal</t>
        </is>
      </c>
      <c r="D14" s="252" t="n">
        <v>59</v>
      </c>
      <c r="E14" s="251" t="n"/>
      <c r="F14" s="252">
        <f>IFERROR(F13+D14-E14,0)</f>
        <v/>
      </c>
      <c r="G14" s="251" t="inlineStr">
        <is>
          <t>⏳ Reimburse</t>
        </is>
      </c>
      <c r="H14" s="251" t="inlineStr">
        <is>
          <t>Paid personally by Lohith — MC **5543</t>
        </is>
      </c>
    </row>
    <row r="15">
      <c r="A15" s="250" t="n">
        <v>46184</v>
      </c>
      <c r="B15" s="251" t="inlineStr">
        <is>
          <t>ALICO — Ala de Pollo, Papa Harvest 13.62kg, Boneless Freskecito</t>
        </is>
      </c>
      <c r="C15" s="251" t="inlineStr">
        <is>
          <t>Expense - Personal</t>
        </is>
      </c>
      <c r="D15" s="252" t="n">
        <v>2865</v>
      </c>
      <c r="E15" s="251" t="n"/>
      <c r="F15" s="252">
        <f>IFERROR(F14+D15-E15,0)</f>
        <v/>
      </c>
      <c r="G15" s="251" t="inlineStr">
        <is>
          <t>⏳ Reimburse</t>
        </is>
      </c>
      <c r="H15" s="251" t="inlineStr">
        <is>
          <t>Restaurant ingredients paid personally by Lohith (transfer) — 11 Jun</t>
        </is>
      </c>
    </row>
    <row r="16">
      <c r="A16" s="250" t="n">
        <v>46184</v>
      </c>
      <c r="B16" s="251" t="inlineStr">
        <is>
          <t>Pollería — Muslo de Pollo 4.70 kg</t>
        </is>
      </c>
      <c r="C16" s="251" t="inlineStr">
        <is>
          <t>Expense - Personal</t>
        </is>
      </c>
      <c r="D16" s="252" t="n">
        <v>235</v>
      </c>
      <c r="E16" s="251" t="n"/>
      <c r="F16" s="252">
        <f>IFERROR(F15+D16-E16,0)</f>
        <v/>
      </c>
      <c r="G16" s="251" t="inlineStr">
        <is>
          <t>⏳ Reimburse</t>
        </is>
      </c>
      <c r="H16" s="251" t="inlineStr">
        <is>
          <t>Restaurant ingredients paid personally by Lohith (transfer) — 11 Jun</t>
        </is>
      </c>
    </row>
    <row r="17">
      <c r="A17" s="250" t="n">
        <v>46188</v>
      </c>
      <c r="B17" s="251" t="inlineStr">
        <is>
          <t>Chedraui — Tortillas, Bolillo, Rosca de Nuez</t>
        </is>
      </c>
      <c r="C17" s="251" t="inlineStr">
        <is>
          <t>Expense - Personal</t>
        </is>
      </c>
      <c r="D17" s="252" t="n">
        <v>160.33</v>
      </c>
      <c r="E17" s="251" t="n"/>
      <c r="F17" s="252">
        <f>IFERROR(F16+D17-E17,0)</f>
        <v/>
      </c>
      <c r="G17" s="251" t="inlineStr">
        <is>
          <t>⏳ Reimburse</t>
        </is>
      </c>
      <c r="H17" s="251" t="inlineStr">
        <is>
          <t>HSBC **5543 — paid by Lohith 15 Jun</t>
        </is>
      </c>
    </row>
    <row r="18">
      <c r="A18" s="250" t="n">
        <v>46188</v>
      </c>
      <c r="B18" s="251" t="inlineStr">
        <is>
          <t>OXXO Pathe — Aceite Vegetal (2)</t>
        </is>
      </c>
      <c r="C18" s="251" t="inlineStr">
        <is>
          <t>Expense - Personal</t>
        </is>
      </c>
      <c r="D18" s="252" t="n">
        <v>104</v>
      </c>
      <c r="E18" s="251" t="n"/>
      <c r="F18" s="252">
        <f>IFERROR(F17+D18-E18,0)</f>
        <v/>
      </c>
      <c r="G18" s="251" t="inlineStr">
        <is>
          <t>⏳ Reimburse</t>
        </is>
      </c>
      <c r="H18" s="251" t="inlineStr">
        <is>
          <t>HSBC **5543 — paid by Lohith 15 Jun</t>
        </is>
      </c>
    </row>
    <row r="19">
      <c r="A19" s="250" t="n">
        <v>46188</v>
      </c>
      <c r="B19" s="251" t="inlineStr">
        <is>
          <t>Miscelánea LC — Ribeye, Chuleta, Bistec</t>
        </is>
      </c>
      <c r="C19" s="251" t="inlineStr">
        <is>
          <t>Expense - Personal</t>
        </is>
      </c>
      <c r="D19" s="252" t="n">
        <v>1015</v>
      </c>
      <c r="E19" s="251" t="n"/>
      <c r="F19" s="252">
        <f>IFERROR(F18+D19-E19,0)</f>
        <v/>
      </c>
      <c r="G19" s="251" t="inlineStr">
        <is>
          <t>⏳ Reimburse</t>
        </is>
      </c>
      <c r="H19" s="251" t="inlineStr">
        <is>
          <t>HSBC **5543 — paid by Lohith 15 Jun</t>
        </is>
      </c>
    </row>
    <row r="20">
      <c r="A20" s="250" t="n">
        <v>46188</v>
      </c>
      <c r="B20" s="251" t="inlineStr">
        <is>
          <t>Transfer from Restaurant account</t>
        </is>
      </c>
      <c r="C20" s="251" t="inlineStr">
        <is>
          <t>Reimbursement</t>
        </is>
      </c>
      <c r="D20" s="251" t="n"/>
      <c r="E20" s="252" t="n">
        <v>3162</v>
      </c>
      <c r="F20" s="252">
        <f>IFERROR(F19+D20-E20,0)</f>
        <v/>
      </c>
      <c r="G20" s="251" t="inlineStr">
        <is>
          <t>✅ Received</t>
        </is>
      </c>
      <c r="H20" s="251" t="inlineStr">
        <is>
          <t>Bank transfer to Lohith</t>
        </is>
      </c>
    </row>
    <row r="21">
      <c r="A21" s="250" t="n">
        <v>46188</v>
      </c>
      <c r="B21" s="251" t="inlineStr">
        <is>
          <t>15 Jun card expenses reimbursed (Chedraui+OXXO+Miscelánea)</t>
        </is>
      </c>
      <c r="C21" s="251" t="inlineStr">
        <is>
          <t>Reimbursement</t>
        </is>
      </c>
      <c r="D21" s="251" t="n"/>
      <c r="E21" s="252" t="n">
        <v>1279.33</v>
      </c>
      <c r="F21" s="252">
        <f>IFERROR(F20+D21-E21,0)</f>
        <v/>
      </c>
      <c r="G21" s="251" t="inlineStr">
        <is>
          <t>✅ Received</t>
        </is>
      </c>
      <c r="H21" s="251" t="inlineStr">
        <is>
          <t>HSBC **5543 items repaid same day</t>
        </is>
      </c>
    </row>
    <row r="22">
      <c r="A22" s="250" t="n">
        <v>46189</v>
      </c>
      <c r="B22" s="251" t="inlineStr">
        <is>
          <t>OXXO Pathe — Leche Lala UHT (2)</t>
        </is>
      </c>
      <c r="C22" s="251" t="inlineStr">
        <is>
          <t>Expense - Personal</t>
        </is>
      </c>
      <c r="D22" s="252" t="n">
        <v>93</v>
      </c>
      <c r="E22" s="251" t="n"/>
      <c r="F22" s="252">
        <f>IFERROR(F21+D22-E22,0)</f>
        <v/>
      </c>
      <c r="G22" s="251" t="inlineStr">
        <is>
          <t>⏳ Reimburse</t>
        </is>
      </c>
      <c r="H22" s="251" t="inlineStr">
        <is>
          <t>HSBC **5543 — paid by Lohith 16 Jun</t>
        </is>
      </c>
    </row>
    <row r="23">
      <c r="A23" s="250" t="n">
        <v>46189</v>
      </c>
      <c r="B23" s="251" t="inlineStr">
        <is>
          <t>16 Jun OXXO card expense reimbursed</t>
        </is>
      </c>
      <c r="C23" s="251" t="inlineStr">
        <is>
          <t>Reimbursement</t>
        </is>
      </c>
      <c r="D23" s="251" t="n"/>
      <c r="E23" s="252" t="n">
        <v>93</v>
      </c>
      <c r="F23" s="252">
        <f>IFERROR(F22+D23-E23,0)</f>
        <v/>
      </c>
      <c r="G23" s="251" t="inlineStr">
        <is>
          <t>✅ Received</t>
        </is>
      </c>
      <c r="H23" s="251" t="inlineStr">
        <is>
          <t>HSBC **5543 item repaid same day</t>
        </is>
      </c>
    </row>
    <row r="24">
      <c r="A24" s="289" t="n">
        <v>46191</v>
      </c>
      <c r="B24" s="290" t="inlineStr">
        <is>
          <t>Customer Transfer — Jun 18 (revenue paid into Lohith account)</t>
        </is>
      </c>
      <c r="C24" s="290" t="inlineStr">
        <is>
          <t>Transfer Received</t>
        </is>
      </c>
      <c r="D24" s="290" t="n"/>
      <c r="E24" s="291" t="n">
        <v>400</v>
      </c>
      <c r="F24" s="291">
        <f>IFERROR(F23+D24-E24,0)</f>
        <v/>
      </c>
      <c r="G24" s="290" t="inlineStr">
        <is>
          <t>✅ Received</t>
        </is>
      </c>
      <c r="H24" s="290" t="inlineStr">
        <is>
          <t>Customer paid $400 by transfer into Lohith account — counts against balance owed</t>
        </is>
      </c>
    </row>
    <row r="25">
      <c r="A25" s="289" t="n">
        <v>46192</v>
      </c>
      <c r="B25" s="290" t="inlineStr">
        <is>
          <t>Customer Transfer — Jun 19 (revenue paid into Lohith account)</t>
        </is>
      </c>
      <c r="C25" s="290" t="inlineStr">
        <is>
          <t>Transfer Received</t>
        </is>
      </c>
      <c r="D25" s="290" t="n"/>
      <c r="E25" s="291" t="n">
        <v>120</v>
      </c>
      <c r="F25" s="291">
        <f>IFERROR(F24+D25-E25,0)</f>
        <v/>
      </c>
      <c r="G25" s="290" t="inlineStr">
        <is>
          <t>✅ Received</t>
        </is>
      </c>
      <c r="H25" s="290" t="inlineStr">
        <is>
          <t>Customer paid \ by transfer into Lohith account — counts against balance owed</t>
        </is>
      </c>
    </row>
    <row r="26">
      <c r="A26" s="250" t="inlineStr">
        <is>
          <t>TOTALS &amp; CURRENT BALANCE</t>
        </is>
      </c>
      <c r="B26" s="251" t="n"/>
      <c r="C26" s="251" t="n"/>
      <c r="D26" s="251">
        <f>SUM(D4:D25)</f>
        <v/>
      </c>
      <c r="E26" s="252">
        <f>SUM(E4:E25)</f>
        <v/>
      </c>
      <c r="F26" s="252">
        <f>F25</f>
        <v/>
      </c>
      <c r="G26" s="251">
        <f>IF(F25&gt;0,"Restaurant owes Lohith $"&amp;TEXT(F25,"#,##0"),IF(F25&lt;0,"Lohith holds $"&amp;TEXT(ABS(F25),"#,##0"),"Zero balance"))</f>
        <v/>
      </c>
      <c r="H26" s="251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2026-06-21T15:45:01Z</dcterms:modified>
  <cp:lastModifiedBy>LOHITH REDDY</cp:lastModifiedBy>
</cp:coreProperties>
</file>