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1089.81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>
        <v>46182</v>
      </c>
      <c r="C229" s="69" t="inlineStr">
        <is>
          <t>Tea Zone Concentrado Lichi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Folio 005C01FR44612 incl IVA</t>
        </is>
      </c>
    </row>
    <row r="230">
      <c r="B230" s="64" t="n">
        <v>46182</v>
      </c>
      <c r="C230" s="65" t="inlineStr">
        <is>
          <t>Tea Zone Concentrado Fresa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Tea Zone Concentrado Maracuya 1.9L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679.01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incl IVA 93.66</t>
        </is>
      </c>
    </row>
    <row r="232">
      <c r="B232" s="64" t="n">
        <v>46182</v>
      </c>
      <c r="C232" s="65" t="inlineStr">
        <is>
          <t>Tea Zone Concentrado Mango 1.9L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679.01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incl IVA 93.66</t>
        </is>
      </c>
    </row>
    <row r="233">
      <c r="B233" s="64" t="n">
        <v>46182</v>
      </c>
      <c r="C233" s="69" t="inlineStr">
        <is>
          <t>Chillout Mix Base Taro 2kg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592.37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Frappe base powder</t>
        </is>
      </c>
    </row>
    <row r="234">
      <c r="B234" s="64" t="n">
        <v>46182</v>
      </c>
      <c r="C234" s="65" t="inlineStr">
        <is>
          <t>Chillout Mix Base Te Matcha 2kg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792.8200000000001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Frappe base powder</t>
        </is>
      </c>
    </row>
    <row r="235">
      <c r="B235" s="64" t="n">
        <v>46182</v>
      </c>
      <c r="C235" s="69" t="inlineStr">
        <is>
          <t>Jarabe Agave Caramelo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Agave syrup</t>
        </is>
      </c>
    </row>
    <row r="236">
      <c r="B236" s="64" t="n">
        <v>46182</v>
      </c>
      <c r="C236" s="65" t="inlineStr">
        <is>
          <t>Jarabe Agave Crema Irlandesa 1L</t>
        </is>
      </c>
      <c r="D236" s="66" t="inlineStr">
        <is>
          <t>Etrusca</t>
        </is>
      </c>
      <c r="E236" s="65" t="inlineStr">
        <is>
          <t>Ingredients - Beverages</t>
        </is>
      </c>
      <c r="F236" s="67" t="n">
        <v>177</v>
      </c>
      <c r="G236" s="14" t="inlineStr">
        <is>
          <t>Restaurant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Agave syrup</t>
        </is>
      </c>
    </row>
    <row r="237">
      <c r="B237" s="64" t="n">
        <v>46182</v>
      </c>
      <c r="C237" s="69" t="inlineStr">
        <is>
          <t>Jarabe Agave Vainilla Francesa 1L</t>
        </is>
      </c>
      <c r="D237" s="68" t="inlineStr">
        <is>
          <t>Etrusca</t>
        </is>
      </c>
      <c r="E237" s="69" t="inlineStr">
        <is>
          <t>Ingredients - Beverages</t>
        </is>
      </c>
      <c r="F237" s="70" t="n">
        <v>177</v>
      </c>
      <c r="G237" s="23" t="inlineStr">
        <is>
          <t>Restaurant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Etrusca total 4632.23 MC 2684 17:00</t>
        </is>
      </c>
    </row>
    <row r="238">
      <c r="B238" s="64" t="n">
        <v>46183</v>
      </c>
      <c r="C238" s="65" t="inlineStr">
        <is>
          <t>Groceries — Elote, Chile Poblano, Tomate, Tortillas, Bolillo</t>
        </is>
      </c>
      <c r="D238" s="66" t="inlineStr">
        <is>
          <t>Chedraui Paseo</t>
        </is>
      </c>
      <c r="E238" s="65" t="inlineStr">
        <is>
          <t>Supermarket / General</t>
        </is>
      </c>
      <c r="F238" s="67" t="n">
        <v>236.81</v>
      </c>
      <c r="G238" s="14" t="inlineStr">
        <is>
          <t>Lohith (Personal)</t>
        </is>
      </c>
      <c r="H238" s="14" t="inlineStr">
        <is>
          <t>Card</t>
        </is>
      </c>
      <c r="I238" s="43" t="inlineStr">
        <is>
          <t>✅ Paid</t>
        </is>
      </c>
      <c r="J238" t="inlineStr">
        <is>
          <t>Paid personally by Lohith — reimburse · HSBC **5543 · 14 items</t>
        </is>
      </c>
    </row>
    <row r="239">
      <c r="B239" s="64" t="n">
        <v>46183</v>
      </c>
      <c r="C239" s="69" t="inlineStr">
        <is>
          <t>Comanda Restaurante (order pad)</t>
        </is>
      </c>
      <c r="D239" s="68" t="inlineStr">
        <is>
          <t>Office Depot</t>
        </is>
      </c>
      <c r="E239" s="69" t="inlineStr">
        <is>
          <t>Supplies / Other</t>
        </is>
      </c>
      <c r="F239" s="70" t="n">
        <v>59</v>
      </c>
      <c r="G239" s="23" t="inlineStr">
        <is>
          <t>Lohith (Personal)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Paid personally by Lohith — reimburse · MC **5543</t>
        </is>
      </c>
    </row>
    <row r="240">
      <c r="B240" s="64" t="n">
        <v>46183</v>
      </c>
      <c r="C240" s="65" t="inlineStr">
        <is>
          <t>Aguas Frescas 1LT — Horchata/Jamaica/Naranjada/Tamarindo (24 pcs + 4 canje)</t>
        </is>
      </c>
      <c r="D240" s="66" t="inlineStr">
        <is>
          <t>Reca del Bajio</t>
        </is>
      </c>
      <c r="E240" s="65" t="inlineStr">
        <is>
          <t>Ingredients - Beverages</t>
        </is>
      </c>
      <c r="F240" s="67" t="n">
        <v>600</v>
      </c>
      <c r="G240" s="14" t="inlineStr">
        <is>
          <t>Restaurant</t>
        </is>
      </c>
      <c r="H240" s="14" t="inlineStr">
        <is>
          <t>Cash</t>
        </is>
      </c>
      <c r="I240" s="43" t="inlineStr">
        <is>
          <t>✅ Paid</t>
        </is>
      </c>
      <c r="J240" t="inlineStr">
        <is>
          <t>6 pcs each flavor @ $21.55 + IVA · 4 free pcs (canje) · payment method assumed cash</t>
        </is>
      </c>
    </row>
    <row r="241">
      <c r="B241" s="64" t="n">
        <v>46183</v>
      </c>
      <c r="C241" s="69" t="inlineStr">
        <is>
          <t>Bistec de Cerdo (pork steak)</t>
        </is>
      </c>
      <c r="D241" s="68" t="inlineStr">
        <is>
          <t>Miscelánea LC La Cruz</t>
        </is>
      </c>
      <c r="E241" s="69" t="inlineStr">
        <is>
          <t>Ingredients - Meat</t>
        </is>
      </c>
      <c r="F241" s="70" t="n">
        <v>194</v>
      </c>
      <c r="G241" s="23" t="inlineStr">
        <is>
          <t>Restaurant</t>
        </is>
      </c>
      <c r="H241" s="23" t="inlineStr">
        <is>
          <t>Card</t>
        </is>
      </c>
      <c r="I241" s="55" t="inlineStr">
        <is>
          <t>✅ Paid</t>
        </is>
      </c>
      <c r="J241" t="inlineStr">
        <is>
          <t>Getnet card slip + handwritten remision B. Cerdo - Aut 975901</t>
        </is>
      </c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9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365" t="n">
        <v>46183</v>
      </c>
      <c r="B72" s="366" t="inlineStr">
        <is>
          <t>Chedraui Paseo — Groceries (elote, chile, tomate, tortillas, bolillo)</t>
        </is>
      </c>
      <c r="C72" s="367" t="inlineStr">
        <is>
          <t>Expense - Personal</t>
        </is>
      </c>
      <c r="D72" s="368" t="n">
        <v>236.81</v>
      </c>
      <c r="F72" s="369">
        <f>IFERROR(F71+D72-E72,0)</f>
        <v/>
      </c>
      <c r="G72" s="366" t="inlineStr">
        <is>
          <t>⏳ Reimburse</t>
        </is>
      </c>
      <c r="H72" s="242" t="inlineStr">
        <is>
          <t>Paid personally by Lohith — HSBC **5543</t>
        </is>
      </c>
    </row>
    <row r="73">
      <c r="A73" s="365" t="n">
        <v>46183</v>
      </c>
      <c r="B73" s="366" t="inlineStr">
        <is>
          <t>Office Depot — Comanda Restaurante</t>
        </is>
      </c>
      <c r="C73" s="367" t="inlineStr">
        <is>
          <t>Expense - Personal</t>
        </is>
      </c>
      <c r="D73" s="368" t="n">
        <v>59</v>
      </c>
      <c r="F73" s="369">
        <f>IFERROR(F72+D73-E73,0)</f>
        <v/>
      </c>
      <c r="G73" s="3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2026-06-11T02:57:30Z</dcterms:modified>
  <cp:lastModifiedBy>LOHITH REDDY</cp:lastModifiedBy>
</cp:coreProperties>
</file>